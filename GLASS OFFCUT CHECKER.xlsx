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liMoossajee/Downloads/"/>
    </mc:Choice>
  </mc:AlternateContent>
  <xr:revisionPtr revIDLastSave="0" documentId="13_ncr:1_{9339FC0F-AE6E-CE4C-88E3-C0C840B83EB4}" xr6:coauthVersionLast="47" xr6:coauthVersionMax="47" xr10:uidLastSave="{00000000-0000-0000-0000-000000000000}"/>
  <bookViews>
    <workbookView xWindow="0" yWindow="780" windowWidth="34200" windowHeight="19640" xr2:uid="{00000000-000D-0000-FFFF-FFFF00000000}"/>
  </bookViews>
  <sheets>
    <sheet name="JOBCARD" sheetId="1" r:id="rId1"/>
    <sheet name="GLASS OFFCUTS LIST" sheetId="2" r:id="rId2"/>
    <sheet name="GLASS SPECIFICA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98" i="2" l="1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G407" i="1"/>
  <c r="H407" i="1" s="1"/>
  <c r="F407" i="1"/>
  <c r="G406" i="1"/>
  <c r="H406" i="1" s="1"/>
  <c r="F406" i="1"/>
  <c r="G405" i="1"/>
  <c r="H405" i="1" s="1"/>
  <c r="F405" i="1"/>
  <c r="G404" i="1"/>
  <c r="H404" i="1" s="1"/>
  <c r="F404" i="1"/>
  <c r="G403" i="1"/>
  <c r="H403" i="1" s="1"/>
  <c r="F403" i="1"/>
  <c r="G402" i="1"/>
  <c r="H402" i="1" s="1"/>
  <c r="F402" i="1"/>
  <c r="G401" i="1"/>
  <c r="H401" i="1" s="1"/>
  <c r="F401" i="1"/>
  <c r="G400" i="1"/>
  <c r="H400" i="1" s="1"/>
  <c r="F400" i="1"/>
  <c r="G399" i="1"/>
  <c r="H399" i="1" s="1"/>
  <c r="F399" i="1"/>
  <c r="G398" i="1"/>
  <c r="H398" i="1" s="1"/>
  <c r="F398" i="1"/>
  <c r="G397" i="1"/>
  <c r="H397" i="1" s="1"/>
  <c r="F397" i="1"/>
  <c r="G396" i="1"/>
  <c r="H396" i="1" s="1"/>
  <c r="F396" i="1"/>
  <c r="G395" i="1"/>
  <c r="H395" i="1" s="1"/>
  <c r="F395" i="1"/>
  <c r="G394" i="1"/>
  <c r="H394" i="1" s="1"/>
  <c r="F394" i="1"/>
  <c r="G393" i="1"/>
  <c r="H393" i="1" s="1"/>
  <c r="F393" i="1"/>
  <c r="G392" i="1"/>
  <c r="H392" i="1" s="1"/>
  <c r="F392" i="1"/>
  <c r="G391" i="1"/>
  <c r="H391" i="1" s="1"/>
  <c r="F391" i="1"/>
  <c r="G390" i="1"/>
  <c r="H390" i="1" s="1"/>
  <c r="F390" i="1"/>
  <c r="G389" i="1"/>
  <c r="H389" i="1" s="1"/>
  <c r="F389" i="1"/>
  <c r="G388" i="1"/>
  <c r="H388" i="1" s="1"/>
  <c r="F388" i="1"/>
  <c r="G387" i="1"/>
  <c r="H387" i="1" s="1"/>
  <c r="F387" i="1"/>
  <c r="G386" i="1"/>
  <c r="H386" i="1" s="1"/>
  <c r="F386" i="1"/>
  <c r="G385" i="1"/>
  <c r="H385" i="1" s="1"/>
  <c r="F385" i="1"/>
  <c r="G384" i="1"/>
  <c r="H384" i="1" s="1"/>
  <c r="F384" i="1"/>
  <c r="G383" i="1"/>
  <c r="H383" i="1" s="1"/>
  <c r="F383" i="1"/>
  <c r="G382" i="1"/>
  <c r="H382" i="1" s="1"/>
  <c r="F382" i="1"/>
  <c r="G381" i="1"/>
  <c r="H381" i="1" s="1"/>
  <c r="F381" i="1"/>
  <c r="G380" i="1"/>
  <c r="H380" i="1" s="1"/>
  <c r="F380" i="1"/>
  <c r="G379" i="1"/>
  <c r="H379" i="1" s="1"/>
  <c r="F379" i="1"/>
  <c r="G378" i="1"/>
  <c r="H378" i="1" s="1"/>
  <c r="F378" i="1"/>
  <c r="G377" i="1"/>
  <c r="H377" i="1" s="1"/>
  <c r="F377" i="1"/>
  <c r="G376" i="1"/>
  <c r="H376" i="1" s="1"/>
  <c r="F376" i="1"/>
  <c r="G375" i="1"/>
  <c r="H375" i="1" s="1"/>
  <c r="F375" i="1"/>
  <c r="G374" i="1"/>
  <c r="H374" i="1" s="1"/>
  <c r="F374" i="1"/>
  <c r="G373" i="1"/>
  <c r="H373" i="1" s="1"/>
  <c r="F373" i="1"/>
  <c r="G372" i="1"/>
  <c r="H372" i="1" s="1"/>
  <c r="F372" i="1"/>
  <c r="G371" i="1"/>
  <c r="H371" i="1" s="1"/>
  <c r="F371" i="1"/>
  <c r="G370" i="1"/>
  <c r="H370" i="1" s="1"/>
  <c r="F370" i="1"/>
  <c r="G369" i="1"/>
  <c r="H369" i="1" s="1"/>
  <c r="F369" i="1"/>
  <c r="G368" i="1"/>
  <c r="H368" i="1" s="1"/>
  <c r="F368" i="1"/>
  <c r="G367" i="1"/>
  <c r="H367" i="1" s="1"/>
  <c r="F367" i="1"/>
  <c r="G366" i="1"/>
  <c r="H366" i="1" s="1"/>
  <c r="F366" i="1"/>
  <c r="G365" i="1"/>
  <c r="H365" i="1" s="1"/>
  <c r="F365" i="1"/>
  <c r="G364" i="1"/>
  <c r="H364" i="1" s="1"/>
  <c r="F364" i="1"/>
  <c r="G363" i="1"/>
  <c r="H363" i="1" s="1"/>
  <c r="F363" i="1"/>
  <c r="G362" i="1"/>
  <c r="H362" i="1" s="1"/>
  <c r="F362" i="1"/>
  <c r="G361" i="1"/>
  <c r="H361" i="1" s="1"/>
  <c r="F361" i="1"/>
  <c r="G360" i="1"/>
  <c r="H360" i="1" s="1"/>
  <c r="F360" i="1"/>
  <c r="G359" i="1"/>
  <c r="H359" i="1" s="1"/>
  <c r="F359" i="1"/>
  <c r="G358" i="1"/>
  <c r="H358" i="1" s="1"/>
  <c r="F358" i="1"/>
  <c r="G357" i="1"/>
  <c r="H357" i="1" s="1"/>
  <c r="F357" i="1"/>
  <c r="G356" i="1"/>
  <c r="H356" i="1" s="1"/>
  <c r="F356" i="1"/>
  <c r="G355" i="1"/>
  <c r="H355" i="1" s="1"/>
  <c r="F355" i="1"/>
  <c r="G354" i="1"/>
  <c r="H354" i="1" s="1"/>
  <c r="F354" i="1"/>
  <c r="G353" i="1"/>
  <c r="H353" i="1" s="1"/>
  <c r="F353" i="1"/>
  <c r="G352" i="1"/>
  <c r="H352" i="1" s="1"/>
  <c r="F352" i="1"/>
  <c r="G351" i="1"/>
  <c r="H351" i="1" s="1"/>
  <c r="F351" i="1"/>
  <c r="G350" i="1"/>
  <c r="H350" i="1" s="1"/>
  <c r="F350" i="1"/>
  <c r="G349" i="1"/>
  <c r="H349" i="1" s="1"/>
  <c r="F349" i="1"/>
  <c r="G348" i="1"/>
  <c r="H348" i="1" s="1"/>
  <c r="F348" i="1"/>
  <c r="G347" i="1"/>
  <c r="H347" i="1" s="1"/>
  <c r="F347" i="1"/>
  <c r="G346" i="1"/>
  <c r="H346" i="1" s="1"/>
  <c r="F346" i="1"/>
  <c r="G345" i="1"/>
  <c r="H345" i="1" s="1"/>
  <c r="F345" i="1"/>
  <c r="G344" i="1"/>
  <c r="H344" i="1" s="1"/>
  <c r="F344" i="1"/>
  <c r="G343" i="1"/>
  <c r="H343" i="1" s="1"/>
  <c r="F343" i="1"/>
  <c r="G342" i="1"/>
  <c r="H342" i="1" s="1"/>
  <c r="F342" i="1"/>
  <c r="G341" i="1"/>
  <c r="H341" i="1" s="1"/>
  <c r="F341" i="1"/>
  <c r="G340" i="1"/>
  <c r="H340" i="1" s="1"/>
  <c r="F340" i="1"/>
  <c r="G339" i="1"/>
  <c r="H339" i="1" s="1"/>
  <c r="F339" i="1"/>
  <c r="G338" i="1"/>
  <c r="H338" i="1" s="1"/>
  <c r="F338" i="1"/>
  <c r="G337" i="1"/>
  <c r="H337" i="1" s="1"/>
  <c r="F337" i="1"/>
  <c r="G336" i="1"/>
  <c r="H336" i="1" s="1"/>
  <c r="F336" i="1"/>
  <c r="G335" i="1"/>
  <c r="H335" i="1" s="1"/>
  <c r="F335" i="1"/>
  <c r="G334" i="1"/>
  <c r="H334" i="1" s="1"/>
  <c r="F334" i="1"/>
  <c r="G333" i="1"/>
  <c r="H333" i="1" s="1"/>
  <c r="F333" i="1"/>
  <c r="G332" i="1"/>
  <c r="H332" i="1" s="1"/>
  <c r="F332" i="1"/>
  <c r="G331" i="1"/>
  <c r="H331" i="1" s="1"/>
  <c r="F331" i="1"/>
  <c r="G330" i="1"/>
  <c r="H330" i="1" s="1"/>
  <c r="F330" i="1"/>
  <c r="G329" i="1"/>
  <c r="H329" i="1" s="1"/>
  <c r="F329" i="1"/>
  <c r="G328" i="1"/>
  <c r="H328" i="1" s="1"/>
  <c r="F328" i="1"/>
  <c r="G327" i="1"/>
  <c r="H327" i="1" s="1"/>
  <c r="F327" i="1"/>
  <c r="G326" i="1"/>
  <c r="H326" i="1" s="1"/>
  <c r="F326" i="1"/>
  <c r="G325" i="1"/>
  <c r="H325" i="1" s="1"/>
  <c r="F325" i="1"/>
  <c r="G324" i="1"/>
  <c r="H324" i="1" s="1"/>
  <c r="F324" i="1"/>
  <c r="G323" i="1"/>
  <c r="H323" i="1" s="1"/>
  <c r="F323" i="1"/>
  <c r="G322" i="1"/>
  <c r="H322" i="1" s="1"/>
  <c r="F322" i="1"/>
  <c r="G321" i="1"/>
  <c r="H321" i="1" s="1"/>
  <c r="F321" i="1"/>
  <c r="G320" i="1"/>
  <c r="H320" i="1" s="1"/>
  <c r="F320" i="1"/>
  <c r="G319" i="1"/>
  <c r="H319" i="1" s="1"/>
  <c r="F319" i="1"/>
  <c r="G318" i="1"/>
  <c r="H318" i="1" s="1"/>
  <c r="F318" i="1"/>
  <c r="G317" i="1"/>
  <c r="H317" i="1" s="1"/>
  <c r="F317" i="1"/>
  <c r="G316" i="1"/>
  <c r="H316" i="1" s="1"/>
  <c r="F316" i="1"/>
  <c r="G315" i="1"/>
  <c r="H315" i="1" s="1"/>
  <c r="F315" i="1"/>
  <c r="G314" i="1"/>
  <c r="H314" i="1" s="1"/>
  <c r="F314" i="1"/>
  <c r="G313" i="1"/>
  <c r="H313" i="1" s="1"/>
  <c r="F313" i="1"/>
  <c r="G312" i="1"/>
  <c r="H312" i="1" s="1"/>
  <c r="F312" i="1"/>
  <c r="G311" i="1"/>
  <c r="H311" i="1" s="1"/>
  <c r="F311" i="1"/>
  <c r="G310" i="1"/>
  <c r="H310" i="1" s="1"/>
  <c r="F310" i="1"/>
  <c r="G309" i="1"/>
  <c r="H309" i="1" s="1"/>
  <c r="F309" i="1"/>
  <c r="G308" i="1"/>
  <c r="H308" i="1" s="1"/>
  <c r="F308" i="1"/>
  <c r="G307" i="1"/>
  <c r="H307" i="1" s="1"/>
  <c r="F307" i="1"/>
  <c r="G306" i="1"/>
  <c r="H306" i="1" s="1"/>
  <c r="F306" i="1"/>
  <c r="G305" i="1"/>
  <c r="H305" i="1" s="1"/>
  <c r="F305" i="1"/>
  <c r="G304" i="1"/>
  <c r="H304" i="1" s="1"/>
  <c r="F304" i="1"/>
  <c r="G303" i="1"/>
  <c r="H303" i="1" s="1"/>
  <c r="F303" i="1"/>
  <c r="G302" i="1"/>
  <c r="H302" i="1" s="1"/>
  <c r="F302" i="1"/>
  <c r="G301" i="1"/>
  <c r="H301" i="1" s="1"/>
  <c r="F301" i="1"/>
  <c r="G300" i="1"/>
  <c r="H300" i="1" s="1"/>
  <c r="F300" i="1"/>
  <c r="G299" i="1"/>
  <c r="H299" i="1" s="1"/>
  <c r="F299" i="1"/>
  <c r="G298" i="1"/>
  <c r="H298" i="1" s="1"/>
  <c r="F298" i="1"/>
  <c r="G297" i="1"/>
  <c r="H297" i="1" s="1"/>
  <c r="F297" i="1"/>
  <c r="G296" i="1"/>
  <c r="H296" i="1" s="1"/>
  <c r="F296" i="1"/>
  <c r="G295" i="1"/>
  <c r="H295" i="1" s="1"/>
  <c r="F295" i="1"/>
  <c r="G294" i="1"/>
  <c r="H294" i="1" s="1"/>
  <c r="F294" i="1"/>
  <c r="G293" i="1"/>
  <c r="H293" i="1" s="1"/>
  <c r="F293" i="1"/>
  <c r="G292" i="1"/>
  <c r="H292" i="1" s="1"/>
  <c r="F292" i="1"/>
  <c r="G291" i="1"/>
  <c r="H291" i="1" s="1"/>
  <c r="F291" i="1"/>
  <c r="G290" i="1"/>
  <c r="H290" i="1" s="1"/>
  <c r="F290" i="1"/>
  <c r="G289" i="1"/>
  <c r="H289" i="1" s="1"/>
  <c r="F289" i="1"/>
  <c r="G288" i="1"/>
  <c r="H288" i="1" s="1"/>
  <c r="F288" i="1"/>
  <c r="G287" i="1"/>
  <c r="H287" i="1" s="1"/>
  <c r="F287" i="1"/>
  <c r="G286" i="1"/>
  <c r="H286" i="1" s="1"/>
  <c r="F286" i="1"/>
  <c r="G285" i="1"/>
  <c r="H285" i="1" s="1"/>
  <c r="F285" i="1"/>
  <c r="G284" i="1"/>
  <c r="H284" i="1" s="1"/>
  <c r="F284" i="1"/>
  <c r="G283" i="1"/>
  <c r="H283" i="1" s="1"/>
  <c r="F283" i="1"/>
  <c r="G282" i="1"/>
  <c r="H282" i="1" s="1"/>
  <c r="F282" i="1"/>
  <c r="G281" i="1"/>
  <c r="H281" i="1" s="1"/>
  <c r="F281" i="1"/>
  <c r="G280" i="1"/>
  <c r="H280" i="1" s="1"/>
  <c r="F280" i="1"/>
  <c r="G279" i="1"/>
  <c r="H279" i="1" s="1"/>
  <c r="F279" i="1"/>
  <c r="G278" i="1"/>
  <c r="H278" i="1" s="1"/>
  <c r="F278" i="1"/>
  <c r="G277" i="1"/>
  <c r="H277" i="1" s="1"/>
  <c r="F277" i="1"/>
  <c r="G276" i="1"/>
  <c r="H276" i="1" s="1"/>
  <c r="F276" i="1"/>
  <c r="G275" i="1"/>
  <c r="H275" i="1" s="1"/>
  <c r="F275" i="1"/>
  <c r="G274" i="1"/>
  <c r="H274" i="1" s="1"/>
  <c r="F274" i="1"/>
  <c r="G273" i="1"/>
  <c r="H273" i="1" s="1"/>
  <c r="F273" i="1"/>
  <c r="G272" i="1"/>
  <c r="H272" i="1" s="1"/>
  <c r="F272" i="1"/>
  <c r="G271" i="1"/>
  <c r="H271" i="1" s="1"/>
  <c r="F271" i="1"/>
  <c r="G270" i="1"/>
  <c r="H270" i="1" s="1"/>
  <c r="F270" i="1"/>
  <c r="G269" i="1"/>
  <c r="H269" i="1" s="1"/>
  <c r="F269" i="1"/>
  <c r="G268" i="1"/>
  <c r="H268" i="1" s="1"/>
  <c r="F268" i="1"/>
  <c r="G267" i="1"/>
  <c r="H267" i="1" s="1"/>
  <c r="F267" i="1"/>
  <c r="G266" i="1"/>
  <c r="H266" i="1" s="1"/>
  <c r="F266" i="1"/>
  <c r="G265" i="1"/>
  <c r="H265" i="1" s="1"/>
  <c r="F265" i="1"/>
  <c r="G264" i="1"/>
  <c r="H264" i="1" s="1"/>
  <c r="F264" i="1"/>
  <c r="G263" i="1"/>
  <c r="H263" i="1" s="1"/>
  <c r="F263" i="1"/>
  <c r="G262" i="1"/>
  <c r="H262" i="1" s="1"/>
  <c r="F262" i="1"/>
  <c r="G261" i="1"/>
  <c r="H261" i="1" s="1"/>
  <c r="F261" i="1"/>
  <c r="G260" i="1"/>
  <c r="H260" i="1" s="1"/>
  <c r="F260" i="1"/>
  <c r="G259" i="1"/>
  <c r="H259" i="1" s="1"/>
  <c r="F259" i="1"/>
  <c r="G258" i="1"/>
  <c r="H258" i="1" s="1"/>
  <c r="F258" i="1"/>
  <c r="G257" i="1"/>
  <c r="H257" i="1" s="1"/>
  <c r="F257" i="1"/>
  <c r="G256" i="1"/>
  <c r="H256" i="1" s="1"/>
  <c r="F256" i="1"/>
  <c r="G255" i="1"/>
  <c r="H255" i="1" s="1"/>
  <c r="F255" i="1"/>
  <c r="G254" i="1"/>
  <c r="H254" i="1" s="1"/>
  <c r="F254" i="1"/>
  <c r="G253" i="1"/>
  <c r="H253" i="1" s="1"/>
  <c r="F253" i="1"/>
  <c r="G252" i="1"/>
  <c r="H252" i="1" s="1"/>
  <c r="F252" i="1"/>
  <c r="G251" i="1"/>
  <c r="H251" i="1" s="1"/>
  <c r="F251" i="1"/>
  <c r="G250" i="1"/>
  <c r="H250" i="1" s="1"/>
  <c r="F250" i="1"/>
  <c r="G249" i="1"/>
  <c r="H249" i="1" s="1"/>
  <c r="F249" i="1"/>
  <c r="G248" i="1"/>
  <c r="H248" i="1" s="1"/>
  <c r="F248" i="1"/>
  <c r="G247" i="1"/>
  <c r="H247" i="1" s="1"/>
  <c r="F247" i="1"/>
  <c r="G246" i="1"/>
  <c r="H246" i="1" s="1"/>
  <c r="F246" i="1"/>
  <c r="G245" i="1"/>
  <c r="H245" i="1" s="1"/>
  <c r="F245" i="1"/>
  <c r="G244" i="1"/>
  <c r="H244" i="1" s="1"/>
  <c r="F244" i="1"/>
  <c r="G243" i="1"/>
  <c r="H243" i="1" s="1"/>
  <c r="F243" i="1"/>
  <c r="G242" i="1"/>
  <c r="H242" i="1" s="1"/>
  <c r="F242" i="1"/>
  <c r="G241" i="1"/>
  <c r="H241" i="1" s="1"/>
  <c r="F241" i="1"/>
  <c r="G240" i="1"/>
  <c r="H240" i="1" s="1"/>
  <c r="F240" i="1"/>
  <c r="G239" i="1"/>
  <c r="H239" i="1" s="1"/>
  <c r="F239" i="1"/>
  <c r="G238" i="1"/>
  <c r="H238" i="1" s="1"/>
  <c r="F238" i="1"/>
  <c r="G237" i="1"/>
  <c r="H237" i="1" s="1"/>
  <c r="F237" i="1"/>
  <c r="G236" i="1"/>
  <c r="H236" i="1" s="1"/>
  <c r="F236" i="1"/>
  <c r="G235" i="1"/>
  <c r="H235" i="1" s="1"/>
  <c r="F235" i="1"/>
  <c r="G234" i="1"/>
  <c r="H234" i="1" s="1"/>
  <c r="F234" i="1"/>
  <c r="G233" i="1"/>
  <c r="H233" i="1" s="1"/>
  <c r="F233" i="1"/>
  <c r="G232" i="1"/>
  <c r="H232" i="1" s="1"/>
  <c r="F232" i="1"/>
  <c r="G231" i="1"/>
  <c r="H231" i="1" s="1"/>
  <c r="F231" i="1"/>
  <c r="G230" i="1"/>
  <c r="H230" i="1" s="1"/>
  <c r="F230" i="1"/>
  <c r="G229" i="1"/>
  <c r="H229" i="1" s="1"/>
  <c r="F229" i="1"/>
  <c r="G228" i="1"/>
  <c r="H228" i="1" s="1"/>
  <c r="F228" i="1"/>
  <c r="G227" i="1"/>
  <c r="H227" i="1" s="1"/>
  <c r="F227" i="1"/>
  <c r="G226" i="1"/>
  <c r="H226" i="1" s="1"/>
  <c r="F226" i="1"/>
  <c r="G225" i="1"/>
  <c r="H225" i="1" s="1"/>
  <c r="F225" i="1"/>
  <c r="G224" i="1"/>
  <c r="H224" i="1" s="1"/>
  <c r="F224" i="1"/>
  <c r="G223" i="1"/>
  <c r="H223" i="1" s="1"/>
  <c r="F223" i="1"/>
  <c r="G222" i="1"/>
  <c r="H222" i="1" s="1"/>
  <c r="F222" i="1"/>
  <c r="G221" i="1"/>
  <c r="H221" i="1" s="1"/>
  <c r="F221" i="1"/>
  <c r="G220" i="1"/>
  <c r="H220" i="1" s="1"/>
  <c r="F220" i="1"/>
  <c r="G219" i="1"/>
  <c r="H219" i="1" s="1"/>
  <c r="F219" i="1"/>
  <c r="G218" i="1"/>
  <c r="H218" i="1" s="1"/>
  <c r="F218" i="1"/>
  <c r="G217" i="1"/>
  <c r="H217" i="1" s="1"/>
  <c r="F217" i="1"/>
  <c r="G216" i="1"/>
  <c r="H216" i="1" s="1"/>
  <c r="F216" i="1"/>
  <c r="G215" i="1"/>
  <c r="H215" i="1" s="1"/>
  <c r="F215" i="1"/>
  <c r="G214" i="1"/>
  <c r="H214" i="1" s="1"/>
  <c r="F214" i="1"/>
  <c r="G213" i="1"/>
  <c r="H213" i="1" s="1"/>
  <c r="F213" i="1"/>
  <c r="G212" i="1"/>
  <c r="H212" i="1" s="1"/>
  <c r="F212" i="1"/>
  <c r="G211" i="1"/>
  <c r="H211" i="1" s="1"/>
  <c r="F211" i="1"/>
  <c r="G210" i="1"/>
  <c r="H210" i="1" s="1"/>
  <c r="F210" i="1"/>
  <c r="G209" i="1"/>
  <c r="H209" i="1" s="1"/>
  <c r="F209" i="1"/>
  <c r="G208" i="1"/>
  <c r="H208" i="1" s="1"/>
  <c r="F208" i="1"/>
  <c r="G207" i="1"/>
  <c r="H207" i="1" s="1"/>
  <c r="F207" i="1"/>
  <c r="G206" i="1"/>
  <c r="H206" i="1" s="1"/>
  <c r="F206" i="1"/>
  <c r="G205" i="1"/>
  <c r="H205" i="1" s="1"/>
  <c r="F205" i="1"/>
  <c r="G204" i="1"/>
  <c r="H204" i="1" s="1"/>
  <c r="F204" i="1"/>
  <c r="G203" i="1"/>
  <c r="H203" i="1" s="1"/>
  <c r="F203" i="1"/>
  <c r="G202" i="1"/>
  <c r="H202" i="1" s="1"/>
  <c r="F202" i="1"/>
  <c r="G201" i="1"/>
  <c r="H201" i="1" s="1"/>
  <c r="F201" i="1"/>
  <c r="G200" i="1"/>
  <c r="H200" i="1" s="1"/>
  <c r="F200" i="1"/>
  <c r="G199" i="1"/>
  <c r="H199" i="1" s="1"/>
  <c r="F199" i="1"/>
  <c r="G198" i="1"/>
  <c r="H198" i="1" s="1"/>
  <c r="F198" i="1"/>
  <c r="G197" i="1"/>
  <c r="H197" i="1" s="1"/>
  <c r="F197" i="1"/>
  <c r="G196" i="1"/>
  <c r="H196" i="1" s="1"/>
  <c r="F196" i="1"/>
  <c r="G195" i="1"/>
  <c r="H195" i="1" s="1"/>
  <c r="F195" i="1"/>
  <c r="G194" i="1"/>
  <c r="H194" i="1" s="1"/>
  <c r="F194" i="1"/>
  <c r="G193" i="1"/>
  <c r="H193" i="1" s="1"/>
  <c r="F193" i="1"/>
  <c r="G192" i="1"/>
  <c r="H192" i="1" s="1"/>
  <c r="F192" i="1"/>
  <c r="C2" i="1"/>
  <c r="A407" i="1" a="1"/>
  <c r="G34" i="1" l="1"/>
  <c r="G66" i="1"/>
  <c r="G9" i="1"/>
  <c r="G82" i="1"/>
  <c r="G8" i="1"/>
  <c r="G98" i="1"/>
  <c r="G114" i="1"/>
  <c r="G17" i="1"/>
  <c r="G7" i="1"/>
  <c r="H7" i="1" s="1"/>
  <c r="G25" i="1"/>
  <c r="G50" i="1"/>
  <c r="G140" i="1"/>
  <c r="G18" i="1"/>
  <c r="H18" i="1" s="1"/>
  <c r="F18" i="1" s="1"/>
  <c r="G26" i="1"/>
  <c r="G36" i="1"/>
  <c r="G52" i="1"/>
  <c r="G68" i="1"/>
  <c r="G84" i="1"/>
  <c r="G100" i="1"/>
  <c r="G116" i="1"/>
  <c r="G119" i="1"/>
  <c r="G11" i="1"/>
  <c r="G19" i="1"/>
  <c r="G27" i="1"/>
  <c r="G37" i="1"/>
  <c r="G53" i="1"/>
  <c r="G69" i="1"/>
  <c r="G85" i="1"/>
  <c r="G101" i="1"/>
  <c r="G117" i="1"/>
  <c r="G12" i="1"/>
  <c r="H12" i="1" s="1"/>
  <c r="F12" i="1" s="1"/>
  <c r="G20" i="1"/>
  <c r="H20" i="1" s="1"/>
  <c r="F20" i="1" s="1"/>
  <c r="G28" i="1"/>
  <c r="H28" i="1" s="1"/>
  <c r="F28" i="1" s="1"/>
  <c r="G39" i="1"/>
  <c r="G55" i="1"/>
  <c r="G71" i="1"/>
  <c r="G87" i="1"/>
  <c r="G103" i="1"/>
  <c r="G124" i="1"/>
  <c r="G10" i="1"/>
  <c r="G13" i="1"/>
  <c r="G21" i="1"/>
  <c r="G29" i="1"/>
  <c r="G42" i="1"/>
  <c r="G58" i="1"/>
  <c r="G74" i="1"/>
  <c r="G90" i="1"/>
  <c r="G106" i="1"/>
  <c r="G127" i="1"/>
  <c r="G14" i="1"/>
  <c r="G22" i="1"/>
  <c r="G30" i="1"/>
  <c r="G44" i="1"/>
  <c r="G60" i="1"/>
  <c r="G76" i="1"/>
  <c r="G92" i="1"/>
  <c r="G108" i="1"/>
  <c r="G132" i="1"/>
  <c r="G15" i="1"/>
  <c r="G23" i="1"/>
  <c r="G31" i="1"/>
  <c r="G45" i="1"/>
  <c r="G61" i="1"/>
  <c r="G77" i="1"/>
  <c r="G93" i="1"/>
  <c r="G109" i="1"/>
  <c r="G135" i="1"/>
  <c r="G16" i="1"/>
  <c r="G24" i="1"/>
  <c r="G32" i="1"/>
  <c r="G47" i="1"/>
  <c r="G63" i="1"/>
  <c r="G79" i="1"/>
  <c r="G95" i="1"/>
  <c r="G111" i="1"/>
  <c r="G159" i="1"/>
  <c r="G143" i="1"/>
  <c r="G167" i="1"/>
  <c r="G172" i="1"/>
  <c r="G180" i="1"/>
  <c r="G148" i="1"/>
  <c r="G151" i="1"/>
  <c r="A407" i="1"/>
  <c r="G191" i="1"/>
  <c r="G187" i="1"/>
  <c r="G179" i="1"/>
  <c r="G171" i="1"/>
  <c r="G163" i="1"/>
  <c r="G155" i="1"/>
  <c r="G147" i="1"/>
  <c r="G139" i="1"/>
  <c r="G131" i="1"/>
  <c r="G123" i="1"/>
  <c r="G115" i="1"/>
  <c r="G107" i="1"/>
  <c r="G99" i="1"/>
  <c r="G91" i="1"/>
  <c r="G83" i="1"/>
  <c r="G75" i="1"/>
  <c r="G67" i="1"/>
  <c r="G59" i="1"/>
  <c r="G51" i="1"/>
  <c r="G43" i="1"/>
  <c r="G35" i="1"/>
  <c r="G176" i="1"/>
  <c r="G168" i="1"/>
  <c r="G160" i="1"/>
  <c r="G152" i="1"/>
  <c r="G144" i="1"/>
  <c r="G136" i="1"/>
  <c r="G128" i="1"/>
  <c r="G120" i="1"/>
  <c r="G112" i="1"/>
  <c r="G104" i="1"/>
  <c r="G96" i="1"/>
  <c r="G88" i="1"/>
  <c r="G80" i="1"/>
  <c r="G72" i="1"/>
  <c r="G64" i="1"/>
  <c r="G56" i="1"/>
  <c r="G48" i="1"/>
  <c r="G40" i="1"/>
  <c r="G189" i="1"/>
  <c r="G181" i="1"/>
  <c r="G173" i="1"/>
  <c r="G165" i="1"/>
  <c r="G157" i="1"/>
  <c r="G149" i="1"/>
  <c r="G141" i="1"/>
  <c r="G133" i="1"/>
  <c r="G125" i="1"/>
  <c r="G186" i="1"/>
  <c r="G178" i="1"/>
  <c r="G170" i="1"/>
  <c r="G162" i="1"/>
  <c r="G154" i="1"/>
  <c r="G146" i="1"/>
  <c r="G138" i="1"/>
  <c r="G130" i="1"/>
  <c r="G122" i="1"/>
  <c r="G188" i="1"/>
  <c r="G177" i="1"/>
  <c r="G169" i="1"/>
  <c r="G161" i="1"/>
  <c r="G153" i="1"/>
  <c r="G145" i="1"/>
  <c r="G137" i="1"/>
  <c r="G129" i="1"/>
  <c r="G121" i="1"/>
  <c r="G113" i="1"/>
  <c r="G105" i="1"/>
  <c r="G97" i="1"/>
  <c r="G89" i="1"/>
  <c r="G81" i="1"/>
  <c r="G73" i="1"/>
  <c r="G65" i="1"/>
  <c r="G57" i="1"/>
  <c r="G49" i="1"/>
  <c r="G41" i="1"/>
  <c r="G33" i="1"/>
  <c r="G182" i="1"/>
  <c r="G174" i="1"/>
  <c r="G166" i="1"/>
  <c r="G158" i="1"/>
  <c r="G150" i="1"/>
  <c r="G142" i="1"/>
  <c r="G134" i="1"/>
  <c r="G126" i="1"/>
  <c r="G118" i="1"/>
  <c r="G110" i="1"/>
  <c r="G102" i="1"/>
  <c r="G94" i="1"/>
  <c r="G86" i="1"/>
  <c r="G78" i="1"/>
  <c r="G70" i="1"/>
  <c r="G62" i="1"/>
  <c r="G54" i="1"/>
  <c r="G46" i="1"/>
  <c r="G38" i="1"/>
  <c r="G183" i="1"/>
  <c r="G164" i="1"/>
  <c r="G175" i="1"/>
  <c r="G156" i="1"/>
  <c r="G190" i="1"/>
  <c r="G185" i="1"/>
  <c r="G184" i="1"/>
  <c r="H10" i="1" l="1"/>
  <c r="F10" i="1" s="1"/>
  <c r="H9" i="1"/>
  <c r="F9" i="1" s="1"/>
  <c r="H8" i="1"/>
  <c r="F8" i="1" s="1"/>
  <c r="F7" i="1"/>
  <c r="H17" i="1"/>
  <c r="F17" i="1" s="1"/>
  <c r="H25" i="1"/>
  <c r="F25" i="1" s="1"/>
  <c r="H11" i="1"/>
  <c r="F11" i="1" s="1"/>
  <c r="H14" i="1"/>
  <c r="F14" i="1" s="1"/>
  <c r="H13" i="1"/>
  <c r="F13" i="1" s="1"/>
  <c r="H24" i="1"/>
  <c r="F24" i="1" s="1"/>
  <c r="H27" i="1"/>
  <c r="F27" i="1" s="1"/>
  <c r="H16" i="1"/>
  <c r="F16" i="1" s="1"/>
  <c r="H22" i="1"/>
  <c r="F22" i="1" s="1"/>
  <c r="H29" i="1"/>
  <c r="F29" i="1" s="1"/>
  <c r="H45" i="1"/>
  <c r="F45" i="1" s="1"/>
  <c r="H32" i="1"/>
  <c r="F32" i="1" s="1"/>
  <c r="H21" i="1"/>
  <c r="F21" i="1" s="1"/>
  <c r="H19" i="1"/>
  <c r="F19" i="1" s="1"/>
  <c r="H30" i="1"/>
  <c r="F30" i="1" s="1"/>
  <c r="H31" i="1"/>
  <c r="F31" i="1" s="1"/>
  <c r="H26" i="1"/>
  <c r="F26" i="1" s="1"/>
  <c r="H23" i="1"/>
  <c r="F23" i="1" s="1"/>
  <c r="H15" i="1"/>
  <c r="F15" i="1" s="1"/>
  <c r="H68" i="1"/>
  <c r="F68" i="1" s="1"/>
  <c r="H90" i="1"/>
  <c r="F90" i="1" s="1"/>
  <c r="H140" i="1"/>
  <c r="F140" i="1" s="1"/>
  <c r="H85" i="1"/>
  <c r="F85" i="1" s="1"/>
  <c r="H172" i="1"/>
  <c r="F172" i="1" s="1"/>
  <c r="H151" i="1"/>
  <c r="F151" i="1" s="1"/>
  <c r="H44" i="1"/>
  <c r="F44" i="1" s="1"/>
  <c r="H117" i="1"/>
  <c r="F117" i="1" s="1"/>
  <c r="H42" i="1"/>
  <c r="F42" i="1" s="1"/>
  <c r="H116" i="1"/>
  <c r="F116" i="1" s="1"/>
  <c r="H183" i="1"/>
  <c r="F183" i="1" s="1"/>
  <c r="H94" i="1"/>
  <c r="F94" i="1" s="1"/>
  <c r="H158" i="1"/>
  <c r="F158" i="1" s="1"/>
  <c r="H65" i="1"/>
  <c r="F65" i="1" s="1"/>
  <c r="H129" i="1"/>
  <c r="F129" i="1" s="1"/>
  <c r="H122" i="1"/>
  <c r="F122" i="1" s="1"/>
  <c r="H186" i="1"/>
  <c r="F186" i="1" s="1"/>
  <c r="H181" i="1"/>
  <c r="F181" i="1" s="1"/>
  <c r="H88" i="1"/>
  <c r="F88" i="1" s="1"/>
  <c r="H152" i="1"/>
  <c r="F152" i="1" s="1"/>
  <c r="H67" i="1"/>
  <c r="F67" i="1" s="1"/>
  <c r="H131" i="1"/>
  <c r="F131" i="1" s="1"/>
  <c r="H148" i="1"/>
  <c r="F148" i="1" s="1"/>
  <c r="H76" i="1"/>
  <c r="F76" i="1" s="1"/>
  <c r="H87" i="1"/>
  <c r="F87" i="1" s="1"/>
  <c r="H106" i="1"/>
  <c r="F106" i="1" s="1"/>
  <c r="H36" i="1"/>
  <c r="F36" i="1" s="1"/>
  <c r="H47" i="1"/>
  <c r="F47" i="1" s="1"/>
  <c r="H184" i="1"/>
  <c r="F184" i="1" s="1"/>
  <c r="H101" i="1"/>
  <c r="F101" i="1" s="1"/>
  <c r="H100" i="1"/>
  <c r="F100" i="1" s="1"/>
  <c r="H38" i="1"/>
  <c r="F38" i="1" s="1"/>
  <c r="H102" i="1"/>
  <c r="F102" i="1" s="1"/>
  <c r="H166" i="1"/>
  <c r="F166" i="1" s="1"/>
  <c r="H73" i="1"/>
  <c r="F73" i="1" s="1"/>
  <c r="H137" i="1"/>
  <c r="F137" i="1" s="1"/>
  <c r="H130" i="1"/>
  <c r="F130" i="1" s="1"/>
  <c r="H125" i="1"/>
  <c r="F125" i="1" s="1"/>
  <c r="H189" i="1"/>
  <c r="F189" i="1" s="1"/>
  <c r="H96" i="1"/>
  <c r="F96" i="1" s="1"/>
  <c r="H160" i="1"/>
  <c r="F160" i="1" s="1"/>
  <c r="H75" i="1"/>
  <c r="F75" i="1" s="1"/>
  <c r="H139" i="1"/>
  <c r="F139" i="1" s="1"/>
  <c r="H109" i="1"/>
  <c r="F109" i="1" s="1"/>
  <c r="H127" i="1"/>
  <c r="F127" i="1" s="1"/>
  <c r="H71" i="1"/>
  <c r="F71" i="1" s="1"/>
  <c r="H98" i="1"/>
  <c r="F98" i="1" s="1"/>
  <c r="H111" i="1"/>
  <c r="F111" i="1" s="1"/>
  <c r="H185" i="1"/>
  <c r="F185" i="1" s="1"/>
  <c r="H84" i="1"/>
  <c r="F84" i="1" s="1"/>
  <c r="H46" i="1"/>
  <c r="F46" i="1" s="1"/>
  <c r="H110" i="1"/>
  <c r="F110" i="1" s="1"/>
  <c r="H174" i="1"/>
  <c r="F174" i="1" s="1"/>
  <c r="H81" i="1"/>
  <c r="F81" i="1" s="1"/>
  <c r="H145" i="1"/>
  <c r="F145" i="1" s="1"/>
  <c r="H138" i="1"/>
  <c r="F138" i="1" s="1"/>
  <c r="H133" i="1"/>
  <c r="F133" i="1" s="1"/>
  <c r="H40" i="1"/>
  <c r="F40" i="1" s="1"/>
  <c r="H104" i="1"/>
  <c r="F104" i="1" s="1"/>
  <c r="H168" i="1"/>
  <c r="F168" i="1" s="1"/>
  <c r="H83" i="1"/>
  <c r="F83" i="1" s="1"/>
  <c r="H147" i="1"/>
  <c r="F147" i="1" s="1"/>
  <c r="H93" i="1"/>
  <c r="F93" i="1" s="1"/>
  <c r="H60" i="1"/>
  <c r="F60" i="1" s="1"/>
  <c r="H34" i="1"/>
  <c r="F34" i="1" s="1"/>
  <c r="H55" i="1"/>
  <c r="F55" i="1" s="1"/>
  <c r="H50" i="1"/>
  <c r="F50" i="1" s="1"/>
  <c r="H190" i="1"/>
  <c r="F190" i="1" s="1"/>
  <c r="H54" i="1"/>
  <c r="F54" i="1" s="1"/>
  <c r="H118" i="1"/>
  <c r="F118" i="1" s="1"/>
  <c r="H182" i="1"/>
  <c r="F182" i="1" s="1"/>
  <c r="H89" i="1"/>
  <c r="F89" i="1" s="1"/>
  <c r="H153" i="1"/>
  <c r="F153" i="1" s="1"/>
  <c r="H146" i="1"/>
  <c r="F146" i="1" s="1"/>
  <c r="H141" i="1"/>
  <c r="F141" i="1" s="1"/>
  <c r="H48" i="1"/>
  <c r="F48" i="1" s="1"/>
  <c r="H112" i="1"/>
  <c r="F112" i="1" s="1"/>
  <c r="H176" i="1"/>
  <c r="F176" i="1" s="1"/>
  <c r="H91" i="1"/>
  <c r="F91" i="1" s="1"/>
  <c r="H155" i="1"/>
  <c r="F155" i="1" s="1"/>
  <c r="H77" i="1"/>
  <c r="F77" i="1" s="1"/>
  <c r="H191" i="1"/>
  <c r="F191" i="1" s="1"/>
  <c r="H82" i="1"/>
  <c r="F82" i="1" s="1"/>
  <c r="H79" i="1"/>
  <c r="F79" i="1" s="1"/>
  <c r="H74" i="1"/>
  <c r="F74" i="1" s="1"/>
  <c r="H52" i="1"/>
  <c r="F52" i="1" s="1"/>
  <c r="H62" i="1"/>
  <c r="F62" i="1" s="1"/>
  <c r="H126" i="1"/>
  <c r="F126" i="1" s="1"/>
  <c r="H33" i="1"/>
  <c r="F33" i="1" s="1"/>
  <c r="H97" i="1"/>
  <c r="F97" i="1" s="1"/>
  <c r="H161" i="1"/>
  <c r="F161" i="1" s="1"/>
  <c r="H154" i="1"/>
  <c r="F154" i="1" s="1"/>
  <c r="H149" i="1"/>
  <c r="F149" i="1" s="1"/>
  <c r="H56" i="1"/>
  <c r="F56" i="1" s="1"/>
  <c r="H120" i="1"/>
  <c r="F120" i="1" s="1"/>
  <c r="H35" i="1"/>
  <c r="F35" i="1" s="1"/>
  <c r="H99" i="1"/>
  <c r="F99" i="1" s="1"/>
  <c r="H163" i="1"/>
  <c r="F163" i="1" s="1"/>
  <c r="H61" i="1"/>
  <c r="F61" i="1" s="1"/>
  <c r="H108" i="1"/>
  <c r="F108" i="1" s="1"/>
  <c r="H167" i="1"/>
  <c r="F167" i="1" s="1"/>
  <c r="H66" i="1"/>
  <c r="F66" i="1" s="1"/>
  <c r="H63" i="1"/>
  <c r="F63" i="1" s="1"/>
  <c r="H156" i="1"/>
  <c r="F156" i="1" s="1"/>
  <c r="H69" i="1"/>
  <c r="F69" i="1" s="1"/>
  <c r="H175" i="1"/>
  <c r="F175" i="1" s="1"/>
  <c r="H70" i="1"/>
  <c r="F70" i="1" s="1"/>
  <c r="H134" i="1"/>
  <c r="F134" i="1" s="1"/>
  <c r="H41" i="1"/>
  <c r="F41" i="1" s="1"/>
  <c r="H105" i="1"/>
  <c r="F105" i="1" s="1"/>
  <c r="H169" i="1"/>
  <c r="F169" i="1" s="1"/>
  <c r="H162" i="1"/>
  <c r="F162" i="1" s="1"/>
  <c r="H157" i="1"/>
  <c r="F157" i="1" s="1"/>
  <c r="H64" i="1"/>
  <c r="F64" i="1" s="1"/>
  <c r="H128" i="1"/>
  <c r="F128" i="1" s="1"/>
  <c r="H43" i="1"/>
  <c r="F43" i="1" s="1"/>
  <c r="H107" i="1"/>
  <c r="F107" i="1" s="1"/>
  <c r="H171" i="1"/>
  <c r="F171" i="1" s="1"/>
  <c r="H135" i="1"/>
  <c r="F135" i="1" s="1"/>
  <c r="H114" i="1"/>
  <c r="F114" i="1" s="1"/>
  <c r="H58" i="1"/>
  <c r="F58" i="1" s="1"/>
  <c r="H143" i="1"/>
  <c r="F143" i="1" s="1"/>
  <c r="H164" i="1"/>
  <c r="F164" i="1" s="1"/>
  <c r="H78" i="1"/>
  <c r="F78" i="1" s="1"/>
  <c r="H142" i="1"/>
  <c r="F142" i="1" s="1"/>
  <c r="H49" i="1"/>
  <c r="F49" i="1" s="1"/>
  <c r="H113" i="1"/>
  <c r="F113" i="1" s="1"/>
  <c r="H177" i="1"/>
  <c r="F177" i="1" s="1"/>
  <c r="H170" i="1"/>
  <c r="F170" i="1" s="1"/>
  <c r="H165" i="1"/>
  <c r="F165" i="1" s="1"/>
  <c r="H72" i="1"/>
  <c r="F72" i="1" s="1"/>
  <c r="H136" i="1"/>
  <c r="F136" i="1" s="1"/>
  <c r="H51" i="1"/>
  <c r="F51" i="1" s="1"/>
  <c r="H115" i="1"/>
  <c r="F115" i="1" s="1"/>
  <c r="H179" i="1"/>
  <c r="F179" i="1" s="1"/>
  <c r="H187" i="1"/>
  <c r="F187" i="1" s="1"/>
  <c r="H92" i="1"/>
  <c r="F92" i="1" s="1"/>
  <c r="H124" i="1"/>
  <c r="F124" i="1" s="1"/>
  <c r="H119" i="1"/>
  <c r="F119" i="1" s="1"/>
  <c r="H180" i="1"/>
  <c r="F180" i="1" s="1"/>
  <c r="H37" i="1"/>
  <c r="F37" i="1" s="1"/>
  <c r="H53" i="1"/>
  <c r="F53" i="1" s="1"/>
  <c r="H132" i="1"/>
  <c r="F132" i="1" s="1"/>
  <c r="H86" i="1"/>
  <c r="F86" i="1" s="1"/>
  <c r="H150" i="1"/>
  <c r="F150" i="1" s="1"/>
  <c r="H57" i="1"/>
  <c r="F57" i="1" s="1"/>
  <c r="H121" i="1"/>
  <c r="F121" i="1" s="1"/>
  <c r="H188" i="1"/>
  <c r="F188" i="1" s="1"/>
  <c r="H178" i="1"/>
  <c r="F178" i="1" s="1"/>
  <c r="H173" i="1"/>
  <c r="F173" i="1" s="1"/>
  <c r="H80" i="1"/>
  <c r="F80" i="1" s="1"/>
  <c r="H144" i="1"/>
  <c r="F144" i="1" s="1"/>
  <c r="H59" i="1"/>
  <c r="F59" i="1" s="1"/>
  <c r="H123" i="1"/>
  <c r="F123" i="1" s="1"/>
  <c r="H159" i="1"/>
  <c r="F159" i="1" s="1"/>
  <c r="H39" i="1"/>
  <c r="F39" i="1" s="1"/>
  <c r="H103" i="1"/>
  <c r="F103" i="1" s="1"/>
  <c r="H95" i="1"/>
  <c r="F95" i="1" s="1"/>
</calcChain>
</file>

<file path=xl/sharedStrings.xml><?xml version="1.0" encoding="utf-8"?>
<sst xmlns="http://schemas.openxmlformats.org/spreadsheetml/2006/main" count="339" uniqueCount="37">
  <si>
    <t>PROJECT NAME:</t>
  </si>
  <si>
    <t>DATE:</t>
  </si>
  <si>
    <t>GLASS SPECIFICATION:</t>
  </si>
  <si>
    <t>8.38MM BRONZE TINTED LAMINATED GLASS</t>
  </si>
  <si>
    <t>Seq</t>
  </si>
  <si>
    <t>LABEL</t>
  </si>
  <si>
    <t>W (mm)</t>
  </si>
  <si>
    <t>H (mm)</t>
  </si>
  <si>
    <t>RotOK</t>
  </si>
  <si>
    <t>OFFCUT AVAILABLE?</t>
  </si>
  <si>
    <t>QUALIFIES</t>
  </si>
  <si>
    <t>QUAL RUN</t>
  </si>
  <si>
    <t>Y</t>
  </si>
  <si>
    <t>WIDTH (MM)</t>
  </si>
  <si>
    <t>HEIGHT (MM)</t>
  </si>
  <si>
    <t>SPEC KEY</t>
  </si>
  <si>
    <t>6.38MM MILKY LAMINATED GLASS</t>
  </si>
  <si>
    <t>6.38MM CLEAR LAMINATED GLASS</t>
  </si>
  <si>
    <t>6.38MM BRONZE TINTED LAMINATED GLASS</t>
  </si>
  <si>
    <t>8.38MM BRONZE ONEWAY LAMINATED GLASS</t>
  </si>
  <si>
    <t>6.38MM GREY TINTED LAMINATED GLASS</t>
  </si>
  <si>
    <t>8MM CLEAR ORDINARY GLASS</t>
  </si>
  <si>
    <t>8.38MM CLEAR LAMINATED GLASS</t>
  </si>
  <si>
    <t>8.38MM  BRONZE MILKY LAMINATED GLASS</t>
  </si>
  <si>
    <t>5MM BRONZE TINTED ORDINARY GLASS</t>
  </si>
  <si>
    <t>8.38MM BLUE TINTED LAMINATED GLASS</t>
  </si>
  <si>
    <t>GLASS SPECIFICATIONS</t>
  </si>
  <si>
    <t>CLEAR</t>
  </si>
  <si>
    <t>MILKY</t>
  </si>
  <si>
    <t>8.38MM MILKY LAMINATED GLASS</t>
  </si>
  <si>
    <t>BRONZE</t>
  </si>
  <si>
    <t>GREY</t>
  </si>
  <si>
    <t>8.38MM GREY TINTED LAMINATED GLASS</t>
  </si>
  <si>
    <t>8.38MM GREY ONEWAY LAMINATED GLASS</t>
  </si>
  <si>
    <t>BLUE</t>
  </si>
  <si>
    <t>window 1</t>
  </si>
  <si>
    <t>GLASS CUTTING JOBCARD [CUT FROM OFFCUTS ONLY]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</si>
</sst>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8" x14ac:knownFonts="1">
    <font>
      <sz val="11"/>
      <color theme="1"/>
      <name val="Calibri"/>
      <family val="2"/>
      <charset val="1"/>
    </font>
    <font>
      <b/>
      <sz val="11"/>
      <color theme="0"/>
      <name val="Calibri"/>
      <family val="2"/>
      <charset val="1"/>
    </font>
    <font>
      <b/>
      <sz val="11"/>
      <name val="Calibri"/>
      <family val="2"/>
      <charset val="1"/>
    </font>
    <font>
      <b/>
      <sz val="16"/>
      <color rgb="FFFFFFFF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sz val="11"/>
      <color rgb="FF00000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054662"/>
        <bgColor rgb="FF1F4E79"/>
      </patternFill>
    </fill>
    <fill>
      <patternFill patternType="solid">
        <fgColor rgb="FF1F4E79"/>
        <bgColor rgb="FF054662"/>
      </patternFill>
    </fill>
    <fill>
      <patternFill patternType="solid">
        <fgColor rgb="FFFF9237"/>
        <bgColor rgb="FFFF8080"/>
      </patternFill>
    </fill>
    <fill>
      <patternFill patternType="solid">
        <fgColor theme="9" tint="0.79989013336588644"/>
        <bgColor rgb="FFF9F8EC"/>
      </patternFill>
    </fill>
    <fill>
      <patternFill patternType="solid">
        <fgColor rgb="FFF9F8EC"/>
        <bgColor rgb="FFFFFFFF"/>
      </patternFill>
    </fill>
    <fill>
      <patternFill patternType="solid">
        <fgColor rgb="FFAB7942"/>
        <bgColor rgb="FF808080"/>
      </patternFill>
    </fill>
    <fill>
      <patternFill patternType="solid">
        <fgColor theme="0" tint="-0.499984740745262"/>
        <bgColor rgb="FF969696"/>
      </patternFill>
    </fill>
    <fill>
      <patternFill patternType="solid">
        <fgColor theme="3" tint="0.79989013336588644"/>
        <bgColor rgb="FFC6EFCE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4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righ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right" vertical="center"/>
    </xf>
    <xf numFmtId="0" fontId="5" fillId="0" borderId="6" xfId="0" applyFont="1" applyBorder="1"/>
    <xf numFmtId="0" fontId="5" fillId="0" borderId="0" xfId="0" applyFont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5" fillId="0" borderId="0" xfId="0" applyFont="1"/>
    <xf numFmtId="0" fontId="7" fillId="0" borderId="0" xfId="0" applyFont="1"/>
    <xf numFmtId="0" fontId="5" fillId="9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5" fillId="6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AB7942"/>
      <rgbColor rgb="FF800080"/>
      <rgbColor rgb="FF008080"/>
      <rgbColor rgb="FFBFBFBF"/>
      <rgbColor rgb="FF808080"/>
      <rgbColor rgb="FF9999FF"/>
      <rgbColor rgb="FF993366"/>
      <rgbColor rgb="FFF9F8E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DEADA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237"/>
      <rgbColor rgb="FFFF6600"/>
      <rgbColor rgb="FF666699"/>
      <rgbColor rgb="FF969696"/>
      <rgbColor rgb="FF054662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7"/>
  <sheetViews>
    <sheetView showGridLines="0" tabSelected="1" zoomScaleNormal="100" workbookViewId="0">
      <selection activeCell="A6" sqref="A6"/>
    </sheetView>
  </sheetViews>
  <sheetFormatPr baseColWidth="10" defaultColWidth="8.83203125" defaultRowHeight="15" customHeight="1" x14ac:dyDescent="0.2"/>
  <cols>
    <col min="1" max="1" width="7.6640625" customWidth="1"/>
    <col min="2" max="2" width="17.5" customWidth="1"/>
    <col min="3" max="5" width="13.33203125" customWidth="1"/>
    <col min="6" max="6" width="17" customWidth="1"/>
    <col min="7" max="7" width="9.1640625" hidden="1" customWidth="1"/>
    <col min="8" max="8" width="9.33203125" hidden="1" customWidth="1"/>
  </cols>
  <sheetData>
    <row r="1" spans="1:8" x14ac:dyDescent="0.2">
      <c r="A1" s="13" t="s">
        <v>0</v>
      </c>
      <c r="B1" s="13"/>
      <c r="C1" s="14"/>
      <c r="D1" s="14"/>
      <c r="E1" s="14"/>
      <c r="F1" s="14"/>
    </row>
    <row r="2" spans="1:8" x14ac:dyDescent="0.2">
      <c r="A2" s="13" t="s">
        <v>1</v>
      </c>
      <c r="B2" s="13"/>
      <c r="C2" s="15">
        <f ca="1">TODAY()</f>
        <v>46087</v>
      </c>
      <c r="D2" s="15"/>
      <c r="E2" s="15"/>
      <c r="F2" s="15"/>
    </row>
    <row r="3" spans="1:8" x14ac:dyDescent="0.2">
      <c r="A3" s="13" t="s">
        <v>2</v>
      </c>
      <c r="B3" s="13"/>
      <c r="C3" s="14" t="s">
        <v>20</v>
      </c>
      <c r="D3" s="14"/>
      <c r="E3" s="14"/>
      <c r="F3" s="14"/>
    </row>
    <row r="5" spans="1:8" ht="24" customHeight="1" x14ac:dyDescent="0.2">
      <c r="A5" s="12" t="s">
        <v>36</v>
      </c>
      <c r="B5" s="12"/>
      <c r="C5" s="12"/>
      <c r="D5" s="12"/>
      <c r="E5" s="12"/>
      <c r="F5" s="12"/>
    </row>
    <row r="6" spans="1:8" x14ac:dyDescent="0.2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2" t="s">
        <v>9</v>
      </c>
      <c r="G6" s="2" t="s">
        <v>10</v>
      </c>
      <c r="H6" s="2" t="s">
        <v>11</v>
      </c>
    </row>
    <row r="7" spans="1:8" x14ac:dyDescent="0.2">
      <c r="A7" s="3">
        <v>1</v>
      </c>
      <c r="B7" s="4" t="s">
        <v>35</v>
      </c>
      <c r="C7" s="3">
        <v>1200</v>
      </c>
      <c r="D7" s="3">
        <v>1000</v>
      </c>
      <c r="E7" s="4" t="s">
        <v>12</v>
      </c>
      <c r="F7" s="4" t="str">
        <f>IF(OR($C$3="",C7="",D7=""),"",IF(G7=0,"NO",IF(H7&lt;=SUMPRODUCT(('GLASS OFFCUTS LIST'!$D$2:$D$298=UPPER(TRIM(SUBSTITUTE(SUBSTITUTE($C$3,"   "," "),"  "," "))))*((('GLASS OFFCUTS LIST'!$A$2:$A$298&gt;=C7)*('GLASS OFFCUTS LIST'!$B$2:$B$298&gt;=D7))+(N(OR(E7=TRUE(),E7="Y",E7="y",E7="YES",E7="Yes"))*(('GLASS OFFCUTS LIST'!$A$2:$A$298&gt;=D7)*('GLASS OFFCUTS LIST'!$B$2:$B$298&gt;=C7)))&gt;0)),"YES","NO")))</f>
        <v>NO</v>
      </c>
      <c r="G7">
        <f>IF(OR($C$3="",C7="",D7=""),"",IF(SUMPRODUCT(('GLASS OFFCUTS LIST'!$D$2:$D$298=UPPER(TRIM(SUBSTITUTE(SUBSTITUTE($C$3,"   "," "),"  "," "))))*((('GLASS OFFCUTS LIST'!$A$2:$A$298&gt;=C7)*('GLASS OFFCUTS LIST'!$B$2:$B$298&gt;=D7))+(N(OR(E7=TRUE(),E7="Y",E7="y",E7="YES",E7="Yes"))*(('GLASS OFFCUTS LIST'!$A$2:$A$298&gt;=D7)*('GLASS OFFCUTS LIST'!$B$2:$B$298&gt;=C7)))&gt;0))&gt;0,1,0))</f>
        <v>0</v>
      </c>
      <c r="H7">
        <f>IF(G7="","",SUM($G$7:G7))</f>
        <v>0</v>
      </c>
    </row>
    <row r="8" spans="1:8" x14ac:dyDescent="0.2">
      <c r="A8" s="3">
        <v>2</v>
      </c>
      <c r="B8" s="4"/>
      <c r="C8" s="3">
        <v>500</v>
      </c>
      <c r="D8" s="3">
        <v>1200</v>
      </c>
      <c r="E8" s="4" t="s">
        <v>12</v>
      </c>
      <c r="F8" s="4" t="str">
        <f>IF(OR($C$3="",C8="",D8=""),"",IF(G8=0,"NO",IF(H8&lt;=SUMPRODUCT(('GLASS OFFCUTS LIST'!$D$2:$D$298=UPPER(TRIM(SUBSTITUTE(SUBSTITUTE($C$3,"   "," "),"  "," "))))*((('GLASS OFFCUTS LIST'!$A$2:$A$298&gt;=C8)*('GLASS OFFCUTS LIST'!$B$2:$B$298&gt;=D8))+(N(OR(E8=TRUE(),E8="Y",E8="y",E8="YES",E8="Yes"))*(('GLASS OFFCUTS LIST'!$A$2:$A$298&gt;=D8)*('GLASS OFFCUTS LIST'!$B$2:$B$298&gt;=C8)))&gt;0)),"YES","NO")))</f>
        <v>NO</v>
      </c>
      <c r="G8">
        <f>IF(OR($C$3="",C8="",D8=""),"",IF(SUMPRODUCT(('GLASS OFFCUTS LIST'!$D$2:$D$298=UPPER(TRIM(SUBSTITUTE(SUBSTITUTE($C$3,"   "," "),"  "," "))))*((('GLASS OFFCUTS LIST'!$A$2:$A$298&gt;=C8)*('GLASS OFFCUTS LIST'!$B$2:$B$298&gt;=D8))+(N(OR(E8=TRUE(),E8="Y",E8="y",E8="YES",E8="Yes"))*(('GLASS OFFCUTS LIST'!$A$2:$A$298&gt;=D8)*('GLASS OFFCUTS LIST'!$B$2:$B$298&gt;=C8)))&gt;0))&gt;0,1,0))</f>
        <v>0</v>
      </c>
      <c r="H8">
        <f>IF(G8="","",SUM($G$7:G8))</f>
        <v>0</v>
      </c>
    </row>
    <row r="9" spans="1:8" x14ac:dyDescent="0.2">
      <c r="A9" s="3">
        <v>3</v>
      </c>
      <c r="B9" s="4"/>
      <c r="C9" s="3">
        <v>875</v>
      </c>
      <c r="D9" s="3">
        <v>480</v>
      </c>
      <c r="E9" s="4" t="s">
        <v>12</v>
      </c>
      <c r="F9" s="4" t="str">
        <f>IF(OR($C$3="",C9="",D9=""),"",IF(G9=0,"NO",IF(H9&lt;=SUMPRODUCT(('GLASS OFFCUTS LIST'!$D$2:$D$298=UPPER(TRIM(SUBSTITUTE(SUBSTITUTE($C$3,"   "," "),"  "," "))))*((('GLASS OFFCUTS LIST'!$A$2:$A$298&gt;=C9)*('GLASS OFFCUTS LIST'!$B$2:$B$298&gt;=D9))+(N(OR(E9=TRUE(),E9="Y",E9="y",E9="YES",E9="Yes"))*(('GLASS OFFCUTS LIST'!$A$2:$A$298&gt;=D9)*('GLASS OFFCUTS LIST'!$B$2:$B$298&gt;=C9)))&gt;0)),"YES","NO")))</f>
        <v>YES</v>
      </c>
      <c r="G9">
        <f>IF(OR($C$3="",C9="",D9=""),"",IF(SUMPRODUCT(('GLASS OFFCUTS LIST'!$D$2:$D$298=UPPER(TRIM(SUBSTITUTE(SUBSTITUTE($C$3,"   "," "),"  "," "))))*((('GLASS OFFCUTS LIST'!$A$2:$A$298&gt;=C9)*('GLASS OFFCUTS LIST'!$B$2:$B$298&gt;=D9))+(N(OR(E9=TRUE(),E9="Y",E9="y",E9="YES",E9="Yes"))*(('GLASS OFFCUTS LIST'!$A$2:$A$298&gt;=D9)*('GLASS OFFCUTS LIST'!$B$2:$B$298&gt;=C9)))&gt;0))&gt;0,1,0))</f>
        <v>1</v>
      </c>
      <c r="H9">
        <f>IF(G9="","",SUM($G$7:G9))</f>
        <v>1</v>
      </c>
    </row>
    <row r="10" spans="1:8" x14ac:dyDescent="0.2">
      <c r="A10" s="3">
        <v>4</v>
      </c>
      <c r="B10" s="4"/>
      <c r="C10" s="3">
        <v>890</v>
      </c>
      <c r="D10" s="3">
        <v>1990</v>
      </c>
      <c r="E10" s="4" t="s">
        <v>12</v>
      </c>
      <c r="F10" s="4" t="str">
        <f>IF(OR($C$3="",C10="",D10=""),"",IF(G10=0,"NO",IF(H10&lt;=SUMPRODUCT(('GLASS OFFCUTS LIST'!$D$2:$D$298=UPPER(TRIM(SUBSTITUTE(SUBSTITUTE($C$3,"   "," "),"  "," "))))*((('GLASS OFFCUTS LIST'!$A$2:$A$298&gt;=C10)*('GLASS OFFCUTS LIST'!$B$2:$B$298&gt;=D10))+(N(OR(E10=TRUE(),E10="Y",E10="y",E10="YES",E10="Yes"))*(('GLASS OFFCUTS LIST'!$A$2:$A$298&gt;=D10)*('GLASS OFFCUTS LIST'!$B$2:$B$298&gt;=C10)))&gt;0)),"YES","NO")))</f>
        <v>NO</v>
      </c>
      <c r="G10">
        <f>IF(OR($C$3="",C10="",D10=""),"",IF(SUMPRODUCT(('GLASS OFFCUTS LIST'!$D$2:$D$298=UPPER(TRIM(SUBSTITUTE(SUBSTITUTE($C$3,"   "," "),"  "," "))))*((('GLASS OFFCUTS LIST'!$A$2:$A$298&gt;=C10)*('GLASS OFFCUTS LIST'!$B$2:$B$298&gt;=D10))+(N(OR(E10=TRUE(),E10="Y",E10="y",E10="YES",E10="Yes"))*(('GLASS OFFCUTS LIST'!$A$2:$A$298&gt;=D10)*('GLASS OFFCUTS LIST'!$B$2:$B$298&gt;=C10)))&gt;0))&gt;0,1,0))</f>
        <v>0</v>
      </c>
      <c r="H10">
        <f>IF(G10="","",SUM($G$7:G10))</f>
        <v>1</v>
      </c>
    </row>
    <row r="11" spans="1:8" x14ac:dyDescent="0.2">
      <c r="A11" s="3">
        <v>5</v>
      </c>
      <c r="B11" s="4"/>
      <c r="C11" s="3"/>
      <c r="D11" s="3"/>
      <c r="E11" s="4"/>
      <c r="F11" s="4" t="str">
        <f>IF(OR($C$3="",C11="",D11=""),"",IF(G11=0,"NO",IF(H11&lt;=SUMPRODUCT(('GLASS OFFCUTS LIST'!$D$2:$D$298=UPPER(TRIM(SUBSTITUTE(SUBSTITUTE($C$3,"   "," "),"  "," "))))*((('GLASS OFFCUTS LIST'!$A$2:$A$298&gt;=C11)*('GLASS OFFCUTS LIST'!$B$2:$B$298&gt;=D11))+(N(OR(E11=TRUE(),E11="Y",E11="y",E11="YES",E11="Yes"))*(('GLASS OFFCUTS LIST'!$A$2:$A$298&gt;=D11)*('GLASS OFFCUTS LIST'!$B$2:$B$298&gt;=C11)))&gt;0)),"YES","NO")))</f>
        <v/>
      </c>
      <c r="G11" t="str">
        <f>IF(OR($C$3="",C11="",D11=""),"",IF(SUMPRODUCT(('GLASS OFFCUTS LIST'!$D$2:$D$298=UPPER(TRIM(SUBSTITUTE(SUBSTITUTE($C$3,"   "," "),"  "," "))))*((('GLASS OFFCUTS LIST'!$A$2:$A$298&gt;=C11)*('GLASS OFFCUTS LIST'!$B$2:$B$298&gt;=D11))+(N(OR(E11=TRUE(),E11="Y",E11="y",E11="YES",E11="Yes"))*(('GLASS OFFCUTS LIST'!$A$2:$A$298&gt;=D11)*('GLASS OFFCUTS LIST'!$B$2:$B$298&gt;=C11)))&gt;0))&gt;0,1,0))</f>
        <v/>
      </c>
      <c r="H11" t="str">
        <f>IF(G11="","",SUM($G$7:G11))</f>
        <v/>
      </c>
    </row>
    <row r="12" spans="1:8" x14ac:dyDescent="0.2">
      <c r="A12" s="3">
        <v>6</v>
      </c>
      <c r="B12" s="4"/>
      <c r="C12" s="3"/>
      <c r="D12" s="3"/>
      <c r="E12" s="4"/>
      <c r="F12" s="4" t="str">
        <f>IF(OR($C$3="",C12="",D12=""),"",IF(G12=0,"NO",IF(H12&lt;=SUMPRODUCT(('GLASS OFFCUTS LIST'!$D$2:$D$298=UPPER(TRIM(SUBSTITUTE(SUBSTITUTE($C$3,"   "," "),"  "," "))))*((('GLASS OFFCUTS LIST'!$A$2:$A$298&gt;=C12)*('GLASS OFFCUTS LIST'!$B$2:$B$298&gt;=D12))+(N(OR(E12=TRUE(),E12="Y",E12="y",E12="YES",E12="Yes"))*(('GLASS OFFCUTS LIST'!$A$2:$A$298&gt;=D12)*('GLASS OFFCUTS LIST'!$B$2:$B$298&gt;=C12)))&gt;0)),"YES","NO")))</f>
        <v/>
      </c>
      <c r="G12" t="str">
        <f>IF(OR($C$3="",C12="",D12=""),"",IF(SUMPRODUCT(('GLASS OFFCUTS LIST'!$D$2:$D$298=UPPER(TRIM(SUBSTITUTE(SUBSTITUTE($C$3,"   "," "),"  "," "))))*((('GLASS OFFCUTS LIST'!$A$2:$A$298&gt;=C12)*('GLASS OFFCUTS LIST'!$B$2:$B$298&gt;=D12))+(N(OR(E12=TRUE(),E12="Y",E12="y",E12="YES",E12="Yes"))*(('GLASS OFFCUTS LIST'!$A$2:$A$298&gt;=D12)*('GLASS OFFCUTS LIST'!$B$2:$B$298&gt;=C12)))&gt;0))&gt;0,1,0))</f>
        <v/>
      </c>
      <c r="H12" t="str">
        <f>IF(G12="","",SUM($G$7:G12))</f>
        <v/>
      </c>
    </row>
    <row r="13" spans="1:8" x14ac:dyDescent="0.2">
      <c r="A13" s="3">
        <v>7</v>
      </c>
      <c r="B13" s="4"/>
      <c r="C13" s="3"/>
      <c r="D13" s="3"/>
      <c r="E13" s="4"/>
      <c r="F13" s="4" t="str">
        <f>IF(OR($C$3="",C13="",D13=""),"",IF(G13=0,"NO",IF(H13&lt;=SUMPRODUCT(('GLASS OFFCUTS LIST'!$D$2:$D$298=UPPER(TRIM(SUBSTITUTE(SUBSTITUTE($C$3,"   "," "),"  "," "))))*((('GLASS OFFCUTS LIST'!$A$2:$A$298&gt;=C13)*('GLASS OFFCUTS LIST'!$B$2:$B$298&gt;=D13))+(N(OR(E13=TRUE(),E13="Y",E13="y",E13="YES",E13="Yes"))*(('GLASS OFFCUTS LIST'!$A$2:$A$298&gt;=D13)*('GLASS OFFCUTS LIST'!$B$2:$B$298&gt;=C13)))&gt;0)),"YES","NO")))</f>
        <v/>
      </c>
      <c r="G13" t="str">
        <f>IF(OR($C$3="",C13="",D13=""),"",IF(SUMPRODUCT(('GLASS OFFCUTS LIST'!$D$2:$D$298=UPPER(TRIM(SUBSTITUTE(SUBSTITUTE($C$3,"   "," "),"  "," "))))*((('GLASS OFFCUTS LIST'!$A$2:$A$298&gt;=C13)*('GLASS OFFCUTS LIST'!$B$2:$B$298&gt;=D13))+(N(OR(E13=TRUE(),E13="Y",E13="y",E13="YES",E13="Yes"))*(('GLASS OFFCUTS LIST'!$A$2:$A$298&gt;=D13)*('GLASS OFFCUTS LIST'!$B$2:$B$298&gt;=C13)))&gt;0))&gt;0,1,0))</f>
        <v/>
      </c>
      <c r="H13" t="str">
        <f>IF(G13="","",SUM($G$7:G13))</f>
        <v/>
      </c>
    </row>
    <row r="14" spans="1:8" x14ac:dyDescent="0.2">
      <c r="A14" s="3">
        <v>8</v>
      </c>
      <c r="B14" s="4"/>
      <c r="C14" s="3"/>
      <c r="D14" s="3"/>
      <c r="E14" s="4"/>
      <c r="F14" s="4" t="str">
        <f>IF(OR($C$3="",C14="",D14=""),"",IF(G14=0,"NO",IF(H14&lt;=SUMPRODUCT(('GLASS OFFCUTS LIST'!$D$2:$D$298=UPPER(TRIM(SUBSTITUTE(SUBSTITUTE($C$3,"   "," "),"  "," "))))*((('GLASS OFFCUTS LIST'!$A$2:$A$298&gt;=C14)*('GLASS OFFCUTS LIST'!$B$2:$B$298&gt;=D14))+(N(OR(E14=TRUE(),E14="Y",E14="y",E14="YES",E14="Yes"))*(('GLASS OFFCUTS LIST'!$A$2:$A$298&gt;=D14)*('GLASS OFFCUTS LIST'!$B$2:$B$298&gt;=C14)))&gt;0)),"YES","NO")))</f>
        <v/>
      </c>
      <c r="G14" t="str">
        <f>IF(OR($C$3="",C14="",D14=""),"",IF(SUMPRODUCT(('GLASS OFFCUTS LIST'!$D$2:$D$298=UPPER(TRIM(SUBSTITUTE(SUBSTITUTE($C$3,"   "," "),"  "," "))))*((('GLASS OFFCUTS LIST'!$A$2:$A$298&gt;=C14)*('GLASS OFFCUTS LIST'!$B$2:$B$298&gt;=D14))+(N(OR(E14=TRUE(),E14="Y",E14="y",E14="YES",E14="Yes"))*(('GLASS OFFCUTS LIST'!$A$2:$A$298&gt;=D14)*('GLASS OFFCUTS LIST'!$B$2:$B$298&gt;=C14)))&gt;0))&gt;0,1,0))</f>
        <v/>
      </c>
      <c r="H14" t="str">
        <f>IF(G14="","",SUM($G$7:G14))</f>
        <v/>
      </c>
    </row>
    <row r="15" spans="1:8" x14ac:dyDescent="0.2">
      <c r="A15" s="3">
        <v>9</v>
      </c>
      <c r="B15" s="4"/>
      <c r="C15" s="3"/>
      <c r="D15" s="3"/>
      <c r="E15" s="4"/>
      <c r="F15" s="4" t="str">
        <f>IF(OR($C$3="",C15="",D15=""),"",IF(G15=0,"NO",IF(H15&lt;=SUMPRODUCT(('GLASS OFFCUTS LIST'!$D$2:$D$298=UPPER(TRIM(SUBSTITUTE(SUBSTITUTE($C$3,"   "," "),"  "," "))))*((('GLASS OFFCUTS LIST'!$A$2:$A$298&gt;=C15)*('GLASS OFFCUTS LIST'!$B$2:$B$298&gt;=D15))+(N(OR(E15=TRUE(),E15="Y",E15="y",E15="YES",E15="Yes"))*(('GLASS OFFCUTS LIST'!$A$2:$A$298&gt;=D15)*('GLASS OFFCUTS LIST'!$B$2:$B$298&gt;=C15)))&gt;0)),"YES","NO")))</f>
        <v/>
      </c>
      <c r="G15" t="str">
        <f>IF(OR($C$3="",C15="",D15=""),"",IF(SUMPRODUCT(('GLASS OFFCUTS LIST'!$D$2:$D$298=UPPER(TRIM(SUBSTITUTE(SUBSTITUTE($C$3,"   "," "),"  "," "))))*((('GLASS OFFCUTS LIST'!$A$2:$A$298&gt;=C15)*('GLASS OFFCUTS LIST'!$B$2:$B$298&gt;=D15))+(N(OR(E15=TRUE(),E15="Y",E15="y",E15="YES",E15="Yes"))*(('GLASS OFFCUTS LIST'!$A$2:$A$298&gt;=D15)*('GLASS OFFCUTS LIST'!$B$2:$B$298&gt;=C15)))&gt;0))&gt;0,1,0))</f>
        <v/>
      </c>
      <c r="H15" t="str">
        <f>IF(G15="","",SUM($G$7:G15))</f>
        <v/>
      </c>
    </row>
    <row r="16" spans="1:8" x14ac:dyDescent="0.2">
      <c r="A16" s="3">
        <v>10</v>
      </c>
      <c r="B16" s="4"/>
      <c r="C16" s="3"/>
      <c r="D16" s="3"/>
      <c r="E16" s="4"/>
      <c r="F16" s="4" t="str">
        <f>IF(OR($C$3="",C16="",D16=""),"",IF(G16=0,"NO",IF(H16&lt;=SUMPRODUCT(('GLASS OFFCUTS LIST'!$D$2:$D$298=UPPER(TRIM(SUBSTITUTE(SUBSTITUTE($C$3,"   "," "),"  "," "))))*((('GLASS OFFCUTS LIST'!$A$2:$A$298&gt;=C16)*('GLASS OFFCUTS LIST'!$B$2:$B$298&gt;=D16))+(N(OR(E16=TRUE(),E16="Y",E16="y",E16="YES",E16="Yes"))*(('GLASS OFFCUTS LIST'!$A$2:$A$298&gt;=D16)*('GLASS OFFCUTS LIST'!$B$2:$B$298&gt;=C16)))&gt;0)),"YES","NO")))</f>
        <v/>
      </c>
      <c r="G16" t="str">
        <f>IF(OR($C$3="",C16="",D16=""),"",IF(SUMPRODUCT(('GLASS OFFCUTS LIST'!$D$2:$D$298=UPPER(TRIM(SUBSTITUTE(SUBSTITUTE($C$3,"   "," "),"  "," "))))*((('GLASS OFFCUTS LIST'!$A$2:$A$298&gt;=C16)*('GLASS OFFCUTS LIST'!$B$2:$B$298&gt;=D16))+(N(OR(E16=TRUE(),E16="Y",E16="y",E16="YES",E16="Yes"))*(('GLASS OFFCUTS LIST'!$A$2:$A$298&gt;=D16)*('GLASS OFFCUTS LIST'!$B$2:$B$298&gt;=C16)))&gt;0))&gt;0,1,0))</f>
        <v/>
      </c>
      <c r="H16" t="str">
        <f>IF(G16="","",SUM($G$7:G16))</f>
        <v/>
      </c>
    </row>
    <row r="17" spans="1:8" x14ac:dyDescent="0.2">
      <c r="A17" s="3">
        <v>11</v>
      </c>
      <c r="B17" s="4"/>
      <c r="C17" s="3"/>
      <c r="D17" s="3"/>
      <c r="E17" s="4"/>
      <c r="F17" s="4" t="str">
        <f>IF(OR($C$3="",C17="",D17=""),"",IF(G17=0,"NO",IF(H17&lt;=SUMPRODUCT(('GLASS OFFCUTS LIST'!$D$2:$D$298=UPPER(TRIM(SUBSTITUTE(SUBSTITUTE($C$3,"   "," "),"  "," "))))*((('GLASS OFFCUTS LIST'!$A$2:$A$298&gt;=C17)*('GLASS OFFCUTS LIST'!$B$2:$B$298&gt;=D17))+(N(OR(E17=TRUE(),E17="Y",E17="y",E17="YES",E17="Yes"))*(('GLASS OFFCUTS LIST'!$A$2:$A$298&gt;=D17)*('GLASS OFFCUTS LIST'!$B$2:$B$298&gt;=C17)))&gt;0)),"YES","NO")))</f>
        <v/>
      </c>
      <c r="G17" t="str">
        <f>IF(OR($C$3="",C17="",D17=""),"",IF(SUMPRODUCT(('GLASS OFFCUTS LIST'!$D$2:$D$298=UPPER(TRIM(SUBSTITUTE(SUBSTITUTE($C$3,"   "," "),"  "," "))))*((('GLASS OFFCUTS LIST'!$A$2:$A$298&gt;=C17)*('GLASS OFFCUTS LIST'!$B$2:$B$298&gt;=D17))+(N(OR(E17=TRUE(),E17="Y",E17="y",E17="YES",E17="Yes"))*(('GLASS OFFCUTS LIST'!$A$2:$A$298&gt;=D17)*('GLASS OFFCUTS LIST'!$B$2:$B$298&gt;=C17)))&gt;0))&gt;0,1,0))</f>
        <v/>
      </c>
      <c r="H17" t="str">
        <f>IF(G17="","",SUM($G$7:G17))</f>
        <v/>
      </c>
    </row>
    <row r="18" spans="1:8" x14ac:dyDescent="0.2">
      <c r="A18" s="3">
        <v>12</v>
      </c>
      <c r="B18" s="4"/>
      <c r="C18" s="3"/>
      <c r="D18" s="3"/>
      <c r="E18" s="4"/>
      <c r="F18" s="4" t="str">
        <f>IF(OR($C$3="",C18="",D18=""),"",IF(G18=0,"NO",IF(H18&lt;=SUMPRODUCT(('GLASS OFFCUTS LIST'!$D$2:$D$298=UPPER(TRIM(SUBSTITUTE(SUBSTITUTE($C$3,"   "," "),"  "," "))))*((('GLASS OFFCUTS LIST'!$A$2:$A$298&gt;=C18)*('GLASS OFFCUTS LIST'!$B$2:$B$298&gt;=D18))+(N(OR(E18=TRUE(),E18="Y",E18="y",E18="YES",E18="Yes"))*(('GLASS OFFCUTS LIST'!$A$2:$A$298&gt;=D18)*('GLASS OFFCUTS LIST'!$B$2:$B$298&gt;=C18)))&gt;0)),"YES","NO")))</f>
        <v/>
      </c>
      <c r="G18" t="str">
        <f>IF(OR($C$3="",C18="",D18=""),"",IF(SUMPRODUCT(('GLASS OFFCUTS LIST'!$D$2:$D$298=UPPER(TRIM(SUBSTITUTE(SUBSTITUTE($C$3,"   "," "),"  "," "))))*((('GLASS OFFCUTS LIST'!$A$2:$A$298&gt;=C18)*('GLASS OFFCUTS LIST'!$B$2:$B$298&gt;=D18))+(N(OR(E18=TRUE(),E18="Y",E18="y",E18="YES",E18="Yes"))*(('GLASS OFFCUTS LIST'!$A$2:$A$298&gt;=D18)*('GLASS OFFCUTS LIST'!$B$2:$B$298&gt;=C18)))&gt;0))&gt;0,1,0))</f>
        <v/>
      </c>
      <c r="H18" t="str">
        <f>IF(G18="","",SUM($G$7:G18))</f>
        <v/>
      </c>
    </row>
    <row r="19" spans="1:8" x14ac:dyDescent="0.2">
      <c r="A19" s="3">
        <v>13</v>
      </c>
      <c r="B19" s="4"/>
      <c r="C19" s="3"/>
      <c r="D19" s="3"/>
      <c r="E19" s="4"/>
      <c r="F19" s="4" t="str">
        <f>IF(OR($C$3="",C19="",D19=""),"",IF(G19=0,"NO",IF(H19&lt;=SUMPRODUCT(('GLASS OFFCUTS LIST'!$D$2:$D$298=UPPER(TRIM(SUBSTITUTE(SUBSTITUTE($C$3,"   "," "),"  "," "))))*((('GLASS OFFCUTS LIST'!$A$2:$A$298&gt;=C19)*('GLASS OFFCUTS LIST'!$B$2:$B$298&gt;=D19))+(N(OR(E19=TRUE(),E19="Y",E19="y",E19="YES",E19="Yes"))*(('GLASS OFFCUTS LIST'!$A$2:$A$298&gt;=D19)*('GLASS OFFCUTS LIST'!$B$2:$B$298&gt;=C19)))&gt;0)),"YES","NO")))</f>
        <v/>
      </c>
      <c r="G19" t="str">
        <f>IF(OR($C$3="",C19="",D19=""),"",IF(SUMPRODUCT(('GLASS OFFCUTS LIST'!$D$2:$D$298=UPPER(TRIM(SUBSTITUTE(SUBSTITUTE($C$3,"   "," "),"  "," "))))*((('GLASS OFFCUTS LIST'!$A$2:$A$298&gt;=C19)*('GLASS OFFCUTS LIST'!$B$2:$B$298&gt;=D19))+(N(OR(E19=TRUE(),E19="Y",E19="y",E19="YES",E19="Yes"))*(('GLASS OFFCUTS LIST'!$A$2:$A$298&gt;=D19)*('GLASS OFFCUTS LIST'!$B$2:$B$298&gt;=C19)))&gt;0))&gt;0,1,0))</f>
        <v/>
      </c>
      <c r="H19" t="str">
        <f>IF(G19="","",SUM($G$7:G19))</f>
        <v/>
      </c>
    </row>
    <row r="20" spans="1:8" x14ac:dyDescent="0.2">
      <c r="A20" s="3">
        <v>14</v>
      </c>
      <c r="B20" s="4"/>
      <c r="C20" s="3"/>
      <c r="D20" s="3"/>
      <c r="E20" s="4"/>
      <c r="F20" s="4" t="str">
        <f>IF(OR($C$3="",C20="",D20=""),"",IF(G20=0,"NO",IF(H20&lt;=SUMPRODUCT(('GLASS OFFCUTS LIST'!$D$2:$D$298=UPPER(TRIM(SUBSTITUTE(SUBSTITUTE($C$3,"   "," "),"  "," "))))*((('GLASS OFFCUTS LIST'!$A$2:$A$298&gt;=C20)*('GLASS OFFCUTS LIST'!$B$2:$B$298&gt;=D20))+(N(OR(E20=TRUE(),E20="Y",E20="y",E20="YES",E20="Yes"))*(('GLASS OFFCUTS LIST'!$A$2:$A$298&gt;=D20)*('GLASS OFFCUTS LIST'!$B$2:$B$298&gt;=C20)))&gt;0)),"YES","NO")))</f>
        <v/>
      </c>
      <c r="G20" t="str">
        <f>IF(OR($C$3="",C20="",D20=""),"",IF(SUMPRODUCT(('GLASS OFFCUTS LIST'!$D$2:$D$298=UPPER(TRIM(SUBSTITUTE(SUBSTITUTE($C$3,"   "," "),"  "," "))))*((('GLASS OFFCUTS LIST'!$A$2:$A$298&gt;=C20)*('GLASS OFFCUTS LIST'!$B$2:$B$298&gt;=D20))+(N(OR(E20=TRUE(),E20="Y",E20="y",E20="YES",E20="Yes"))*(('GLASS OFFCUTS LIST'!$A$2:$A$298&gt;=D20)*('GLASS OFFCUTS LIST'!$B$2:$B$298&gt;=C20)))&gt;0))&gt;0,1,0))</f>
        <v/>
      </c>
      <c r="H20" t="str">
        <f>IF(G20="","",SUM($G$7:G20))</f>
        <v/>
      </c>
    </row>
    <row r="21" spans="1:8" x14ac:dyDescent="0.2">
      <c r="A21" s="3">
        <v>15</v>
      </c>
      <c r="B21" s="4"/>
      <c r="C21" s="3"/>
      <c r="D21" s="3"/>
      <c r="E21" s="4"/>
      <c r="F21" s="4" t="str">
        <f>IF(OR($C$3="",C21="",D21=""),"",IF(G21=0,"NO",IF(H21&lt;=SUMPRODUCT(('GLASS OFFCUTS LIST'!$D$2:$D$298=UPPER(TRIM(SUBSTITUTE(SUBSTITUTE($C$3,"   "," "),"  "," "))))*((('GLASS OFFCUTS LIST'!$A$2:$A$298&gt;=C21)*('GLASS OFFCUTS LIST'!$B$2:$B$298&gt;=D21))+(N(OR(E21=TRUE(),E21="Y",E21="y",E21="YES",E21="Yes"))*(('GLASS OFFCUTS LIST'!$A$2:$A$298&gt;=D21)*('GLASS OFFCUTS LIST'!$B$2:$B$298&gt;=C21)))&gt;0)),"YES","NO")))</f>
        <v/>
      </c>
      <c r="G21" t="str">
        <f>IF(OR($C$3="",C21="",D21=""),"",IF(SUMPRODUCT(('GLASS OFFCUTS LIST'!$D$2:$D$298=UPPER(TRIM(SUBSTITUTE(SUBSTITUTE($C$3,"   "," "),"  "," "))))*((('GLASS OFFCUTS LIST'!$A$2:$A$298&gt;=C21)*('GLASS OFFCUTS LIST'!$B$2:$B$298&gt;=D21))+(N(OR(E21=TRUE(),E21="Y",E21="y",E21="YES",E21="Yes"))*(('GLASS OFFCUTS LIST'!$A$2:$A$298&gt;=D21)*('GLASS OFFCUTS LIST'!$B$2:$B$298&gt;=C21)))&gt;0))&gt;0,1,0))</f>
        <v/>
      </c>
      <c r="H21" t="str">
        <f>IF(G21="","",SUM($G$7:G21))</f>
        <v/>
      </c>
    </row>
    <row r="22" spans="1:8" x14ac:dyDescent="0.2">
      <c r="A22" s="3">
        <v>16</v>
      </c>
      <c r="B22" s="4"/>
      <c r="C22" s="3"/>
      <c r="D22" s="3"/>
      <c r="E22" s="4"/>
      <c r="F22" s="4" t="str">
        <f>IF(OR($C$3="",C22="",D22=""),"",IF(G22=0,"NO",IF(H22&lt;=SUMPRODUCT(('GLASS OFFCUTS LIST'!$D$2:$D$298=UPPER(TRIM(SUBSTITUTE(SUBSTITUTE($C$3,"   "," "),"  "," "))))*((('GLASS OFFCUTS LIST'!$A$2:$A$298&gt;=C22)*('GLASS OFFCUTS LIST'!$B$2:$B$298&gt;=D22))+(N(OR(E22=TRUE(),E22="Y",E22="y",E22="YES",E22="Yes"))*(('GLASS OFFCUTS LIST'!$A$2:$A$298&gt;=D22)*('GLASS OFFCUTS LIST'!$B$2:$B$298&gt;=C22)))&gt;0)),"YES","NO")))</f>
        <v/>
      </c>
      <c r="G22" t="str">
        <f>IF(OR($C$3="",C22="",D22=""),"",IF(SUMPRODUCT(('GLASS OFFCUTS LIST'!$D$2:$D$298=UPPER(TRIM(SUBSTITUTE(SUBSTITUTE($C$3,"   "," "),"  "," "))))*((('GLASS OFFCUTS LIST'!$A$2:$A$298&gt;=C22)*('GLASS OFFCUTS LIST'!$B$2:$B$298&gt;=D22))+(N(OR(E22=TRUE(),E22="Y",E22="y",E22="YES",E22="Yes"))*(('GLASS OFFCUTS LIST'!$A$2:$A$298&gt;=D22)*('GLASS OFFCUTS LIST'!$B$2:$B$298&gt;=C22)))&gt;0))&gt;0,1,0))</f>
        <v/>
      </c>
      <c r="H22" t="str">
        <f>IF(G22="","",SUM($G$7:G22))</f>
        <v/>
      </c>
    </row>
    <row r="23" spans="1:8" x14ac:dyDescent="0.2">
      <c r="A23" s="3">
        <v>17</v>
      </c>
      <c r="B23" s="4"/>
      <c r="C23" s="3"/>
      <c r="D23" s="3"/>
      <c r="E23" s="4"/>
      <c r="F23" s="4" t="str">
        <f>IF(OR($C$3="",C23="",D23=""),"",IF(G23=0,"NO",IF(H23&lt;=SUMPRODUCT(('GLASS OFFCUTS LIST'!$D$2:$D$298=UPPER(TRIM(SUBSTITUTE(SUBSTITUTE($C$3,"   "," "),"  "," "))))*((('GLASS OFFCUTS LIST'!$A$2:$A$298&gt;=C23)*('GLASS OFFCUTS LIST'!$B$2:$B$298&gt;=D23))+(N(OR(E23=TRUE(),E23="Y",E23="y",E23="YES",E23="Yes"))*(('GLASS OFFCUTS LIST'!$A$2:$A$298&gt;=D23)*('GLASS OFFCUTS LIST'!$B$2:$B$298&gt;=C23)))&gt;0)),"YES","NO")))</f>
        <v/>
      </c>
      <c r="G23" t="str">
        <f>IF(OR($C$3="",C23="",D23=""),"",IF(SUMPRODUCT(('GLASS OFFCUTS LIST'!$D$2:$D$298=UPPER(TRIM(SUBSTITUTE(SUBSTITUTE($C$3,"   "," "),"  "," "))))*((('GLASS OFFCUTS LIST'!$A$2:$A$298&gt;=C23)*('GLASS OFFCUTS LIST'!$B$2:$B$298&gt;=D23))+(N(OR(E23=TRUE(),E23="Y",E23="y",E23="YES",E23="Yes"))*(('GLASS OFFCUTS LIST'!$A$2:$A$298&gt;=D23)*('GLASS OFFCUTS LIST'!$B$2:$B$298&gt;=C23)))&gt;0))&gt;0,1,0))</f>
        <v/>
      </c>
      <c r="H23" t="str">
        <f>IF(G23="","",SUM($G$7:G23))</f>
        <v/>
      </c>
    </row>
    <row r="24" spans="1:8" x14ac:dyDescent="0.2">
      <c r="A24" s="3">
        <v>18</v>
      </c>
      <c r="B24" s="4"/>
      <c r="C24" s="3"/>
      <c r="D24" s="3"/>
      <c r="E24" s="4"/>
      <c r="F24" s="4" t="str">
        <f>IF(OR($C$3="",C24="",D24=""),"",IF(G24=0,"NO",IF(H24&lt;=SUMPRODUCT(('GLASS OFFCUTS LIST'!$D$2:$D$298=UPPER(TRIM(SUBSTITUTE(SUBSTITUTE($C$3,"   "," "),"  "," "))))*((('GLASS OFFCUTS LIST'!$A$2:$A$298&gt;=C24)*('GLASS OFFCUTS LIST'!$B$2:$B$298&gt;=D24))+(N(OR(E24=TRUE(),E24="Y",E24="y",E24="YES",E24="Yes"))*(('GLASS OFFCUTS LIST'!$A$2:$A$298&gt;=D24)*('GLASS OFFCUTS LIST'!$B$2:$B$298&gt;=C24)))&gt;0)),"YES","NO")))</f>
        <v/>
      </c>
      <c r="G24" t="str">
        <f>IF(OR($C$3="",C24="",D24=""),"",IF(SUMPRODUCT(('GLASS OFFCUTS LIST'!$D$2:$D$298=UPPER(TRIM(SUBSTITUTE(SUBSTITUTE($C$3,"   "," "),"  "," "))))*((('GLASS OFFCUTS LIST'!$A$2:$A$298&gt;=C24)*('GLASS OFFCUTS LIST'!$B$2:$B$298&gt;=D24))+(N(OR(E24=TRUE(),E24="Y",E24="y",E24="YES",E24="Yes"))*(('GLASS OFFCUTS LIST'!$A$2:$A$298&gt;=D24)*('GLASS OFFCUTS LIST'!$B$2:$B$298&gt;=C24)))&gt;0))&gt;0,1,0))</f>
        <v/>
      </c>
      <c r="H24" t="str">
        <f>IF(G24="","",SUM($G$7:G24))</f>
        <v/>
      </c>
    </row>
    <row r="25" spans="1:8" x14ac:dyDescent="0.2">
      <c r="A25" s="3">
        <v>19</v>
      </c>
      <c r="B25" s="4"/>
      <c r="C25" s="3"/>
      <c r="D25" s="3"/>
      <c r="E25" s="4"/>
      <c r="F25" s="4" t="str">
        <f>IF(OR($C$3="",C25="",D25=""),"",IF(G25=0,"NO",IF(H25&lt;=SUMPRODUCT(('GLASS OFFCUTS LIST'!$D$2:$D$298=UPPER(TRIM(SUBSTITUTE(SUBSTITUTE($C$3,"   "," "),"  "," "))))*((('GLASS OFFCUTS LIST'!$A$2:$A$298&gt;=C25)*('GLASS OFFCUTS LIST'!$B$2:$B$298&gt;=D25))+(N(OR(E25=TRUE(),E25="Y",E25="y",E25="YES",E25="Yes"))*(('GLASS OFFCUTS LIST'!$A$2:$A$298&gt;=D25)*('GLASS OFFCUTS LIST'!$B$2:$B$298&gt;=C25)))&gt;0)),"YES","NO")))</f>
        <v/>
      </c>
      <c r="G25" t="str">
        <f>IF(OR($C$3="",C25="",D25=""),"",IF(SUMPRODUCT(('GLASS OFFCUTS LIST'!$D$2:$D$298=UPPER(TRIM(SUBSTITUTE(SUBSTITUTE($C$3,"   "," "),"  "," "))))*((('GLASS OFFCUTS LIST'!$A$2:$A$298&gt;=C25)*('GLASS OFFCUTS LIST'!$B$2:$B$298&gt;=D25))+(N(OR(E25=TRUE(),E25="Y",E25="y",E25="YES",E25="Yes"))*(('GLASS OFFCUTS LIST'!$A$2:$A$298&gt;=D25)*('GLASS OFFCUTS LIST'!$B$2:$B$298&gt;=C25)))&gt;0))&gt;0,1,0))</f>
        <v/>
      </c>
      <c r="H25" t="str">
        <f>IF(G25="","",SUM($G$7:G25))</f>
        <v/>
      </c>
    </row>
    <row r="26" spans="1:8" x14ac:dyDescent="0.2">
      <c r="A26" s="3">
        <v>20</v>
      </c>
      <c r="B26" s="4"/>
      <c r="C26" s="3"/>
      <c r="D26" s="3"/>
      <c r="E26" s="4"/>
      <c r="F26" s="4" t="str">
        <f>IF(OR($C$3="",C26="",D26=""),"",IF(G26=0,"NO",IF(H26&lt;=SUMPRODUCT(('GLASS OFFCUTS LIST'!$D$2:$D$298=UPPER(TRIM(SUBSTITUTE(SUBSTITUTE($C$3,"   "," "),"  "," "))))*((('GLASS OFFCUTS LIST'!$A$2:$A$298&gt;=C26)*('GLASS OFFCUTS LIST'!$B$2:$B$298&gt;=D26))+(N(OR(E26=TRUE(),E26="Y",E26="y",E26="YES",E26="Yes"))*(('GLASS OFFCUTS LIST'!$A$2:$A$298&gt;=D26)*('GLASS OFFCUTS LIST'!$B$2:$B$298&gt;=C26)))&gt;0)),"YES","NO")))</f>
        <v/>
      </c>
      <c r="G26" t="str">
        <f>IF(OR($C$3="",C26="",D26=""),"",IF(SUMPRODUCT(('GLASS OFFCUTS LIST'!$D$2:$D$298=UPPER(TRIM(SUBSTITUTE(SUBSTITUTE($C$3,"   "," "),"  "," "))))*((('GLASS OFFCUTS LIST'!$A$2:$A$298&gt;=C26)*('GLASS OFFCUTS LIST'!$B$2:$B$298&gt;=D26))+(N(OR(E26=TRUE(),E26="Y",E26="y",E26="YES",E26="Yes"))*(('GLASS OFFCUTS LIST'!$A$2:$A$298&gt;=D26)*('GLASS OFFCUTS LIST'!$B$2:$B$298&gt;=C26)))&gt;0))&gt;0,1,0))</f>
        <v/>
      </c>
      <c r="H26" t="str">
        <f>IF(G26="","",SUM($G$7:G26))</f>
        <v/>
      </c>
    </row>
    <row r="27" spans="1:8" x14ac:dyDescent="0.2">
      <c r="A27" s="3">
        <v>21</v>
      </c>
      <c r="B27" s="4"/>
      <c r="C27" s="3"/>
      <c r="D27" s="3"/>
      <c r="E27" s="4"/>
      <c r="F27" s="4" t="str">
        <f>IF(OR($C$3="",C27="",D27=""),"",IF(G27=0,"NO",IF(H27&lt;=SUMPRODUCT(('GLASS OFFCUTS LIST'!$D$2:$D$298=UPPER(TRIM(SUBSTITUTE(SUBSTITUTE($C$3,"   "," "),"  "," "))))*((('GLASS OFFCUTS LIST'!$A$2:$A$298&gt;=C27)*('GLASS OFFCUTS LIST'!$B$2:$B$298&gt;=D27))+(N(OR(E27=TRUE(),E27="Y",E27="y",E27="YES",E27="Yes"))*(('GLASS OFFCUTS LIST'!$A$2:$A$298&gt;=D27)*('GLASS OFFCUTS LIST'!$B$2:$B$298&gt;=C27)))&gt;0)),"YES","NO")))</f>
        <v/>
      </c>
      <c r="G27" t="str">
        <f>IF(OR($C$3="",C27="",D27=""),"",IF(SUMPRODUCT(('GLASS OFFCUTS LIST'!$D$2:$D$298=UPPER(TRIM(SUBSTITUTE(SUBSTITUTE($C$3,"   "," "),"  "," "))))*((('GLASS OFFCUTS LIST'!$A$2:$A$298&gt;=C27)*('GLASS OFFCUTS LIST'!$B$2:$B$298&gt;=D27))+(N(OR(E27=TRUE(),E27="Y",E27="y",E27="YES",E27="Yes"))*(('GLASS OFFCUTS LIST'!$A$2:$A$298&gt;=D27)*('GLASS OFFCUTS LIST'!$B$2:$B$298&gt;=C27)))&gt;0))&gt;0,1,0))</f>
        <v/>
      </c>
      <c r="H27" t="str">
        <f>IF(G27="","",SUM($G$7:G27))</f>
        <v/>
      </c>
    </row>
    <row r="28" spans="1:8" x14ac:dyDescent="0.2">
      <c r="A28" s="3">
        <v>22</v>
      </c>
      <c r="B28" s="4"/>
      <c r="C28" s="3"/>
      <c r="D28" s="3"/>
      <c r="E28" s="4"/>
      <c r="F28" s="4" t="str">
        <f>IF(OR($C$3="",C28="",D28=""),"",IF(G28=0,"NO",IF(H28&lt;=SUMPRODUCT(('GLASS OFFCUTS LIST'!$D$2:$D$298=UPPER(TRIM(SUBSTITUTE(SUBSTITUTE($C$3,"   "," "),"  "," "))))*((('GLASS OFFCUTS LIST'!$A$2:$A$298&gt;=C28)*('GLASS OFFCUTS LIST'!$B$2:$B$298&gt;=D28))+(N(OR(E28=TRUE(),E28="Y",E28="y",E28="YES",E28="Yes"))*(('GLASS OFFCUTS LIST'!$A$2:$A$298&gt;=D28)*('GLASS OFFCUTS LIST'!$B$2:$B$298&gt;=C28)))&gt;0)),"YES","NO")))</f>
        <v/>
      </c>
      <c r="G28" t="str">
        <f>IF(OR($C$3="",C28="",D28=""),"",IF(SUMPRODUCT(('GLASS OFFCUTS LIST'!$D$2:$D$298=UPPER(TRIM(SUBSTITUTE(SUBSTITUTE($C$3,"   "," "),"  "," "))))*((('GLASS OFFCUTS LIST'!$A$2:$A$298&gt;=C28)*('GLASS OFFCUTS LIST'!$B$2:$B$298&gt;=D28))+(N(OR(E28=TRUE(),E28="Y",E28="y",E28="YES",E28="Yes"))*(('GLASS OFFCUTS LIST'!$A$2:$A$298&gt;=D28)*('GLASS OFFCUTS LIST'!$B$2:$B$298&gt;=C28)))&gt;0))&gt;0,1,0))</f>
        <v/>
      </c>
      <c r="H28" t="str">
        <f>IF(G28="","",SUM($G$7:G28))</f>
        <v/>
      </c>
    </row>
    <row r="29" spans="1:8" x14ac:dyDescent="0.2">
      <c r="A29" s="3">
        <v>23</v>
      </c>
      <c r="B29" s="4"/>
      <c r="C29" s="3"/>
      <c r="D29" s="3"/>
      <c r="E29" s="4"/>
      <c r="F29" s="4" t="str">
        <f>IF(OR($C$3="",C29="",D29=""),"",IF(G29=0,"NO",IF(H29&lt;=SUMPRODUCT(('GLASS OFFCUTS LIST'!$D$2:$D$298=UPPER(TRIM(SUBSTITUTE(SUBSTITUTE($C$3,"   "," "),"  "," "))))*((('GLASS OFFCUTS LIST'!$A$2:$A$298&gt;=C29)*('GLASS OFFCUTS LIST'!$B$2:$B$298&gt;=D29))+(N(OR(E29=TRUE(),E29="Y",E29="y",E29="YES",E29="Yes"))*(('GLASS OFFCUTS LIST'!$A$2:$A$298&gt;=D29)*('GLASS OFFCUTS LIST'!$B$2:$B$298&gt;=C29)))&gt;0)),"YES","NO")))</f>
        <v/>
      </c>
      <c r="G29" t="str">
        <f>IF(OR($C$3="",C29="",D29=""),"",IF(SUMPRODUCT(('GLASS OFFCUTS LIST'!$D$2:$D$298=UPPER(TRIM(SUBSTITUTE(SUBSTITUTE($C$3,"   "," "),"  "," "))))*((('GLASS OFFCUTS LIST'!$A$2:$A$298&gt;=C29)*('GLASS OFFCUTS LIST'!$B$2:$B$298&gt;=D29))+(N(OR(E29=TRUE(),E29="Y",E29="y",E29="YES",E29="Yes"))*(('GLASS OFFCUTS LIST'!$A$2:$A$298&gt;=D29)*('GLASS OFFCUTS LIST'!$B$2:$B$298&gt;=C29)))&gt;0))&gt;0,1,0))</f>
        <v/>
      </c>
      <c r="H29" t="str">
        <f>IF(G29="","",SUM($G$7:G29))</f>
        <v/>
      </c>
    </row>
    <row r="30" spans="1:8" x14ac:dyDescent="0.2">
      <c r="A30" s="3">
        <v>24</v>
      </c>
      <c r="B30" s="4"/>
      <c r="C30" s="3"/>
      <c r="D30" s="3"/>
      <c r="E30" s="4"/>
      <c r="F30" s="4" t="str">
        <f>IF(OR($C$3="",C30="",D30=""),"",IF(G30=0,"NO",IF(H30&lt;=SUMPRODUCT(('GLASS OFFCUTS LIST'!$D$2:$D$298=UPPER(TRIM(SUBSTITUTE(SUBSTITUTE($C$3,"   "," "),"  "," "))))*((('GLASS OFFCUTS LIST'!$A$2:$A$298&gt;=C30)*('GLASS OFFCUTS LIST'!$B$2:$B$298&gt;=D30))+(N(OR(E30=TRUE(),E30="Y",E30="y",E30="YES",E30="Yes"))*(('GLASS OFFCUTS LIST'!$A$2:$A$298&gt;=D30)*('GLASS OFFCUTS LIST'!$B$2:$B$298&gt;=C30)))&gt;0)),"YES","NO")))</f>
        <v/>
      </c>
      <c r="G30" t="str">
        <f>IF(OR($C$3="",C30="",D30=""),"",IF(SUMPRODUCT(('GLASS OFFCUTS LIST'!$D$2:$D$298=UPPER(TRIM(SUBSTITUTE(SUBSTITUTE($C$3,"   "," "),"  "," "))))*((('GLASS OFFCUTS LIST'!$A$2:$A$298&gt;=C30)*('GLASS OFFCUTS LIST'!$B$2:$B$298&gt;=D30))+(N(OR(E30=TRUE(),E30="Y",E30="y",E30="YES",E30="Yes"))*(('GLASS OFFCUTS LIST'!$A$2:$A$298&gt;=D30)*('GLASS OFFCUTS LIST'!$B$2:$B$298&gt;=C30)))&gt;0))&gt;0,1,0))</f>
        <v/>
      </c>
      <c r="H30" t="str">
        <f>IF(G30="","",SUM($G$7:G30))</f>
        <v/>
      </c>
    </row>
    <row r="31" spans="1:8" x14ac:dyDescent="0.2">
      <c r="A31" s="3">
        <v>25</v>
      </c>
      <c r="B31" s="4"/>
      <c r="C31" s="3"/>
      <c r="D31" s="3"/>
      <c r="E31" s="4"/>
      <c r="F31" s="4" t="str">
        <f>IF(OR($C$3="",C31="",D31=""),"",IF(G31=0,"NO",IF(H31&lt;=SUMPRODUCT(('GLASS OFFCUTS LIST'!$D$2:$D$298=UPPER(TRIM(SUBSTITUTE(SUBSTITUTE($C$3,"   "," "),"  "," "))))*((('GLASS OFFCUTS LIST'!$A$2:$A$298&gt;=C31)*('GLASS OFFCUTS LIST'!$B$2:$B$298&gt;=D31))+(N(OR(E31=TRUE(),E31="Y",E31="y",E31="YES",E31="Yes"))*(('GLASS OFFCUTS LIST'!$A$2:$A$298&gt;=D31)*('GLASS OFFCUTS LIST'!$B$2:$B$298&gt;=C31)))&gt;0)),"YES","NO")))</f>
        <v/>
      </c>
      <c r="G31" t="str">
        <f>IF(OR($C$3="",C31="",D31=""),"",IF(SUMPRODUCT(('GLASS OFFCUTS LIST'!$D$2:$D$298=UPPER(TRIM(SUBSTITUTE(SUBSTITUTE($C$3,"   "," "),"  "," "))))*((('GLASS OFFCUTS LIST'!$A$2:$A$298&gt;=C31)*('GLASS OFFCUTS LIST'!$B$2:$B$298&gt;=D31))+(N(OR(E31=TRUE(),E31="Y",E31="y",E31="YES",E31="Yes"))*(('GLASS OFFCUTS LIST'!$A$2:$A$298&gt;=D31)*('GLASS OFFCUTS LIST'!$B$2:$B$298&gt;=C31)))&gt;0))&gt;0,1,0))</f>
        <v/>
      </c>
      <c r="H31" t="str">
        <f>IF(G31="","",SUM($G$7:G31))</f>
        <v/>
      </c>
    </row>
    <row r="32" spans="1:8" x14ac:dyDescent="0.2">
      <c r="A32" s="3">
        <v>26</v>
      </c>
      <c r="B32" s="4"/>
      <c r="C32" s="3"/>
      <c r="D32" s="3"/>
      <c r="E32" s="4"/>
      <c r="F32" s="4" t="str">
        <f>IF(OR($C$3="",C32="",D32=""),"",IF(G32=0,"NO",IF(H32&lt;=SUMPRODUCT(('GLASS OFFCUTS LIST'!$D$2:$D$298=UPPER(TRIM(SUBSTITUTE(SUBSTITUTE($C$3,"   "," "),"  "," "))))*((('GLASS OFFCUTS LIST'!$A$2:$A$298&gt;=C32)*('GLASS OFFCUTS LIST'!$B$2:$B$298&gt;=D32))+(N(OR(E32=TRUE(),E32="Y",E32="y",E32="YES",E32="Yes"))*(('GLASS OFFCUTS LIST'!$A$2:$A$298&gt;=D32)*('GLASS OFFCUTS LIST'!$B$2:$B$298&gt;=C32)))&gt;0)),"YES","NO")))</f>
        <v/>
      </c>
      <c r="G32" t="str">
        <f>IF(OR($C$3="",C32="",D32=""),"",IF(SUMPRODUCT(('GLASS OFFCUTS LIST'!$D$2:$D$298=UPPER(TRIM(SUBSTITUTE(SUBSTITUTE($C$3,"   "," "),"  "," "))))*((('GLASS OFFCUTS LIST'!$A$2:$A$298&gt;=C32)*('GLASS OFFCUTS LIST'!$B$2:$B$298&gt;=D32))+(N(OR(E32=TRUE(),E32="Y",E32="y",E32="YES",E32="Yes"))*(('GLASS OFFCUTS LIST'!$A$2:$A$298&gt;=D32)*('GLASS OFFCUTS LIST'!$B$2:$B$298&gt;=C32)))&gt;0))&gt;0,1,0))</f>
        <v/>
      </c>
      <c r="H32" t="str">
        <f>IF(G32="","",SUM($G$7:G32))</f>
        <v/>
      </c>
    </row>
    <row r="33" spans="1:8" x14ac:dyDescent="0.2">
      <c r="A33" s="3">
        <v>27</v>
      </c>
      <c r="B33" s="4"/>
      <c r="C33" s="3"/>
      <c r="D33" s="3"/>
      <c r="E33" s="4"/>
      <c r="F33" s="4" t="str">
        <f>IF(OR($C$3="",C33="",D33=""),"",IF(G33=0,"NO",IF(H33&lt;=SUMPRODUCT(('GLASS OFFCUTS LIST'!$D$2:$D$298=UPPER(TRIM(SUBSTITUTE(SUBSTITUTE($C$3,"   "," "),"  "," "))))*((('GLASS OFFCUTS LIST'!$A$2:$A$298&gt;=C33)*('GLASS OFFCUTS LIST'!$B$2:$B$298&gt;=D33))+(N(OR(E33=TRUE(),E33="Y",E33="y",E33="YES",E33="Yes"))*(('GLASS OFFCUTS LIST'!$A$2:$A$298&gt;=D33)*('GLASS OFFCUTS LIST'!$B$2:$B$298&gt;=C33)))&gt;0)),"YES","NO")))</f>
        <v/>
      </c>
      <c r="G33" t="str">
        <f>IF(OR($C$3="",C33="",D33=""),"",IF(SUMPRODUCT(('GLASS OFFCUTS LIST'!$D$2:$D$298=UPPER(TRIM(SUBSTITUTE(SUBSTITUTE($C$3,"   "," "),"  "," "))))*((('GLASS OFFCUTS LIST'!$A$2:$A$298&gt;=C33)*('GLASS OFFCUTS LIST'!$B$2:$B$298&gt;=D33))+(N(OR(E33=TRUE(),E33="Y",E33="y",E33="YES",E33="Yes"))*(('GLASS OFFCUTS LIST'!$A$2:$A$298&gt;=D33)*('GLASS OFFCUTS LIST'!$B$2:$B$298&gt;=C33)))&gt;0))&gt;0,1,0))</f>
        <v/>
      </c>
      <c r="H33" t="str">
        <f>IF(G33="","",SUM($G$7:G33))</f>
        <v/>
      </c>
    </row>
    <row r="34" spans="1:8" x14ac:dyDescent="0.2">
      <c r="A34" s="3">
        <v>28</v>
      </c>
      <c r="B34" s="4"/>
      <c r="C34" s="3"/>
      <c r="D34" s="3"/>
      <c r="E34" s="4"/>
      <c r="F34" s="4" t="str">
        <f>IF(OR($C$3="",C34="",D34=""),"",IF(G34=0,"NO",IF(H34&lt;=SUMPRODUCT(('GLASS OFFCUTS LIST'!$D$2:$D$298=UPPER(TRIM(SUBSTITUTE(SUBSTITUTE($C$3,"   "," "),"  "," "))))*((('GLASS OFFCUTS LIST'!$A$2:$A$298&gt;=C34)*('GLASS OFFCUTS LIST'!$B$2:$B$298&gt;=D34))+(N(OR(E34=TRUE(),E34="Y",E34="y",E34="YES",E34="Yes"))*(('GLASS OFFCUTS LIST'!$A$2:$A$298&gt;=D34)*('GLASS OFFCUTS LIST'!$B$2:$B$298&gt;=C34)))&gt;0)),"YES","NO")))</f>
        <v/>
      </c>
      <c r="G34" t="str">
        <f>IF(OR($C$3="",C34="",D34=""),"",IF(SUMPRODUCT(('GLASS OFFCUTS LIST'!$D$2:$D$298=UPPER(TRIM(SUBSTITUTE(SUBSTITUTE($C$3,"   "," "),"  "," "))))*((('GLASS OFFCUTS LIST'!$A$2:$A$298&gt;=C34)*('GLASS OFFCUTS LIST'!$B$2:$B$298&gt;=D34))+(N(OR(E34=TRUE(),E34="Y",E34="y",E34="YES",E34="Yes"))*(('GLASS OFFCUTS LIST'!$A$2:$A$298&gt;=D34)*('GLASS OFFCUTS LIST'!$B$2:$B$298&gt;=C34)))&gt;0))&gt;0,1,0))</f>
        <v/>
      </c>
      <c r="H34" t="str">
        <f>IF(G34="","",SUM($G$7:G34))</f>
        <v/>
      </c>
    </row>
    <row r="35" spans="1:8" x14ac:dyDescent="0.2">
      <c r="A35" s="3">
        <v>29</v>
      </c>
      <c r="B35" s="4"/>
      <c r="C35" s="3"/>
      <c r="D35" s="3"/>
      <c r="E35" s="4"/>
      <c r="F35" s="4" t="str">
        <f>IF(OR($C$3="",C35="",D35=""),"",IF(G35=0,"NO",IF(H35&lt;=SUMPRODUCT(('GLASS OFFCUTS LIST'!$D$2:$D$298=UPPER(TRIM(SUBSTITUTE(SUBSTITUTE($C$3,"   "," "),"  "," "))))*((('GLASS OFFCUTS LIST'!$A$2:$A$298&gt;=C35)*('GLASS OFFCUTS LIST'!$B$2:$B$298&gt;=D35))+(N(OR(E35=TRUE(),E35="Y",E35="y",E35="YES",E35="Yes"))*(('GLASS OFFCUTS LIST'!$A$2:$A$298&gt;=D35)*('GLASS OFFCUTS LIST'!$B$2:$B$298&gt;=C35)))&gt;0)),"YES","NO")))</f>
        <v/>
      </c>
      <c r="G35" t="str">
        <f>IF(OR($C$3="",C35="",D35=""),"",IF(SUMPRODUCT(('GLASS OFFCUTS LIST'!$D$2:$D$298=UPPER(TRIM(SUBSTITUTE(SUBSTITUTE($C$3,"   "," "),"  "," "))))*((('GLASS OFFCUTS LIST'!$A$2:$A$298&gt;=C35)*('GLASS OFFCUTS LIST'!$B$2:$B$298&gt;=D35))+(N(OR(E35=TRUE(),E35="Y",E35="y",E35="YES",E35="Yes"))*(('GLASS OFFCUTS LIST'!$A$2:$A$298&gt;=D35)*('GLASS OFFCUTS LIST'!$B$2:$B$298&gt;=C35)))&gt;0))&gt;0,1,0))</f>
        <v/>
      </c>
      <c r="H35" t="str">
        <f>IF(G35="","",SUM($G$7:G35))</f>
        <v/>
      </c>
    </row>
    <row r="36" spans="1:8" x14ac:dyDescent="0.2">
      <c r="A36" s="3">
        <v>30</v>
      </c>
      <c r="B36" s="4"/>
      <c r="C36" s="3"/>
      <c r="D36" s="3"/>
      <c r="E36" s="4"/>
      <c r="F36" s="4" t="str">
        <f>IF(OR($C$3="",C36="",D36=""),"",IF(G36=0,"NO",IF(H36&lt;=SUMPRODUCT(('GLASS OFFCUTS LIST'!$D$2:$D$298=UPPER(TRIM(SUBSTITUTE(SUBSTITUTE($C$3,"   "," "),"  "," "))))*((('GLASS OFFCUTS LIST'!$A$2:$A$298&gt;=C36)*('GLASS OFFCUTS LIST'!$B$2:$B$298&gt;=D36))+(N(OR(E36=TRUE(),E36="Y",E36="y",E36="YES",E36="Yes"))*(('GLASS OFFCUTS LIST'!$A$2:$A$298&gt;=D36)*('GLASS OFFCUTS LIST'!$B$2:$B$298&gt;=C36)))&gt;0)),"YES","NO")))</f>
        <v/>
      </c>
      <c r="G36" t="str">
        <f>IF(OR($C$3="",C36="",D36=""),"",IF(SUMPRODUCT(('GLASS OFFCUTS LIST'!$D$2:$D$298=UPPER(TRIM(SUBSTITUTE(SUBSTITUTE($C$3,"   "," "),"  "," "))))*((('GLASS OFFCUTS LIST'!$A$2:$A$298&gt;=C36)*('GLASS OFFCUTS LIST'!$B$2:$B$298&gt;=D36))+(N(OR(E36=TRUE(),E36="Y",E36="y",E36="YES",E36="Yes"))*(('GLASS OFFCUTS LIST'!$A$2:$A$298&gt;=D36)*('GLASS OFFCUTS LIST'!$B$2:$B$298&gt;=C36)))&gt;0))&gt;0,1,0))</f>
        <v/>
      </c>
      <c r="H36" t="str">
        <f>IF(G36="","",SUM($G$7:G36))</f>
        <v/>
      </c>
    </row>
    <row r="37" spans="1:8" x14ac:dyDescent="0.2">
      <c r="A37" s="3">
        <v>31</v>
      </c>
      <c r="B37" s="4"/>
      <c r="C37" s="3"/>
      <c r="D37" s="3"/>
      <c r="E37" s="4"/>
      <c r="F37" s="4" t="str">
        <f>IF(OR($C$3="",C37="",D37=""),"",IF(G37=0,"NO",IF(H37&lt;=SUMPRODUCT(('GLASS OFFCUTS LIST'!$D$2:$D$298=UPPER(TRIM(SUBSTITUTE(SUBSTITUTE($C$3,"   "," "),"  "," "))))*((('GLASS OFFCUTS LIST'!$A$2:$A$298&gt;=C37)*('GLASS OFFCUTS LIST'!$B$2:$B$298&gt;=D37))+(N(OR(E37=TRUE(),E37="Y",E37="y",E37="YES",E37="Yes"))*(('GLASS OFFCUTS LIST'!$A$2:$A$298&gt;=D37)*('GLASS OFFCUTS LIST'!$B$2:$B$298&gt;=C37)))&gt;0)),"YES","NO")))</f>
        <v/>
      </c>
      <c r="G37" t="str">
        <f>IF(OR($C$3="",C37="",D37=""),"",IF(SUMPRODUCT(('GLASS OFFCUTS LIST'!$D$2:$D$298=UPPER(TRIM(SUBSTITUTE(SUBSTITUTE($C$3,"   "," "),"  "," "))))*((('GLASS OFFCUTS LIST'!$A$2:$A$298&gt;=C37)*('GLASS OFFCUTS LIST'!$B$2:$B$298&gt;=D37))+(N(OR(E37=TRUE(),E37="Y",E37="y",E37="YES",E37="Yes"))*(('GLASS OFFCUTS LIST'!$A$2:$A$298&gt;=D37)*('GLASS OFFCUTS LIST'!$B$2:$B$298&gt;=C37)))&gt;0))&gt;0,1,0))</f>
        <v/>
      </c>
      <c r="H37" t="str">
        <f>IF(G37="","",SUM($G$7:G37))</f>
        <v/>
      </c>
    </row>
    <row r="38" spans="1:8" x14ac:dyDescent="0.2">
      <c r="A38" s="3">
        <v>32</v>
      </c>
      <c r="B38" s="4"/>
      <c r="C38" s="3"/>
      <c r="D38" s="3"/>
      <c r="E38" s="4"/>
      <c r="F38" s="4" t="str">
        <f>IF(OR($C$3="",C38="",D38=""),"",IF(G38=0,"NO",IF(H38&lt;=SUMPRODUCT(('GLASS OFFCUTS LIST'!$D$2:$D$298=UPPER(TRIM(SUBSTITUTE(SUBSTITUTE($C$3,"   "," "),"  "," "))))*((('GLASS OFFCUTS LIST'!$A$2:$A$298&gt;=C38)*('GLASS OFFCUTS LIST'!$B$2:$B$298&gt;=D38))+(N(OR(E38=TRUE(),E38="Y",E38="y",E38="YES",E38="Yes"))*(('GLASS OFFCUTS LIST'!$A$2:$A$298&gt;=D38)*('GLASS OFFCUTS LIST'!$B$2:$B$298&gt;=C38)))&gt;0)),"YES","NO")))</f>
        <v/>
      </c>
      <c r="G38" t="str">
        <f>IF(OR($C$3="",C38="",D38=""),"",IF(SUMPRODUCT(('GLASS OFFCUTS LIST'!$D$2:$D$298=UPPER(TRIM(SUBSTITUTE(SUBSTITUTE($C$3,"   "," "),"  "," "))))*((('GLASS OFFCUTS LIST'!$A$2:$A$298&gt;=C38)*('GLASS OFFCUTS LIST'!$B$2:$B$298&gt;=D38))+(N(OR(E38=TRUE(),E38="Y",E38="y",E38="YES",E38="Yes"))*(('GLASS OFFCUTS LIST'!$A$2:$A$298&gt;=D38)*('GLASS OFFCUTS LIST'!$B$2:$B$298&gt;=C38)))&gt;0))&gt;0,1,0))</f>
        <v/>
      </c>
      <c r="H38" t="str">
        <f>IF(G38="","",SUM($G$7:G38))</f>
        <v/>
      </c>
    </row>
    <row r="39" spans="1:8" x14ac:dyDescent="0.2">
      <c r="A39" s="3">
        <v>33</v>
      </c>
      <c r="B39" s="4"/>
      <c r="C39" s="3"/>
      <c r="D39" s="3"/>
      <c r="E39" s="4"/>
      <c r="F39" s="4" t="str">
        <f>IF(OR($C$3="",C39="",D39=""),"",IF(G39=0,"NO",IF(H39&lt;=SUMPRODUCT(('GLASS OFFCUTS LIST'!$D$2:$D$298=UPPER(TRIM(SUBSTITUTE(SUBSTITUTE($C$3,"   "," "),"  "," "))))*((('GLASS OFFCUTS LIST'!$A$2:$A$298&gt;=C39)*('GLASS OFFCUTS LIST'!$B$2:$B$298&gt;=D39))+(N(OR(E39=TRUE(),E39="Y",E39="y",E39="YES",E39="Yes"))*(('GLASS OFFCUTS LIST'!$A$2:$A$298&gt;=D39)*('GLASS OFFCUTS LIST'!$B$2:$B$298&gt;=C39)))&gt;0)),"YES","NO")))</f>
        <v/>
      </c>
      <c r="G39" t="str">
        <f>IF(OR($C$3="",C39="",D39=""),"",IF(SUMPRODUCT(('GLASS OFFCUTS LIST'!$D$2:$D$298=UPPER(TRIM(SUBSTITUTE(SUBSTITUTE($C$3,"   "," "),"  "," "))))*((('GLASS OFFCUTS LIST'!$A$2:$A$298&gt;=C39)*('GLASS OFFCUTS LIST'!$B$2:$B$298&gt;=D39))+(N(OR(E39=TRUE(),E39="Y",E39="y",E39="YES",E39="Yes"))*(('GLASS OFFCUTS LIST'!$A$2:$A$298&gt;=D39)*('GLASS OFFCUTS LIST'!$B$2:$B$298&gt;=C39)))&gt;0))&gt;0,1,0))</f>
        <v/>
      </c>
      <c r="H39" t="str">
        <f>IF(G39="","",SUM($G$7:G39))</f>
        <v/>
      </c>
    </row>
    <row r="40" spans="1:8" x14ac:dyDescent="0.2">
      <c r="A40" s="3">
        <v>34</v>
      </c>
      <c r="B40" s="4"/>
      <c r="C40" s="3"/>
      <c r="D40" s="3"/>
      <c r="E40" s="4"/>
      <c r="F40" s="4" t="str">
        <f>IF(OR($C$3="",C40="",D40=""),"",IF(G40=0,"NO",IF(H40&lt;=SUMPRODUCT(('GLASS OFFCUTS LIST'!$D$2:$D$298=UPPER(TRIM(SUBSTITUTE(SUBSTITUTE($C$3,"   "," "),"  "," "))))*((('GLASS OFFCUTS LIST'!$A$2:$A$298&gt;=C40)*('GLASS OFFCUTS LIST'!$B$2:$B$298&gt;=D40))+(N(OR(E40=TRUE(),E40="Y",E40="y",E40="YES",E40="Yes"))*(('GLASS OFFCUTS LIST'!$A$2:$A$298&gt;=D40)*('GLASS OFFCUTS LIST'!$B$2:$B$298&gt;=C40)))&gt;0)),"YES","NO")))</f>
        <v/>
      </c>
      <c r="G40" t="str">
        <f>IF(OR($C$3="",C40="",D40=""),"",IF(SUMPRODUCT(('GLASS OFFCUTS LIST'!$D$2:$D$298=UPPER(TRIM(SUBSTITUTE(SUBSTITUTE($C$3,"   "," "),"  "," "))))*((('GLASS OFFCUTS LIST'!$A$2:$A$298&gt;=C40)*('GLASS OFFCUTS LIST'!$B$2:$B$298&gt;=D40))+(N(OR(E40=TRUE(),E40="Y",E40="y",E40="YES",E40="Yes"))*(('GLASS OFFCUTS LIST'!$A$2:$A$298&gt;=D40)*('GLASS OFFCUTS LIST'!$B$2:$B$298&gt;=C40)))&gt;0))&gt;0,1,0))</f>
        <v/>
      </c>
      <c r="H40" t="str">
        <f>IF(G40="","",SUM($G$7:G40))</f>
        <v/>
      </c>
    </row>
    <row r="41" spans="1:8" x14ac:dyDescent="0.2">
      <c r="A41" s="3">
        <v>35</v>
      </c>
      <c r="B41" s="4"/>
      <c r="C41" s="3"/>
      <c r="D41" s="3"/>
      <c r="E41" s="4"/>
      <c r="F41" s="4" t="str">
        <f>IF(OR($C$3="",C41="",D41=""),"",IF(G41=0,"NO",IF(H41&lt;=SUMPRODUCT(('GLASS OFFCUTS LIST'!$D$2:$D$298=UPPER(TRIM(SUBSTITUTE(SUBSTITUTE($C$3,"   "," "),"  "," "))))*((('GLASS OFFCUTS LIST'!$A$2:$A$298&gt;=C41)*('GLASS OFFCUTS LIST'!$B$2:$B$298&gt;=D41))+(N(OR(E41=TRUE(),E41="Y",E41="y",E41="YES",E41="Yes"))*(('GLASS OFFCUTS LIST'!$A$2:$A$298&gt;=D41)*('GLASS OFFCUTS LIST'!$B$2:$B$298&gt;=C41)))&gt;0)),"YES","NO")))</f>
        <v/>
      </c>
      <c r="G41" t="str">
        <f>IF(OR($C$3="",C41="",D41=""),"",IF(SUMPRODUCT(('GLASS OFFCUTS LIST'!$D$2:$D$298=UPPER(TRIM(SUBSTITUTE(SUBSTITUTE($C$3,"   "," "),"  "," "))))*((('GLASS OFFCUTS LIST'!$A$2:$A$298&gt;=C41)*('GLASS OFFCUTS LIST'!$B$2:$B$298&gt;=D41))+(N(OR(E41=TRUE(),E41="Y",E41="y",E41="YES",E41="Yes"))*(('GLASS OFFCUTS LIST'!$A$2:$A$298&gt;=D41)*('GLASS OFFCUTS LIST'!$B$2:$B$298&gt;=C41)))&gt;0))&gt;0,1,0))</f>
        <v/>
      </c>
      <c r="H41" t="str">
        <f>IF(G41="","",SUM($G$7:G41))</f>
        <v/>
      </c>
    </row>
    <row r="42" spans="1:8" x14ac:dyDescent="0.2">
      <c r="A42" s="3">
        <v>36</v>
      </c>
      <c r="B42" s="4"/>
      <c r="C42" s="3"/>
      <c r="D42" s="3"/>
      <c r="E42" s="4"/>
      <c r="F42" s="4" t="str">
        <f>IF(OR($C$3="",C42="",D42=""),"",IF(G42=0,"NO",IF(H42&lt;=SUMPRODUCT(('GLASS OFFCUTS LIST'!$D$2:$D$298=UPPER(TRIM(SUBSTITUTE(SUBSTITUTE($C$3,"   "," "),"  "," "))))*((('GLASS OFFCUTS LIST'!$A$2:$A$298&gt;=C42)*('GLASS OFFCUTS LIST'!$B$2:$B$298&gt;=D42))+(N(OR(E42=TRUE(),E42="Y",E42="y",E42="YES",E42="Yes"))*(('GLASS OFFCUTS LIST'!$A$2:$A$298&gt;=D42)*('GLASS OFFCUTS LIST'!$B$2:$B$298&gt;=C42)))&gt;0)),"YES","NO")))</f>
        <v/>
      </c>
      <c r="G42" t="str">
        <f>IF(OR($C$3="",C42="",D42=""),"",IF(SUMPRODUCT(('GLASS OFFCUTS LIST'!$D$2:$D$298=UPPER(TRIM(SUBSTITUTE(SUBSTITUTE($C$3,"   "," "),"  "," "))))*((('GLASS OFFCUTS LIST'!$A$2:$A$298&gt;=C42)*('GLASS OFFCUTS LIST'!$B$2:$B$298&gt;=D42))+(N(OR(E42=TRUE(),E42="Y",E42="y",E42="YES",E42="Yes"))*(('GLASS OFFCUTS LIST'!$A$2:$A$298&gt;=D42)*('GLASS OFFCUTS LIST'!$B$2:$B$298&gt;=C42)))&gt;0))&gt;0,1,0))</f>
        <v/>
      </c>
      <c r="H42" t="str">
        <f>IF(G42="","",SUM($G$7:G42))</f>
        <v/>
      </c>
    </row>
    <row r="43" spans="1:8" x14ac:dyDescent="0.2">
      <c r="A43" s="3">
        <v>37</v>
      </c>
      <c r="B43" s="4"/>
      <c r="C43" s="3"/>
      <c r="D43" s="3"/>
      <c r="E43" s="4"/>
      <c r="F43" s="4" t="str">
        <f>IF(OR($C$3="",C43="",D43=""),"",IF(G43=0,"NO",IF(H43&lt;=SUMPRODUCT(('GLASS OFFCUTS LIST'!$D$2:$D$298=UPPER(TRIM(SUBSTITUTE(SUBSTITUTE($C$3,"   "," "),"  "," "))))*((('GLASS OFFCUTS LIST'!$A$2:$A$298&gt;=C43)*('GLASS OFFCUTS LIST'!$B$2:$B$298&gt;=D43))+(N(OR(E43=TRUE(),E43="Y",E43="y",E43="YES",E43="Yes"))*(('GLASS OFFCUTS LIST'!$A$2:$A$298&gt;=D43)*('GLASS OFFCUTS LIST'!$B$2:$B$298&gt;=C43)))&gt;0)),"YES","NO")))</f>
        <v/>
      </c>
      <c r="G43" t="str">
        <f>IF(OR($C$3="",C43="",D43=""),"",IF(SUMPRODUCT(('GLASS OFFCUTS LIST'!$D$2:$D$298=UPPER(TRIM(SUBSTITUTE(SUBSTITUTE($C$3,"   "," "),"  "," "))))*((('GLASS OFFCUTS LIST'!$A$2:$A$298&gt;=C43)*('GLASS OFFCUTS LIST'!$B$2:$B$298&gt;=D43))+(N(OR(E43=TRUE(),E43="Y",E43="y",E43="YES",E43="Yes"))*(('GLASS OFFCUTS LIST'!$A$2:$A$298&gt;=D43)*('GLASS OFFCUTS LIST'!$B$2:$B$298&gt;=C43)))&gt;0))&gt;0,1,0))</f>
        <v/>
      </c>
      <c r="H43" t="str">
        <f>IF(G43="","",SUM($G$7:G43))</f>
        <v/>
      </c>
    </row>
    <row r="44" spans="1:8" x14ac:dyDescent="0.2">
      <c r="A44" s="3">
        <v>38</v>
      </c>
      <c r="B44" s="4"/>
      <c r="C44" s="3"/>
      <c r="D44" s="3"/>
      <c r="E44" s="4"/>
      <c r="F44" s="4" t="str">
        <f>IF(OR($C$3="",C44="",D44=""),"",IF(G44=0,"NO",IF(H44&lt;=SUMPRODUCT(('GLASS OFFCUTS LIST'!$D$2:$D$298=UPPER(TRIM(SUBSTITUTE(SUBSTITUTE($C$3,"   "," "),"  "," "))))*((('GLASS OFFCUTS LIST'!$A$2:$A$298&gt;=C44)*('GLASS OFFCUTS LIST'!$B$2:$B$298&gt;=D44))+(N(OR(E44=TRUE(),E44="Y",E44="y",E44="YES",E44="Yes"))*(('GLASS OFFCUTS LIST'!$A$2:$A$298&gt;=D44)*('GLASS OFFCUTS LIST'!$B$2:$B$298&gt;=C44)))&gt;0)),"YES","NO")))</f>
        <v/>
      </c>
      <c r="G44" t="str">
        <f>IF(OR($C$3="",C44="",D44=""),"",IF(SUMPRODUCT(('GLASS OFFCUTS LIST'!$D$2:$D$298=UPPER(TRIM(SUBSTITUTE(SUBSTITUTE($C$3,"   "," "),"  "," "))))*((('GLASS OFFCUTS LIST'!$A$2:$A$298&gt;=C44)*('GLASS OFFCUTS LIST'!$B$2:$B$298&gt;=D44))+(N(OR(E44=TRUE(),E44="Y",E44="y",E44="YES",E44="Yes"))*(('GLASS OFFCUTS LIST'!$A$2:$A$298&gt;=D44)*('GLASS OFFCUTS LIST'!$B$2:$B$298&gt;=C44)))&gt;0))&gt;0,1,0))</f>
        <v/>
      </c>
      <c r="H44" t="str">
        <f>IF(G44="","",SUM($G$7:G44))</f>
        <v/>
      </c>
    </row>
    <row r="45" spans="1:8" x14ac:dyDescent="0.2">
      <c r="A45" s="3">
        <v>39</v>
      </c>
      <c r="B45" s="4"/>
      <c r="C45" s="3"/>
      <c r="D45" s="3"/>
      <c r="E45" s="4"/>
      <c r="F45" s="4" t="str">
        <f>IF(OR($C$3="",C45="",D45=""),"",IF(G45=0,"NO",IF(H45&lt;=SUMPRODUCT(('GLASS OFFCUTS LIST'!$D$2:$D$298=UPPER(TRIM(SUBSTITUTE(SUBSTITUTE($C$3,"   "," "),"  "," "))))*((('GLASS OFFCUTS LIST'!$A$2:$A$298&gt;=C45)*('GLASS OFFCUTS LIST'!$B$2:$B$298&gt;=D45))+(N(OR(E45=TRUE(),E45="Y",E45="y",E45="YES",E45="Yes"))*(('GLASS OFFCUTS LIST'!$A$2:$A$298&gt;=D45)*('GLASS OFFCUTS LIST'!$B$2:$B$298&gt;=C45)))&gt;0)),"YES","NO")))</f>
        <v/>
      </c>
      <c r="G45" t="str">
        <f>IF(OR($C$3="",C45="",D45=""),"",IF(SUMPRODUCT(('GLASS OFFCUTS LIST'!$D$2:$D$298=UPPER(TRIM(SUBSTITUTE(SUBSTITUTE($C$3,"   "," "),"  "," "))))*((('GLASS OFFCUTS LIST'!$A$2:$A$298&gt;=C45)*('GLASS OFFCUTS LIST'!$B$2:$B$298&gt;=D45))+(N(OR(E45=TRUE(),E45="Y",E45="y",E45="YES",E45="Yes"))*(('GLASS OFFCUTS LIST'!$A$2:$A$298&gt;=D45)*('GLASS OFFCUTS LIST'!$B$2:$B$298&gt;=C45)))&gt;0))&gt;0,1,0))</f>
        <v/>
      </c>
      <c r="H45" t="str">
        <f>IF(G45="","",SUM($G$7:G45))</f>
        <v/>
      </c>
    </row>
    <row r="46" spans="1:8" x14ac:dyDescent="0.2">
      <c r="A46" s="3">
        <v>40</v>
      </c>
      <c r="B46" s="4"/>
      <c r="C46" s="3"/>
      <c r="D46" s="3"/>
      <c r="E46" s="4"/>
      <c r="F46" s="4" t="str">
        <f>IF(OR($C$3="",C46="",D46=""),"",IF(G46=0,"NO",IF(H46&lt;=SUMPRODUCT(('GLASS OFFCUTS LIST'!$D$2:$D$298=UPPER(TRIM(SUBSTITUTE(SUBSTITUTE($C$3,"   "," "),"  "," "))))*((('GLASS OFFCUTS LIST'!$A$2:$A$298&gt;=C46)*('GLASS OFFCUTS LIST'!$B$2:$B$298&gt;=D46))+(N(OR(E46=TRUE(),E46="Y",E46="y",E46="YES",E46="Yes"))*(('GLASS OFFCUTS LIST'!$A$2:$A$298&gt;=D46)*('GLASS OFFCUTS LIST'!$B$2:$B$298&gt;=C46)))&gt;0)),"YES","NO")))</f>
        <v/>
      </c>
      <c r="G46" t="str">
        <f>IF(OR($C$3="",C46="",D46=""),"",IF(SUMPRODUCT(('GLASS OFFCUTS LIST'!$D$2:$D$298=UPPER(TRIM(SUBSTITUTE(SUBSTITUTE($C$3,"   "," "),"  "," "))))*((('GLASS OFFCUTS LIST'!$A$2:$A$298&gt;=C46)*('GLASS OFFCUTS LIST'!$B$2:$B$298&gt;=D46))+(N(OR(E46=TRUE(),E46="Y",E46="y",E46="YES",E46="Yes"))*(('GLASS OFFCUTS LIST'!$A$2:$A$298&gt;=D46)*('GLASS OFFCUTS LIST'!$B$2:$B$298&gt;=C46)))&gt;0))&gt;0,1,0))</f>
        <v/>
      </c>
      <c r="H46" t="str">
        <f>IF(G46="","",SUM($G$7:G46))</f>
        <v/>
      </c>
    </row>
    <row r="47" spans="1:8" x14ac:dyDescent="0.2">
      <c r="A47" s="3">
        <v>41</v>
      </c>
      <c r="B47" s="4"/>
      <c r="C47" s="3"/>
      <c r="D47" s="3"/>
      <c r="E47" s="4"/>
      <c r="F47" s="4" t="str">
        <f>IF(OR($C$3="",C47="",D47=""),"",IF(G47=0,"NO",IF(H47&lt;=SUMPRODUCT(('GLASS OFFCUTS LIST'!$D$2:$D$298=UPPER(TRIM(SUBSTITUTE(SUBSTITUTE($C$3,"   "," "),"  "," "))))*((('GLASS OFFCUTS LIST'!$A$2:$A$298&gt;=C47)*('GLASS OFFCUTS LIST'!$B$2:$B$298&gt;=D47))+(N(OR(E47=TRUE(),E47="Y",E47="y",E47="YES",E47="Yes"))*(('GLASS OFFCUTS LIST'!$A$2:$A$298&gt;=D47)*('GLASS OFFCUTS LIST'!$B$2:$B$298&gt;=C47)))&gt;0)),"YES","NO")))</f>
        <v/>
      </c>
      <c r="G47" t="str">
        <f>IF(OR($C$3="",C47="",D47=""),"",IF(SUMPRODUCT(('GLASS OFFCUTS LIST'!$D$2:$D$298=UPPER(TRIM(SUBSTITUTE(SUBSTITUTE($C$3,"   "," "),"  "," "))))*((('GLASS OFFCUTS LIST'!$A$2:$A$298&gt;=C47)*('GLASS OFFCUTS LIST'!$B$2:$B$298&gt;=D47))+(N(OR(E47=TRUE(),E47="Y",E47="y",E47="YES",E47="Yes"))*(('GLASS OFFCUTS LIST'!$A$2:$A$298&gt;=D47)*('GLASS OFFCUTS LIST'!$B$2:$B$298&gt;=C47)))&gt;0))&gt;0,1,0))</f>
        <v/>
      </c>
      <c r="H47" t="str">
        <f>IF(G47="","",SUM($G$7:G47))</f>
        <v/>
      </c>
    </row>
    <row r="48" spans="1:8" x14ac:dyDescent="0.2">
      <c r="A48" s="3">
        <v>42</v>
      </c>
      <c r="B48" s="4"/>
      <c r="C48" s="3"/>
      <c r="D48" s="3"/>
      <c r="E48" s="4"/>
      <c r="F48" s="4" t="str">
        <f>IF(OR($C$3="",C48="",D48=""),"",IF(G48=0,"NO",IF(H48&lt;=SUMPRODUCT(('GLASS OFFCUTS LIST'!$D$2:$D$298=UPPER(TRIM(SUBSTITUTE(SUBSTITUTE($C$3,"   "," "),"  "," "))))*((('GLASS OFFCUTS LIST'!$A$2:$A$298&gt;=C48)*('GLASS OFFCUTS LIST'!$B$2:$B$298&gt;=D48))+(N(OR(E48=TRUE(),E48="Y",E48="y",E48="YES",E48="Yes"))*(('GLASS OFFCUTS LIST'!$A$2:$A$298&gt;=D48)*('GLASS OFFCUTS LIST'!$B$2:$B$298&gt;=C48)))&gt;0)),"YES","NO")))</f>
        <v/>
      </c>
      <c r="G48" t="str">
        <f>IF(OR($C$3="",C48="",D48=""),"",IF(SUMPRODUCT(('GLASS OFFCUTS LIST'!$D$2:$D$298=UPPER(TRIM(SUBSTITUTE(SUBSTITUTE($C$3,"   "," "),"  "," "))))*((('GLASS OFFCUTS LIST'!$A$2:$A$298&gt;=C48)*('GLASS OFFCUTS LIST'!$B$2:$B$298&gt;=D48))+(N(OR(E48=TRUE(),E48="Y",E48="y",E48="YES",E48="Yes"))*(('GLASS OFFCUTS LIST'!$A$2:$A$298&gt;=D48)*('GLASS OFFCUTS LIST'!$B$2:$B$298&gt;=C48)))&gt;0))&gt;0,1,0))</f>
        <v/>
      </c>
      <c r="H48" t="str">
        <f>IF(G48="","",SUM($G$7:G48))</f>
        <v/>
      </c>
    </row>
    <row r="49" spans="1:8" x14ac:dyDescent="0.2">
      <c r="A49" s="3">
        <v>43</v>
      </c>
      <c r="B49" s="4"/>
      <c r="C49" s="3"/>
      <c r="D49" s="3"/>
      <c r="E49" s="4"/>
      <c r="F49" s="4" t="str">
        <f>IF(OR($C$3="",C49="",D49=""),"",IF(G49=0,"NO",IF(H49&lt;=SUMPRODUCT(('GLASS OFFCUTS LIST'!$D$2:$D$298=UPPER(TRIM(SUBSTITUTE(SUBSTITUTE($C$3,"   "," "),"  "," "))))*((('GLASS OFFCUTS LIST'!$A$2:$A$298&gt;=C49)*('GLASS OFFCUTS LIST'!$B$2:$B$298&gt;=D49))+(N(OR(E49=TRUE(),E49="Y",E49="y",E49="YES",E49="Yes"))*(('GLASS OFFCUTS LIST'!$A$2:$A$298&gt;=D49)*('GLASS OFFCUTS LIST'!$B$2:$B$298&gt;=C49)))&gt;0)),"YES","NO")))</f>
        <v/>
      </c>
      <c r="G49" t="str">
        <f>IF(OR($C$3="",C49="",D49=""),"",IF(SUMPRODUCT(('GLASS OFFCUTS LIST'!$D$2:$D$298=UPPER(TRIM(SUBSTITUTE(SUBSTITUTE($C$3,"   "," "),"  "," "))))*((('GLASS OFFCUTS LIST'!$A$2:$A$298&gt;=C49)*('GLASS OFFCUTS LIST'!$B$2:$B$298&gt;=D49))+(N(OR(E49=TRUE(),E49="Y",E49="y",E49="YES",E49="Yes"))*(('GLASS OFFCUTS LIST'!$A$2:$A$298&gt;=D49)*('GLASS OFFCUTS LIST'!$B$2:$B$298&gt;=C49)))&gt;0))&gt;0,1,0))</f>
        <v/>
      </c>
      <c r="H49" t="str">
        <f>IF(G49="","",SUM($G$7:G49))</f>
        <v/>
      </c>
    </row>
    <row r="50" spans="1:8" x14ac:dyDescent="0.2">
      <c r="A50" s="3">
        <v>44</v>
      </c>
      <c r="B50" s="4"/>
      <c r="C50" s="3"/>
      <c r="D50" s="3"/>
      <c r="E50" s="4"/>
      <c r="F50" s="4" t="str">
        <f>IF(OR($C$3="",C50="",D50=""),"",IF(G50=0,"NO",IF(H50&lt;=SUMPRODUCT(('GLASS OFFCUTS LIST'!$D$2:$D$298=UPPER(TRIM(SUBSTITUTE(SUBSTITUTE($C$3,"   "," "),"  "," "))))*((('GLASS OFFCUTS LIST'!$A$2:$A$298&gt;=C50)*('GLASS OFFCUTS LIST'!$B$2:$B$298&gt;=D50))+(N(OR(E50=TRUE(),E50="Y",E50="y",E50="YES",E50="Yes"))*(('GLASS OFFCUTS LIST'!$A$2:$A$298&gt;=D50)*('GLASS OFFCUTS LIST'!$B$2:$B$298&gt;=C50)))&gt;0)),"YES","NO")))</f>
        <v/>
      </c>
      <c r="G50" t="str">
        <f>IF(OR($C$3="",C50="",D50=""),"",IF(SUMPRODUCT(('GLASS OFFCUTS LIST'!$D$2:$D$298=UPPER(TRIM(SUBSTITUTE(SUBSTITUTE($C$3,"   "," "),"  "," "))))*((('GLASS OFFCUTS LIST'!$A$2:$A$298&gt;=C50)*('GLASS OFFCUTS LIST'!$B$2:$B$298&gt;=D50))+(N(OR(E50=TRUE(),E50="Y",E50="y",E50="YES",E50="Yes"))*(('GLASS OFFCUTS LIST'!$A$2:$A$298&gt;=D50)*('GLASS OFFCUTS LIST'!$B$2:$B$298&gt;=C50)))&gt;0))&gt;0,1,0))</f>
        <v/>
      </c>
      <c r="H50" t="str">
        <f>IF(G50="","",SUM($G$7:G50))</f>
        <v/>
      </c>
    </row>
    <row r="51" spans="1:8" x14ac:dyDescent="0.2">
      <c r="A51" s="3">
        <v>45</v>
      </c>
      <c r="B51" s="4"/>
      <c r="C51" s="3"/>
      <c r="D51" s="3"/>
      <c r="E51" s="4"/>
      <c r="F51" s="4" t="str">
        <f>IF(OR($C$3="",C51="",D51=""),"",IF(G51=0,"NO",IF(H51&lt;=SUMPRODUCT(('GLASS OFFCUTS LIST'!$D$2:$D$298=UPPER(TRIM(SUBSTITUTE(SUBSTITUTE($C$3,"   "," "),"  "," "))))*((('GLASS OFFCUTS LIST'!$A$2:$A$298&gt;=C51)*('GLASS OFFCUTS LIST'!$B$2:$B$298&gt;=D51))+(N(OR(E51=TRUE(),E51="Y",E51="y",E51="YES",E51="Yes"))*(('GLASS OFFCUTS LIST'!$A$2:$A$298&gt;=D51)*('GLASS OFFCUTS LIST'!$B$2:$B$298&gt;=C51)))&gt;0)),"YES","NO")))</f>
        <v/>
      </c>
      <c r="G51" t="str">
        <f>IF(OR($C$3="",C51="",D51=""),"",IF(SUMPRODUCT(('GLASS OFFCUTS LIST'!$D$2:$D$298=UPPER(TRIM(SUBSTITUTE(SUBSTITUTE($C$3,"   "," "),"  "," "))))*((('GLASS OFFCUTS LIST'!$A$2:$A$298&gt;=C51)*('GLASS OFFCUTS LIST'!$B$2:$B$298&gt;=D51))+(N(OR(E51=TRUE(),E51="Y",E51="y",E51="YES",E51="Yes"))*(('GLASS OFFCUTS LIST'!$A$2:$A$298&gt;=D51)*('GLASS OFFCUTS LIST'!$B$2:$B$298&gt;=C51)))&gt;0))&gt;0,1,0))</f>
        <v/>
      </c>
      <c r="H51" t="str">
        <f>IF(G51="","",SUM($G$7:G51))</f>
        <v/>
      </c>
    </row>
    <row r="52" spans="1:8" x14ac:dyDescent="0.2">
      <c r="A52" s="3">
        <v>46</v>
      </c>
      <c r="B52" s="4"/>
      <c r="C52" s="3"/>
      <c r="D52" s="3"/>
      <c r="E52" s="4"/>
      <c r="F52" s="4" t="str">
        <f>IF(OR($C$3="",C52="",D52=""),"",IF(G52=0,"NO",IF(H52&lt;=SUMPRODUCT(('GLASS OFFCUTS LIST'!$D$2:$D$298=UPPER(TRIM(SUBSTITUTE(SUBSTITUTE($C$3,"   "," "),"  "," "))))*((('GLASS OFFCUTS LIST'!$A$2:$A$298&gt;=C52)*('GLASS OFFCUTS LIST'!$B$2:$B$298&gt;=D52))+(N(OR(E52=TRUE(),E52="Y",E52="y",E52="YES",E52="Yes"))*(('GLASS OFFCUTS LIST'!$A$2:$A$298&gt;=D52)*('GLASS OFFCUTS LIST'!$B$2:$B$298&gt;=C52)))&gt;0)),"YES","NO")))</f>
        <v/>
      </c>
      <c r="G52" t="str">
        <f>IF(OR($C$3="",C52="",D52=""),"",IF(SUMPRODUCT(('GLASS OFFCUTS LIST'!$D$2:$D$298=UPPER(TRIM(SUBSTITUTE(SUBSTITUTE($C$3,"   "," "),"  "," "))))*((('GLASS OFFCUTS LIST'!$A$2:$A$298&gt;=C52)*('GLASS OFFCUTS LIST'!$B$2:$B$298&gt;=D52))+(N(OR(E52=TRUE(),E52="Y",E52="y",E52="YES",E52="Yes"))*(('GLASS OFFCUTS LIST'!$A$2:$A$298&gt;=D52)*('GLASS OFFCUTS LIST'!$B$2:$B$298&gt;=C52)))&gt;0))&gt;0,1,0))</f>
        <v/>
      </c>
      <c r="H52" t="str">
        <f>IF(G52="","",SUM($G$7:G52))</f>
        <v/>
      </c>
    </row>
    <row r="53" spans="1:8" x14ac:dyDescent="0.2">
      <c r="A53" s="3">
        <v>47</v>
      </c>
      <c r="B53" s="4"/>
      <c r="C53" s="3"/>
      <c r="D53" s="3"/>
      <c r="E53" s="4"/>
      <c r="F53" s="4" t="str">
        <f>IF(OR($C$3="",C53="",D53=""),"",IF(G53=0,"NO",IF(H53&lt;=SUMPRODUCT(('GLASS OFFCUTS LIST'!$D$2:$D$298=UPPER(TRIM(SUBSTITUTE(SUBSTITUTE($C$3,"   "," "),"  "," "))))*((('GLASS OFFCUTS LIST'!$A$2:$A$298&gt;=C53)*('GLASS OFFCUTS LIST'!$B$2:$B$298&gt;=D53))+(N(OR(E53=TRUE(),E53="Y",E53="y",E53="YES",E53="Yes"))*(('GLASS OFFCUTS LIST'!$A$2:$A$298&gt;=D53)*('GLASS OFFCUTS LIST'!$B$2:$B$298&gt;=C53)))&gt;0)),"YES","NO")))</f>
        <v/>
      </c>
      <c r="G53" t="str">
        <f>IF(OR($C$3="",C53="",D53=""),"",IF(SUMPRODUCT(('GLASS OFFCUTS LIST'!$D$2:$D$298=UPPER(TRIM(SUBSTITUTE(SUBSTITUTE($C$3,"   "," "),"  "," "))))*((('GLASS OFFCUTS LIST'!$A$2:$A$298&gt;=C53)*('GLASS OFFCUTS LIST'!$B$2:$B$298&gt;=D53))+(N(OR(E53=TRUE(),E53="Y",E53="y",E53="YES",E53="Yes"))*(('GLASS OFFCUTS LIST'!$A$2:$A$298&gt;=D53)*('GLASS OFFCUTS LIST'!$B$2:$B$298&gt;=C53)))&gt;0))&gt;0,1,0))</f>
        <v/>
      </c>
      <c r="H53" t="str">
        <f>IF(G53="","",SUM($G$7:G53))</f>
        <v/>
      </c>
    </row>
    <row r="54" spans="1:8" x14ac:dyDescent="0.2">
      <c r="A54" s="3">
        <v>48</v>
      </c>
      <c r="B54" s="4"/>
      <c r="C54" s="3"/>
      <c r="D54" s="3"/>
      <c r="E54" s="4"/>
      <c r="F54" s="4" t="str">
        <f>IF(OR($C$3="",C54="",D54=""),"",IF(G54=0,"NO",IF(H54&lt;=SUMPRODUCT(('GLASS OFFCUTS LIST'!$D$2:$D$298=UPPER(TRIM(SUBSTITUTE(SUBSTITUTE($C$3,"   "," "),"  "," "))))*((('GLASS OFFCUTS LIST'!$A$2:$A$298&gt;=C54)*('GLASS OFFCUTS LIST'!$B$2:$B$298&gt;=D54))+(N(OR(E54=TRUE(),E54="Y",E54="y",E54="YES",E54="Yes"))*(('GLASS OFFCUTS LIST'!$A$2:$A$298&gt;=D54)*('GLASS OFFCUTS LIST'!$B$2:$B$298&gt;=C54)))&gt;0)),"YES","NO")))</f>
        <v/>
      </c>
      <c r="G54" t="str">
        <f>IF(OR($C$3="",C54="",D54=""),"",IF(SUMPRODUCT(('GLASS OFFCUTS LIST'!$D$2:$D$298=UPPER(TRIM(SUBSTITUTE(SUBSTITUTE($C$3,"   "," "),"  "," "))))*((('GLASS OFFCUTS LIST'!$A$2:$A$298&gt;=C54)*('GLASS OFFCUTS LIST'!$B$2:$B$298&gt;=D54))+(N(OR(E54=TRUE(),E54="Y",E54="y",E54="YES",E54="Yes"))*(('GLASS OFFCUTS LIST'!$A$2:$A$298&gt;=D54)*('GLASS OFFCUTS LIST'!$B$2:$B$298&gt;=C54)))&gt;0))&gt;0,1,0))</f>
        <v/>
      </c>
      <c r="H54" t="str">
        <f>IF(G54="","",SUM($G$7:G54))</f>
        <v/>
      </c>
    </row>
    <row r="55" spans="1:8" x14ac:dyDescent="0.2">
      <c r="A55" s="3">
        <v>49</v>
      </c>
      <c r="B55" s="4"/>
      <c r="C55" s="3"/>
      <c r="D55" s="3"/>
      <c r="E55" s="4"/>
      <c r="F55" s="4" t="str">
        <f>IF(OR($C$3="",C55="",D55=""),"",IF(G55=0,"NO",IF(H55&lt;=SUMPRODUCT(('GLASS OFFCUTS LIST'!$D$2:$D$298=UPPER(TRIM(SUBSTITUTE(SUBSTITUTE($C$3,"   "," "),"  "," "))))*((('GLASS OFFCUTS LIST'!$A$2:$A$298&gt;=C55)*('GLASS OFFCUTS LIST'!$B$2:$B$298&gt;=D55))+(N(OR(E55=TRUE(),E55="Y",E55="y",E55="YES",E55="Yes"))*(('GLASS OFFCUTS LIST'!$A$2:$A$298&gt;=D55)*('GLASS OFFCUTS LIST'!$B$2:$B$298&gt;=C55)))&gt;0)),"YES","NO")))</f>
        <v/>
      </c>
      <c r="G55" t="str">
        <f>IF(OR($C$3="",C55="",D55=""),"",IF(SUMPRODUCT(('GLASS OFFCUTS LIST'!$D$2:$D$298=UPPER(TRIM(SUBSTITUTE(SUBSTITUTE($C$3,"   "," "),"  "," "))))*((('GLASS OFFCUTS LIST'!$A$2:$A$298&gt;=C55)*('GLASS OFFCUTS LIST'!$B$2:$B$298&gt;=D55))+(N(OR(E55=TRUE(),E55="Y",E55="y",E55="YES",E55="Yes"))*(('GLASS OFFCUTS LIST'!$A$2:$A$298&gt;=D55)*('GLASS OFFCUTS LIST'!$B$2:$B$298&gt;=C55)))&gt;0))&gt;0,1,0))</f>
        <v/>
      </c>
      <c r="H55" t="str">
        <f>IF(G55="","",SUM($G$7:G55))</f>
        <v/>
      </c>
    </row>
    <row r="56" spans="1:8" x14ac:dyDescent="0.2">
      <c r="A56" s="3">
        <v>50</v>
      </c>
      <c r="B56" s="4"/>
      <c r="C56" s="3"/>
      <c r="D56" s="3"/>
      <c r="E56" s="4"/>
      <c r="F56" s="4" t="str">
        <f>IF(OR($C$3="",C56="",D56=""),"",IF(G56=0,"NO",IF(H56&lt;=SUMPRODUCT(('GLASS OFFCUTS LIST'!$D$2:$D$298=UPPER(TRIM(SUBSTITUTE(SUBSTITUTE($C$3,"   "," "),"  "," "))))*((('GLASS OFFCUTS LIST'!$A$2:$A$298&gt;=C56)*('GLASS OFFCUTS LIST'!$B$2:$B$298&gt;=D56))+(N(OR(E56=TRUE(),E56="Y",E56="y",E56="YES",E56="Yes"))*(('GLASS OFFCUTS LIST'!$A$2:$A$298&gt;=D56)*('GLASS OFFCUTS LIST'!$B$2:$B$298&gt;=C56)))&gt;0)),"YES","NO")))</f>
        <v/>
      </c>
      <c r="G56" t="str">
        <f>IF(OR($C$3="",C56="",D56=""),"",IF(SUMPRODUCT(('GLASS OFFCUTS LIST'!$D$2:$D$298=UPPER(TRIM(SUBSTITUTE(SUBSTITUTE($C$3,"   "," "),"  "," "))))*((('GLASS OFFCUTS LIST'!$A$2:$A$298&gt;=C56)*('GLASS OFFCUTS LIST'!$B$2:$B$298&gt;=D56))+(N(OR(E56=TRUE(),E56="Y",E56="y",E56="YES",E56="Yes"))*(('GLASS OFFCUTS LIST'!$A$2:$A$298&gt;=D56)*('GLASS OFFCUTS LIST'!$B$2:$B$298&gt;=C56)))&gt;0))&gt;0,1,0))</f>
        <v/>
      </c>
      <c r="H56" t="str">
        <f>IF(G56="","",SUM($G$7:G56))</f>
        <v/>
      </c>
    </row>
    <row r="57" spans="1:8" x14ac:dyDescent="0.2">
      <c r="A57" s="3">
        <v>51</v>
      </c>
      <c r="B57" s="4"/>
      <c r="C57" s="3"/>
      <c r="D57" s="3"/>
      <c r="E57" s="4"/>
      <c r="F57" s="4" t="str">
        <f>IF(OR($C$3="",C57="",D57=""),"",IF(G57=0,"NO",IF(H57&lt;=SUMPRODUCT(('GLASS OFFCUTS LIST'!$D$2:$D$298=UPPER(TRIM(SUBSTITUTE(SUBSTITUTE($C$3,"   "," "),"  "," "))))*((('GLASS OFFCUTS LIST'!$A$2:$A$298&gt;=C57)*('GLASS OFFCUTS LIST'!$B$2:$B$298&gt;=D57))+(N(OR(E57=TRUE(),E57="Y",E57="y",E57="YES",E57="Yes"))*(('GLASS OFFCUTS LIST'!$A$2:$A$298&gt;=D57)*('GLASS OFFCUTS LIST'!$B$2:$B$298&gt;=C57)))&gt;0)),"YES","NO")))</f>
        <v/>
      </c>
      <c r="G57" t="str">
        <f>IF(OR($C$3="",C57="",D57=""),"",IF(SUMPRODUCT(('GLASS OFFCUTS LIST'!$D$2:$D$298=UPPER(TRIM(SUBSTITUTE(SUBSTITUTE($C$3,"   "," "),"  "," "))))*((('GLASS OFFCUTS LIST'!$A$2:$A$298&gt;=C57)*('GLASS OFFCUTS LIST'!$B$2:$B$298&gt;=D57))+(N(OR(E57=TRUE(),E57="Y",E57="y",E57="YES",E57="Yes"))*(('GLASS OFFCUTS LIST'!$A$2:$A$298&gt;=D57)*('GLASS OFFCUTS LIST'!$B$2:$B$298&gt;=C57)))&gt;0))&gt;0,1,0))</f>
        <v/>
      </c>
      <c r="H57" t="str">
        <f>IF(G57="","",SUM($G$7:G57))</f>
        <v/>
      </c>
    </row>
    <row r="58" spans="1:8" x14ac:dyDescent="0.2">
      <c r="A58" s="3">
        <v>52</v>
      </c>
      <c r="B58" s="4"/>
      <c r="C58" s="3"/>
      <c r="D58" s="3"/>
      <c r="E58" s="4"/>
      <c r="F58" s="4" t="str">
        <f>IF(OR($C$3="",C58="",D58=""),"",IF(G58=0,"NO",IF(H58&lt;=SUMPRODUCT(('GLASS OFFCUTS LIST'!$D$2:$D$298=UPPER(TRIM(SUBSTITUTE(SUBSTITUTE($C$3,"   "," "),"  "," "))))*((('GLASS OFFCUTS LIST'!$A$2:$A$298&gt;=C58)*('GLASS OFFCUTS LIST'!$B$2:$B$298&gt;=D58))+(N(OR(E58=TRUE(),E58="Y",E58="y",E58="YES",E58="Yes"))*(('GLASS OFFCUTS LIST'!$A$2:$A$298&gt;=D58)*('GLASS OFFCUTS LIST'!$B$2:$B$298&gt;=C58)))&gt;0)),"YES","NO")))</f>
        <v/>
      </c>
      <c r="G58" t="str">
        <f>IF(OR($C$3="",C58="",D58=""),"",IF(SUMPRODUCT(('GLASS OFFCUTS LIST'!$D$2:$D$298=UPPER(TRIM(SUBSTITUTE(SUBSTITUTE($C$3,"   "," "),"  "," "))))*((('GLASS OFFCUTS LIST'!$A$2:$A$298&gt;=C58)*('GLASS OFFCUTS LIST'!$B$2:$B$298&gt;=D58))+(N(OR(E58=TRUE(),E58="Y",E58="y",E58="YES",E58="Yes"))*(('GLASS OFFCUTS LIST'!$A$2:$A$298&gt;=D58)*('GLASS OFFCUTS LIST'!$B$2:$B$298&gt;=C58)))&gt;0))&gt;0,1,0))</f>
        <v/>
      </c>
      <c r="H58" t="str">
        <f>IF(G58="","",SUM($G$7:G58))</f>
        <v/>
      </c>
    </row>
    <row r="59" spans="1:8" x14ac:dyDescent="0.2">
      <c r="A59" s="3">
        <v>53</v>
      </c>
      <c r="B59" s="4"/>
      <c r="C59" s="3"/>
      <c r="D59" s="3"/>
      <c r="E59" s="4"/>
      <c r="F59" s="4" t="str">
        <f>IF(OR($C$3="",C59="",D59=""),"",IF(G59=0,"NO",IF(H59&lt;=SUMPRODUCT(('GLASS OFFCUTS LIST'!$D$2:$D$298=UPPER(TRIM(SUBSTITUTE(SUBSTITUTE($C$3,"   "," "),"  "," "))))*((('GLASS OFFCUTS LIST'!$A$2:$A$298&gt;=C59)*('GLASS OFFCUTS LIST'!$B$2:$B$298&gt;=D59))+(N(OR(E59=TRUE(),E59="Y",E59="y",E59="YES",E59="Yes"))*(('GLASS OFFCUTS LIST'!$A$2:$A$298&gt;=D59)*('GLASS OFFCUTS LIST'!$B$2:$B$298&gt;=C59)))&gt;0)),"YES","NO")))</f>
        <v/>
      </c>
      <c r="G59" t="str">
        <f>IF(OR($C$3="",C59="",D59=""),"",IF(SUMPRODUCT(('GLASS OFFCUTS LIST'!$D$2:$D$298=UPPER(TRIM(SUBSTITUTE(SUBSTITUTE($C$3,"   "," "),"  "," "))))*((('GLASS OFFCUTS LIST'!$A$2:$A$298&gt;=C59)*('GLASS OFFCUTS LIST'!$B$2:$B$298&gt;=D59))+(N(OR(E59=TRUE(),E59="Y",E59="y",E59="YES",E59="Yes"))*(('GLASS OFFCUTS LIST'!$A$2:$A$298&gt;=D59)*('GLASS OFFCUTS LIST'!$B$2:$B$298&gt;=C59)))&gt;0))&gt;0,1,0))</f>
        <v/>
      </c>
      <c r="H59" t="str">
        <f>IF(G59="","",SUM($G$7:G59))</f>
        <v/>
      </c>
    </row>
    <row r="60" spans="1:8" x14ac:dyDescent="0.2">
      <c r="A60" s="3">
        <v>54</v>
      </c>
      <c r="B60" s="4"/>
      <c r="C60" s="3"/>
      <c r="D60" s="3"/>
      <c r="E60" s="4"/>
      <c r="F60" s="4" t="str">
        <f>IF(OR($C$3="",C60="",D60=""),"",IF(G60=0,"NO",IF(H60&lt;=SUMPRODUCT(('GLASS OFFCUTS LIST'!$D$2:$D$298=UPPER(TRIM(SUBSTITUTE(SUBSTITUTE($C$3,"   "," "),"  "," "))))*((('GLASS OFFCUTS LIST'!$A$2:$A$298&gt;=C60)*('GLASS OFFCUTS LIST'!$B$2:$B$298&gt;=D60))+(N(OR(E60=TRUE(),E60="Y",E60="y",E60="YES",E60="Yes"))*(('GLASS OFFCUTS LIST'!$A$2:$A$298&gt;=D60)*('GLASS OFFCUTS LIST'!$B$2:$B$298&gt;=C60)))&gt;0)),"YES","NO")))</f>
        <v/>
      </c>
      <c r="G60" t="str">
        <f>IF(OR($C$3="",C60="",D60=""),"",IF(SUMPRODUCT(('GLASS OFFCUTS LIST'!$D$2:$D$298=UPPER(TRIM(SUBSTITUTE(SUBSTITUTE($C$3,"   "," "),"  "," "))))*((('GLASS OFFCUTS LIST'!$A$2:$A$298&gt;=C60)*('GLASS OFFCUTS LIST'!$B$2:$B$298&gt;=D60))+(N(OR(E60=TRUE(),E60="Y",E60="y",E60="YES",E60="Yes"))*(('GLASS OFFCUTS LIST'!$A$2:$A$298&gt;=D60)*('GLASS OFFCUTS LIST'!$B$2:$B$298&gt;=C60)))&gt;0))&gt;0,1,0))</f>
        <v/>
      </c>
      <c r="H60" t="str">
        <f>IF(G60="","",SUM($G$7:G60))</f>
        <v/>
      </c>
    </row>
    <row r="61" spans="1:8" x14ac:dyDescent="0.2">
      <c r="A61" s="3">
        <v>55</v>
      </c>
      <c r="B61" s="4"/>
      <c r="C61" s="3"/>
      <c r="D61" s="3"/>
      <c r="E61" s="4"/>
      <c r="F61" s="4" t="str">
        <f>IF(OR($C$3="",C61="",D61=""),"",IF(G61=0,"NO",IF(H61&lt;=SUMPRODUCT(('GLASS OFFCUTS LIST'!$D$2:$D$298=UPPER(TRIM(SUBSTITUTE(SUBSTITUTE($C$3,"   "," "),"  "," "))))*((('GLASS OFFCUTS LIST'!$A$2:$A$298&gt;=C61)*('GLASS OFFCUTS LIST'!$B$2:$B$298&gt;=D61))+(N(OR(E61=TRUE(),E61="Y",E61="y",E61="YES",E61="Yes"))*(('GLASS OFFCUTS LIST'!$A$2:$A$298&gt;=D61)*('GLASS OFFCUTS LIST'!$B$2:$B$298&gt;=C61)))&gt;0)),"YES","NO")))</f>
        <v/>
      </c>
      <c r="G61" t="str">
        <f>IF(OR($C$3="",C61="",D61=""),"",IF(SUMPRODUCT(('GLASS OFFCUTS LIST'!$D$2:$D$298=UPPER(TRIM(SUBSTITUTE(SUBSTITUTE($C$3,"   "," "),"  "," "))))*((('GLASS OFFCUTS LIST'!$A$2:$A$298&gt;=C61)*('GLASS OFFCUTS LIST'!$B$2:$B$298&gt;=D61))+(N(OR(E61=TRUE(),E61="Y",E61="y",E61="YES",E61="Yes"))*(('GLASS OFFCUTS LIST'!$A$2:$A$298&gt;=D61)*('GLASS OFFCUTS LIST'!$B$2:$B$298&gt;=C61)))&gt;0))&gt;0,1,0))</f>
        <v/>
      </c>
      <c r="H61" t="str">
        <f>IF(G61="","",SUM($G$7:G61))</f>
        <v/>
      </c>
    </row>
    <row r="62" spans="1:8" x14ac:dyDescent="0.2">
      <c r="A62" s="3">
        <v>56</v>
      </c>
      <c r="B62" s="4"/>
      <c r="C62" s="3"/>
      <c r="D62" s="3"/>
      <c r="E62" s="4"/>
      <c r="F62" s="4" t="str">
        <f>IF(OR($C$3="",C62="",D62=""),"",IF(G62=0,"NO",IF(H62&lt;=SUMPRODUCT(('GLASS OFFCUTS LIST'!$D$2:$D$298=UPPER(TRIM(SUBSTITUTE(SUBSTITUTE($C$3,"   "," "),"  "," "))))*((('GLASS OFFCUTS LIST'!$A$2:$A$298&gt;=C62)*('GLASS OFFCUTS LIST'!$B$2:$B$298&gt;=D62))+(N(OR(E62=TRUE(),E62="Y",E62="y",E62="YES",E62="Yes"))*(('GLASS OFFCUTS LIST'!$A$2:$A$298&gt;=D62)*('GLASS OFFCUTS LIST'!$B$2:$B$298&gt;=C62)))&gt;0)),"YES","NO")))</f>
        <v/>
      </c>
      <c r="G62" t="str">
        <f>IF(OR($C$3="",C62="",D62=""),"",IF(SUMPRODUCT(('GLASS OFFCUTS LIST'!$D$2:$D$298=UPPER(TRIM(SUBSTITUTE(SUBSTITUTE($C$3,"   "," "),"  "," "))))*((('GLASS OFFCUTS LIST'!$A$2:$A$298&gt;=C62)*('GLASS OFFCUTS LIST'!$B$2:$B$298&gt;=D62))+(N(OR(E62=TRUE(),E62="Y",E62="y",E62="YES",E62="Yes"))*(('GLASS OFFCUTS LIST'!$A$2:$A$298&gt;=D62)*('GLASS OFFCUTS LIST'!$B$2:$B$298&gt;=C62)))&gt;0))&gt;0,1,0))</f>
        <v/>
      </c>
      <c r="H62" t="str">
        <f>IF(G62="","",SUM($G$7:G62))</f>
        <v/>
      </c>
    </row>
    <row r="63" spans="1:8" x14ac:dyDescent="0.2">
      <c r="A63" s="3">
        <v>57</v>
      </c>
      <c r="B63" s="4"/>
      <c r="C63" s="3"/>
      <c r="D63" s="3"/>
      <c r="E63" s="4"/>
      <c r="F63" s="4" t="str">
        <f>IF(OR($C$3="",C63="",D63=""),"",IF(G63=0,"NO",IF(H63&lt;=SUMPRODUCT(('GLASS OFFCUTS LIST'!$D$2:$D$298=UPPER(TRIM(SUBSTITUTE(SUBSTITUTE($C$3,"   "," "),"  "," "))))*((('GLASS OFFCUTS LIST'!$A$2:$A$298&gt;=C63)*('GLASS OFFCUTS LIST'!$B$2:$B$298&gt;=D63))+(N(OR(E63=TRUE(),E63="Y",E63="y",E63="YES",E63="Yes"))*(('GLASS OFFCUTS LIST'!$A$2:$A$298&gt;=D63)*('GLASS OFFCUTS LIST'!$B$2:$B$298&gt;=C63)))&gt;0)),"YES","NO")))</f>
        <v/>
      </c>
      <c r="G63" t="str">
        <f>IF(OR($C$3="",C63="",D63=""),"",IF(SUMPRODUCT(('GLASS OFFCUTS LIST'!$D$2:$D$298=UPPER(TRIM(SUBSTITUTE(SUBSTITUTE($C$3,"   "," "),"  "," "))))*((('GLASS OFFCUTS LIST'!$A$2:$A$298&gt;=C63)*('GLASS OFFCUTS LIST'!$B$2:$B$298&gt;=D63))+(N(OR(E63=TRUE(),E63="Y",E63="y",E63="YES",E63="Yes"))*(('GLASS OFFCUTS LIST'!$A$2:$A$298&gt;=D63)*('GLASS OFFCUTS LIST'!$B$2:$B$298&gt;=C63)))&gt;0))&gt;0,1,0))</f>
        <v/>
      </c>
      <c r="H63" t="str">
        <f>IF(G63="","",SUM($G$7:G63))</f>
        <v/>
      </c>
    </row>
    <row r="64" spans="1:8" x14ac:dyDescent="0.2">
      <c r="A64" s="3">
        <v>58</v>
      </c>
      <c r="B64" s="4"/>
      <c r="C64" s="3"/>
      <c r="D64" s="3"/>
      <c r="E64" s="4"/>
      <c r="F64" s="4" t="str">
        <f>IF(OR($C$3="",C64="",D64=""),"",IF(G64=0,"NO",IF(H64&lt;=SUMPRODUCT(('GLASS OFFCUTS LIST'!$D$2:$D$298=UPPER(TRIM(SUBSTITUTE(SUBSTITUTE($C$3,"   "," "),"  "," "))))*((('GLASS OFFCUTS LIST'!$A$2:$A$298&gt;=C64)*('GLASS OFFCUTS LIST'!$B$2:$B$298&gt;=D64))+(N(OR(E64=TRUE(),E64="Y",E64="y",E64="YES",E64="Yes"))*(('GLASS OFFCUTS LIST'!$A$2:$A$298&gt;=D64)*('GLASS OFFCUTS LIST'!$B$2:$B$298&gt;=C64)))&gt;0)),"YES","NO")))</f>
        <v/>
      </c>
      <c r="G64" t="str">
        <f>IF(OR($C$3="",C64="",D64=""),"",IF(SUMPRODUCT(('GLASS OFFCUTS LIST'!$D$2:$D$298=UPPER(TRIM(SUBSTITUTE(SUBSTITUTE($C$3,"   "," "),"  "," "))))*((('GLASS OFFCUTS LIST'!$A$2:$A$298&gt;=C64)*('GLASS OFFCUTS LIST'!$B$2:$B$298&gt;=D64))+(N(OR(E64=TRUE(),E64="Y",E64="y",E64="YES",E64="Yes"))*(('GLASS OFFCUTS LIST'!$A$2:$A$298&gt;=D64)*('GLASS OFFCUTS LIST'!$B$2:$B$298&gt;=C64)))&gt;0))&gt;0,1,0))</f>
        <v/>
      </c>
      <c r="H64" t="str">
        <f>IF(G64="","",SUM($G$7:G64))</f>
        <v/>
      </c>
    </row>
    <row r="65" spans="1:8" x14ac:dyDescent="0.2">
      <c r="A65" s="3">
        <v>59</v>
      </c>
      <c r="B65" s="4"/>
      <c r="C65" s="3"/>
      <c r="D65" s="3"/>
      <c r="E65" s="4"/>
      <c r="F65" s="4" t="str">
        <f>IF(OR($C$3="",C65="",D65=""),"",IF(G65=0,"NO",IF(H65&lt;=SUMPRODUCT(('GLASS OFFCUTS LIST'!$D$2:$D$298=UPPER(TRIM(SUBSTITUTE(SUBSTITUTE($C$3,"   "," "),"  "," "))))*((('GLASS OFFCUTS LIST'!$A$2:$A$298&gt;=C65)*('GLASS OFFCUTS LIST'!$B$2:$B$298&gt;=D65))+(N(OR(E65=TRUE(),E65="Y",E65="y",E65="YES",E65="Yes"))*(('GLASS OFFCUTS LIST'!$A$2:$A$298&gt;=D65)*('GLASS OFFCUTS LIST'!$B$2:$B$298&gt;=C65)))&gt;0)),"YES","NO")))</f>
        <v/>
      </c>
      <c r="G65" t="str">
        <f>IF(OR($C$3="",C65="",D65=""),"",IF(SUMPRODUCT(('GLASS OFFCUTS LIST'!$D$2:$D$298=UPPER(TRIM(SUBSTITUTE(SUBSTITUTE($C$3,"   "," "),"  "," "))))*((('GLASS OFFCUTS LIST'!$A$2:$A$298&gt;=C65)*('GLASS OFFCUTS LIST'!$B$2:$B$298&gt;=D65))+(N(OR(E65=TRUE(),E65="Y",E65="y",E65="YES",E65="Yes"))*(('GLASS OFFCUTS LIST'!$A$2:$A$298&gt;=D65)*('GLASS OFFCUTS LIST'!$B$2:$B$298&gt;=C65)))&gt;0))&gt;0,1,0))</f>
        <v/>
      </c>
      <c r="H65" t="str">
        <f>IF(G65="","",SUM($G$7:G65))</f>
        <v/>
      </c>
    </row>
    <row r="66" spans="1:8" x14ac:dyDescent="0.2">
      <c r="A66" s="3">
        <v>60</v>
      </c>
      <c r="B66" s="4"/>
      <c r="C66" s="3"/>
      <c r="D66" s="3"/>
      <c r="E66" s="4"/>
      <c r="F66" s="4" t="str">
        <f>IF(OR($C$3="",C66="",D66=""),"",IF(G66=0,"NO",IF(H66&lt;=SUMPRODUCT(('GLASS OFFCUTS LIST'!$D$2:$D$298=UPPER(TRIM(SUBSTITUTE(SUBSTITUTE($C$3,"   "," "),"  "," "))))*((('GLASS OFFCUTS LIST'!$A$2:$A$298&gt;=C66)*('GLASS OFFCUTS LIST'!$B$2:$B$298&gt;=D66))+(N(OR(E66=TRUE(),E66="Y",E66="y",E66="YES",E66="Yes"))*(('GLASS OFFCUTS LIST'!$A$2:$A$298&gt;=D66)*('GLASS OFFCUTS LIST'!$B$2:$B$298&gt;=C66)))&gt;0)),"YES","NO")))</f>
        <v/>
      </c>
      <c r="G66" t="str">
        <f>IF(OR($C$3="",C66="",D66=""),"",IF(SUMPRODUCT(('GLASS OFFCUTS LIST'!$D$2:$D$298=UPPER(TRIM(SUBSTITUTE(SUBSTITUTE($C$3,"   "," "),"  "," "))))*((('GLASS OFFCUTS LIST'!$A$2:$A$298&gt;=C66)*('GLASS OFFCUTS LIST'!$B$2:$B$298&gt;=D66))+(N(OR(E66=TRUE(),E66="Y",E66="y",E66="YES",E66="Yes"))*(('GLASS OFFCUTS LIST'!$A$2:$A$298&gt;=D66)*('GLASS OFFCUTS LIST'!$B$2:$B$298&gt;=C66)))&gt;0))&gt;0,1,0))</f>
        <v/>
      </c>
      <c r="H66" t="str">
        <f>IF(G66="","",SUM($G$7:G66))</f>
        <v/>
      </c>
    </row>
    <row r="67" spans="1:8" x14ac:dyDescent="0.2">
      <c r="A67" s="3">
        <v>61</v>
      </c>
      <c r="B67" s="4"/>
      <c r="C67" s="3"/>
      <c r="D67" s="3"/>
      <c r="E67" s="4"/>
      <c r="F67" s="4" t="str">
        <f>IF(OR($C$3="",C67="",D67=""),"",IF(G67=0,"NO",IF(H67&lt;=SUMPRODUCT(('GLASS OFFCUTS LIST'!$D$2:$D$298=UPPER(TRIM(SUBSTITUTE(SUBSTITUTE($C$3,"   "," "),"  "," "))))*((('GLASS OFFCUTS LIST'!$A$2:$A$298&gt;=C67)*('GLASS OFFCUTS LIST'!$B$2:$B$298&gt;=D67))+(N(OR(E67=TRUE(),E67="Y",E67="y",E67="YES",E67="Yes"))*(('GLASS OFFCUTS LIST'!$A$2:$A$298&gt;=D67)*('GLASS OFFCUTS LIST'!$B$2:$B$298&gt;=C67)))&gt;0)),"YES","NO")))</f>
        <v/>
      </c>
      <c r="G67" t="str">
        <f>IF(OR($C$3="",C67="",D67=""),"",IF(SUMPRODUCT(('GLASS OFFCUTS LIST'!$D$2:$D$298=UPPER(TRIM(SUBSTITUTE(SUBSTITUTE($C$3,"   "," "),"  "," "))))*((('GLASS OFFCUTS LIST'!$A$2:$A$298&gt;=C67)*('GLASS OFFCUTS LIST'!$B$2:$B$298&gt;=D67))+(N(OR(E67=TRUE(),E67="Y",E67="y",E67="YES",E67="Yes"))*(('GLASS OFFCUTS LIST'!$A$2:$A$298&gt;=D67)*('GLASS OFFCUTS LIST'!$B$2:$B$298&gt;=C67)))&gt;0))&gt;0,1,0))</f>
        <v/>
      </c>
      <c r="H67" t="str">
        <f>IF(G67="","",SUM($G$7:G67))</f>
        <v/>
      </c>
    </row>
    <row r="68" spans="1:8" x14ac:dyDescent="0.2">
      <c r="A68" s="3">
        <v>62</v>
      </c>
      <c r="B68" s="4"/>
      <c r="C68" s="3"/>
      <c r="D68" s="3"/>
      <c r="E68" s="4"/>
      <c r="F68" s="4" t="str">
        <f>IF(OR($C$3="",C68="",D68=""),"",IF(G68=0,"NO",IF(H68&lt;=SUMPRODUCT(('GLASS OFFCUTS LIST'!$D$2:$D$298=UPPER(TRIM(SUBSTITUTE(SUBSTITUTE($C$3,"   "," "),"  "," "))))*((('GLASS OFFCUTS LIST'!$A$2:$A$298&gt;=C68)*('GLASS OFFCUTS LIST'!$B$2:$B$298&gt;=D68))+(N(OR(E68=TRUE(),E68="Y",E68="y",E68="YES",E68="Yes"))*(('GLASS OFFCUTS LIST'!$A$2:$A$298&gt;=D68)*('GLASS OFFCUTS LIST'!$B$2:$B$298&gt;=C68)))&gt;0)),"YES","NO")))</f>
        <v/>
      </c>
      <c r="G68" t="str">
        <f>IF(OR($C$3="",C68="",D68=""),"",IF(SUMPRODUCT(('GLASS OFFCUTS LIST'!$D$2:$D$298=UPPER(TRIM(SUBSTITUTE(SUBSTITUTE($C$3,"   "," "),"  "," "))))*((('GLASS OFFCUTS LIST'!$A$2:$A$298&gt;=C68)*('GLASS OFFCUTS LIST'!$B$2:$B$298&gt;=D68))+(N(OR(E68=TRUE(),E68="Y",E68="y",E68="YES",E68="Yes"))*(('GLASS OFFCUTS LIST'!$A$2:$A$298&gt;=D68)*('GLASS OFFCUTS LIST'!$B$2:$B$298&gt;=C68)))&gt;0))&gt;0,1,0))</f>
        <v/>
      </c>
      <c r="H68" t="str">
        <f>IF(G68="","",SUM($G$7:G68))</f>
        <v/>
      </c>
    </row>
    <row r="69" spans="1:8" x14ac:dyDescent="0.2">
      <c r="A69" s="3">
        <v>63</v>
      </c>
      <c r="B69" s="4"/>
      <c r="C69" s="3"/>
      <c r="D69" s="3"/>
      <c r="E69" s="4"/>
      <c r="F69" s="4" t="str">
        <f>IF(OR($C$3="",C69="",D69=""),"",IF(G69=0,"NO",IF(H69&lt;=SUMPRODUCT(('GLASS OFFCUTS LIST'!$D$2:$D$298=UPPER(TRIM(SUBSTITUTE(SUBSTITUTE($C$3,"   "," "),"  "," "))))*((('GLASS OFFCUTS LIST'!$A$2:$A$298&gt;=C69)*('GLASS OFFCUTS LIST'!$B$2:$B$298&gt;=D69))+(N(OR(E69=TRUE(),E69="Y",E69="y",E69="YES",E69="Yes"))*(('GLASS OFFCUTS LIST'!$A$2:$A$298&gt;=D69)*('GLASS OFFCUTS LIST'!$B$2:$B$298&gt;=C69)))&gt;0)),"YES","NO")))</f>
        <v/>
      </c>
      <c r="G69" t="str">
        <f>IF(OR($C$3="",C69="",D69=""),"",IF(SUMPRODUCT(('GLASS OFFCUTS LIST'!$D$2:$D$298=UPPER(TRIM(SUBSTITUTE(SUBSTITUTE($C$3,"   "," "),"  "," "))))*((('GLASS OFFCUTS LIST'!$A$2:$A$298&gt;=C69)*('GLASS OFFCUTS LIST'!$B$2:$B$298&gt;=D69))+(N(OR(E69=TRUE(),E69="Y",E69="y",E69="YES",E69="Yes"))*(('GLASS OFFCUTS LIST'!$A$2:$A$298&gt;=D69)*('GLASS OFFCUTS LIST'!$B$2:$B$298&gt;=C69)))&gt;0))&gt;0,1,0))</f>
        <v/>
      </c>
      <c r="H69" t="str">
        <f>IF(G69="","",SUM($G$7:G69))</f>
        <v/>
      </c>
    </row>
    <row r="70" spans="1:8" x14ac:dyDescent="0.2">
      <c r="A70" s="3">
        <v>64</v>
      </c>
      <c r="B70" s="4"/>
      <c r="C70" s="3"/>
      <c r="D70" s="3"/>
      <c r="E70" s="4"/>
      <c r="F70" s="4" t="str">
        <f>IF(OR($C$3="",C70="",D70=""),"",IF(G70=0,"NO",IF(H70&lt;=SUMPRODUCT(('GLASS OFFCUTS LIST'!$D$2:$D$298=UPPER(TRIM(SUBSTITUTE(SUBSTITUTE($C$3,"   "," "),"  "," "))))*((('GLASS OFFCUTS LIST'!$A$2:$A$298&gt;=C70)*('GLASS OFFCUTS LIST'!$B$2:$B$298&gt;=D70))+(N(OR(E70=TRUE(),E70="Y",E70="y",E70="YES",E70="Yes"))*(('GLASS OFFCUTS LIST'!$A$2:$A$298&gt;=D70)*('GLASS OFFCUTS LIST'!$B$2:$B$298&gt;=C70)))&gt;0)),"YES","NO")))</f>
        <v/>
      </c>
      <c r="G70" t="str">
        <f>IF(OR($C$3="",C70="",D70=""),"",IF(SUMPRODUCT(('GLASS OFFCUTS LIST'!$D$2:$D$298=UPPER(TRIM(SUBSTITUTE(SUBSTITUTE($C$3,"   "," "),"  "," "))))*((('GLASS OFFCUTS LIST'!$A$2:$A$298&gt;=C70)*('GLASS OFFCUTS LIST'!$B$2:$B$298&gt;=D70))+(N(OR(E70=TRUE(),E70="Y",E70="y",E70="YES",E70="Yes"))*(('GLASS OFFCUTS LIST'!$A$2:$A$298&gt;=D70)*('GLASS OFFCUTS LIST'!$B$2:$B$298&gt;=C70)))&gt;0))&gt;0,1,0))</f>
        <v/>
      </c>
      <c r="H70" t="str">
        <f>IF(G70="","",SUM($G$7:G70))</f>
        <v/>
      </c>
    </row>
    <row r="71" spans="1:8" x14ac:dyDescent="0.2">
      <c r="A71" s="3">
        <v>65</v>
      </c>
      <c r="B71" s="4"/>
      <c r="C71" s="3"/>
      <c r="D71" s="3"/>
      <c r="E71" s="4"/>
      <c r="F71" s="4" t="str">
        <f>IF(OR($C$3="",C71="",D71=""),"",IF(G71=0,"NO",IF(H71&lt;=SUMPRODUCT(('GLASS OFFCUTS LIST'!$D$2:$D$298=UPPER(TRIM(SUBSTITUTE(SUBSTITUTE($C$3,"   "," "),"  "," "))))*((('GLASS OFFCUTS LIST'!$A$2:$A$298&gt;=C71)*('GLASS OFFCUTS LIST'!$B$2:$B$298&gt;=D71))+(N(OR(E71=TRUE(),E71="Y",E71="y",E71="YES",E71="Yes"))*(('GLASS OFFCUTS LIST'!$A$2:$A$298&gt;=D71)*('GLASS OFFCUTS LIST'!$B$2:$B$298&gt;=C71)))&gt;0)),"YES","NO")))</f>
        <v/>
      </c>
      <c r="G71" t="str">
        <f>IF(OR($C$3="",C71="",D71=""),"",IF(SUMPRODUCT(('GLASS OFFCUTS LIST'!$D$2:$D$298=UPPER(TRIM(SUBSTITUTE(SUBSTITUTE($C$3,"   "," "),"  "," "))))*((('GLASS OFFCUTS LIST'!$A$2:$A$298&gt;=C71)*('GLASS OFFCUTS LIST'!$B$2:$B$298&gt;=D71))+(N(OR(E71=TRUE(),E71="Y",E71="y",E71="YES",E71="Yes"))*(('GLASS OFFCUTS LIST'!$A$2:$A$298&gt;=D71)*('GLASS OFFCUTS LIST'!$B$2:$B$298&gt;=C71)))&gt;0))&gt;0,1,0))</f>
        <v/>
      </c>
      <c r="H71" t="str">
        <f>IF(G71="","",SUM($G$7:G71))</f>
        <v/>
      </c>
    </row>
    <row r="72" spans="1:8" x14ac:dyDescent="0.2">
      <c r="A72" s="3">
        <v>66</v>
      </c>
      <c r="B72" s="4"/>
      <c r="C72" s="3"/>
      <c r="D72" s="3"/>
      <c r="E72" s="4"/>
      <c r="F72" s="4" t="str">
        <f>IF(OR($C$3="",C72="",D72=""),"",IF(G72=0,"NO",IF(H72&lt;=SUMPRODUCT(('GLASS OFFCUTS LIST'!$D$2:$D$298=UPPER(TRIM(SUBSTITUTE(SUBSTITUTE($C$3,"   "," "),"  "," "))))*((('GLASS OFFCUTS LIST'!$A$2:$A$298&gt;=C72)*('GLASS OFFCUTS LIST'!$B$2:$B$298&gt;=D72))+(N(OR(E72=TRUE(),E72="Y",E72="y",E72="YES",E72="Yes"))*(('GLASS OFFCUTS LIST'!$A$2:$A$298&gt;=D72)*('GLASS OFFCUTS LIST'!$B$2:$B$298&gt;=C72)))&gt;0)),"YES","NO")))</f>
        <v/>
      </c>
      <c r="G72" t="str">
        <f>IF(OR($C$3="",C72="",D72=""),"",IF(SUMPRODUCT(('GLASS OFFCUTS LIST'!$D$2:$D$298=UPPER(TRIM(SUBSTITUTE(SUBSTITUTE($C$3,"   "," "),"  "," "))))*((('GLASS OFFCUTS LIST'!$A$2:$A$298&gt;=C72)*('GLASS OFFCUTS LIST'!$B$2:$B$298&gt;=D72))+(N(OR(E72=TRUE(),E72="Y",E72="y",E72="YES",E72="Yes"))*(('GLASS OFFCUTS LIST'!$A$2:$A$298&gt;=D72)*('GLASS OFFCUTS LIST'!$B$2:$B$298&gt;=C72)))&gt;0))&gt;0,1,0))</f>
        <v/>
      </c>
      <c r="H72" t="str">
        <f>IF(G72="","",SUM($G$7:G72))</f>
        <v/>
      </c>
    </row>
    <row r="73" spans="1:8" x14ac:dyDescent="0.2">
      <c r="A73" s="3">
        <v>67</v>
      </c>
      <c r="B73" s="4"/>
      <c r="C73" s="3"/>
      <c r="D73" s="3"/>
      <c r="E73" s="4"/>
      <c r="F73" s="4" t="str">
        <f>IF(OR($C$3="",C73="",D73=""),"",IF(G73=0,"NO",IF(H73&lt;=SUMPRODUCT(('GLASS OFFCUTS LIST'!$D$2:$D$298=UPPER(TRIM(SUBSTITUTE(SUBSTITUTE($C$3,"   "," "),"  "," "))))*((('GLASS OFFCUTS LIST'!$A$2:$A$298&gt;=C73)*('GLASS OFFCUTS LIST'!$B$2:$B$298&gt;=D73))+(N(OR(E73=TRUE(),E73="Y",E73="y",E73="YES",E73="Yes"))*(('GLASS OFFCUTS LIST'!$A$2:$A$298&gt;=D73)*('GLASS OFFCUTS LIST'!$B$2:$B$298&gt;=C73)))&gt;0)),"YES","NO")))</f>
        <v/>
      </c>
      <c r="G73" t="str">
        <f>IF(OR($C$3="",C73="",D73=""),"",IF(SUMPRODUCT(('GLASS OFFCUTS LIST'!$D$2:$D$298=UPPER(TRIM(SUBSTITUTE(SUBSTITUTE($C$3,"   "," "),"  "," "))))*((('GLASS OFFCUTS LIST'!$A$2:$A$298&gt;=C73)*('GLASS OFFCUTS LIST'!$B$2:$B$298&gt;=D73))+(N(OR(E73=TRUE(),E73="Y",E73="y",E73="YES",E73="Yes"))*(('GLASS OFFCUTS LIST'!$A$2:$A$298&gt;=D73)*('GLASS OFFCUTS LIST'!$B$2:$B$298&gt;=C73)))&gt;0))&gt;0,1,0))</f>
        <v/>
      </c>
      <c r="H73" t="str">
        <f>IF(G73="","",SUM($G$7:G73))</f>
        <v/>
      </c>
    </row>
    <row r="74" spans="1:8" x14ac:dyDescent="0.2">
      <c r="A74" s="3">
        <v>68</v>
      </c>
      <c r="B74" s="4"/>
      <c r="C74" s="3"/>
      <c r="D74" s="3"/>
      <c r="E74" s="4"/>
      <c r="F74" s="4" t="str">
        <f>IF(OR($C$3="",C74="",D74=""),"",IF(G74=0,"NO",IF(H74&lt;=SUMPRODUCT(('GLASS OFFCUTS LIST'!$D$2:$D$298=UPPER(TRIM(SUBSTITUTE(SUBSTITUTE($C$3,"   "," "),"  "," "))))*((('GLASS OFFCUTS LIST'!$A$2:$A$298&gt;=C74)*('GLASS OFFCUTS LIST'!$B$2:$B$298&gt;=D74))+(N(OR(E74=TRUE(),E74="Y",E74="y",E74="YES",E74="Yes"))*(('GLASS OFFCUTS LIST'!$A$2:$A$298&gt;=D74)*('GLASS OFFCUTS LIST'!$B$2:$B$298&gt;=C74)))&gt;0)),"YES","NO")))</f>
        <v/>
      </c>
      <c r="G74" t="str">
        <f>IF(OR($C$3="",C74="",D74=""),"",IF(SUMPRODUCT(('GLASS OFFCUTS LIST'!$D$2:$D$298=UPPER(TRIM(SUBSTITUTE(SUBSTITUTE($C$3,"   "," "),"  "," "))))*((('GLASS OFFCUTS LIST'!$A$2:$A$298&gt;=C74)*('GLASS OFFCUTS LIST'!$B$2:$B$298&gt;=D74))+(N(OR(E74=TRUE(),E74="Y",E74="y",E74="YES",E74="Yes"))*(('GLASS OFFCUTS LIST'!$A$2:$A$298&gt;=D74)*('GLASS OFFCUTS LIST'!$B$2:$B$298&gt;=C74)))&gt;0))&gt;0,1,0))</f>
        <v/>
      </c>
      <c r="H74" t="str">
        <f>IF(G74="","",SUM($G$7:G74))</f>
        <v/>
      </c>
    </row>
    <row r="75" spans="1:8" x14ac:dyDescent="0.2">
      <c r="A75" s="3">
        <v>69</v>
      </c>
      <c r="B75" s="4"/>
      <c r="C75" s="3"/>
      <c r="D75" s="3"/>
      <c r="E75" s="4"/>
      <c r="F75" s="4" t="str">
        <f>IF(OR($C$3="",C75="",D75=""),"",IF(G75=0,"NO",IF(H75&lt;=SUMPRODUCT(('GLASS OFFCUTS LIST'!$D$2:$D$298=UPPER(TRIM(SUBSTITUTE(SUBSTITUTE($C$3,"   "," "),"  "," "))))*((('GLASS OFFCUTS LIST'!$A$2:$A$298&gt;=C75)*('GLASS OFFCUTS LIST'!$B$2:$B$298&gt;=D75))+(N(OR(E75=TRUE(),E75="Y",E75="y",E75="YES",E75="Yes"))*(('GLASS OFFCUTS LIST'!$A$2:$A$298&gt;=D75)*('GLASS OFFCUTS LIST'!$B$2:$B$298&gt;=C75)))&gt;0)),"YES","NO")))</f>
        <v/>
      </c>
      <c r="G75" t="str">
        <f>IF(OR($C$3="",C75="",D75=""),"",IF(SUMPRODUCT(('GLASS OFFCUTS LIST'!$D$2:$D$298=UPPER(TRIM(SUBSTITUTE(SUBSTITUTE($C$3,"   "," "),"  "," "))))*((('GLASS OFFCUTS LIST'!$A$2:$A$298&gt;=C75)*('GLASS OFFCUTS LIST'!$B$2:$B$298&gt;=D75))+(N(OR(E75=TRUE(),E75="Y",E75="y",E75="YES",E75="Yes"))*(('GLASS OFFCUTS LIST'!$A$2:$A$298&gt;=D75)*('GLASS OFFCUTS LIST'!$B$2:$B$298&gt;=C75)))&gt;0))&gt;0,1,0))</f>
        <v/>
      </c>
      <c r="H75" t="str">
        <f>IF(G75="","",SUM($G$7:G75))</f>
        <v/>
      </c>
    </row>
    <row r="76" spans="1:8" x14ac:dyDescent="0.2">
      <c r="A76" s="3">
        <v>70</v>
      </c>
      <c r="B76" s="4"/>
      <c r="C76" s="3"/>
      <c r="D76" s="3"/>
      <c r="E76" s="4"/>
      <c r="F76" s="4" t="str">
        <f>IF(OR($C$3="",C76="",D76=""),"",IF(G76=0,"NO",IF(H76&lt;=SUMPRODUCT(('GLASS OFFCUTS LIST'!$D$2:$D$298=UPPER(TRIM(SUBSTITUTE(SUBSTITUTE($C$3,"   "," "),"  "," "))))*((('GLASS OFFCUTS LIST'!$A$2:$A$298&gt;=C76)*('GLASS OFFCUTS LIST'!$B$2:$B$298&gt;=D76))+(N(OR(E76=TRUE(),E76="Y",E76="y",E76="YES",E76="Yes"))*(('GLASS OFFCUTS LIST'!$A$2:$A$298&gt;=D76)*('GLASS OFFCUTS LIST'!$B$2:$B$298&gt;=C76)))&gt;0)),"YES","NO")))</f>
        <v/>
      </c>
      <c r="G76" t="str">
        <f>IF(OR($C$3="",C76="",D76=""),"",IF(SUMPRODUCT(('GLASS OFFCUTS LIST'!$D$2:$D$298=UPPER(TRIM(SUBSTITUTE(SUBSTITUTE($C$3,"   "," "),"  "," "))))*((('GLASS OFFCUTS LIST'!$A$2:$A$298&gt;=C76)*('GLASS OFFCUTS LIST'!$B$2:$B$298&gt;=D76))+(N(OR(E76=TRUE(),E76="Y",E76="y",E76="YES",E76="Yes"))*(('GLASS OFFCUTS LIST'!$A$2:$A$298&gt;=D76)*('GLASS OFFCUTS LIST'!$B$2:$B$298&gt;=C76)))&gt;0))&gt;0,1,0))</f>
        <v/>
      </c>
      <c r="H76" t="str">
        <f>IF(G76="","",SUM($G$7:G76))</f>
        <v/>
      </c>
    </row>
    <row r="77" spans="1:8" x14ac:dyDescent="0.2">
      <c r="A77" s="3">
        <v>71</v>
      </c>
      <c r="B77" s="4"/>
      <c r="C77" s="3"/>
      <c r="D77" s="3"/>
      <c r="E77" s="4"/>
      <c r="F77" s="4" t="str">
        <f>IF(OR($C$3="",C77="",D77=""),"",IF(G77=0,"NO",IF(H77&lt;=SUMPRODUCT(('GLASS OFFCUTS LIST'!$D$2:$D$298=UPPER(TRIM(SUBSTITUTE(SUBSTITUTE($C$3,"   "," "),"  "," "))))*((('GLASS OFFCUTS LIST'!$A$2:$A$298&gt;=C77)*('GLASS OFFCUTS LIST'!$B$2:$B$298&gt;=D77))+(N(OR(E77=TRUE(),E77="Y",E77="y",E77="YES",E77="Yes"))*(('GLASS OFFCUTS LIST'!$A$2:$A$298&gt;=D77)*('GLASS OFFCUTS LIST'!$B$2:$B$298&gt;=C77)))&gt;0)),"YES","NO")))</f>
        <v/>
      </c>
      <c r="G77" t="str">
        <f>IF(OR($C$3="",C77="",D77=""),"",IF(SUMPRODUCT(('GLASS OFFCUTS LIST'!$D$2:$D$298=UPPER(TRIM(SUBSTITUTE(SUBSTITUTE($C$3,"   "," "),"  "," "))))*((('GLASS OFFCUTS LIST'!$A$2:$A$298&gt;=C77)*('GLASS OFFCUTS LIST'!$B$2:$B$298&gt;=D77))+(N(OR(E77=TRUE(),E77="Y",E77="y",E77="YES",E77="Yes"))*(('GLASS OFFCUTS LIST'!$A$2:$A$298&gt;=D77)*('GLASS OFFCUTS LIST'!$B$2:$B$298&gt;=C77)))&gt;0))&gt;0,1,0))</f>
        <v/>
      </c>
      <c r="H77" t="str">
        <f>IF(G77="","",SUM($G$7:G77))</f>
        <v/>
      </c>
    </row>
    <row r="78" spans="1:8" x14ac:dyDescent="0.2">
      <c r="A78" s="3">
        <v>72</v>
      </c>
      <c r="B78" s="4"/>
      <c r="C78" s="3"/>
      <c r="D78" s="3"/>
      <c r="E78" s="4"/>
      <c r="F78" s="4" t="str">
        <f>IF(OR($C$3="",C78="",D78=""),"",IF(G78=0,"NO",IF(H78&lt;=SUMPRODUCT(('GLASS OFFCUTS LIST'!$D$2:$D$298=UPPER(TRIM(SUBSTITUTE(SUBSTITUTE($C$3,"   "," "),"  "," "))))*((('GLASS OFFCUTS LIST'!$A$2:$A$298&gt;=C78)*('GLASS OFFCUTS LIST'!$B$2:$B$298&gt;=D78))+(N(OR(E78=TRUE(),E78="Y",E78="y",E78="YES",E78="Yes"))*(('GLASS OFFCUTS LIST'!$A$2:$A$298&gt;=D78)*('GLASS OFFCUTS LIST'!$B$2:$B$298&gt;=C78)))&gt;0)),"YES","NO")))</f>
        <v/>
      </c>
      <c r="G78" t="str">
        <f>IF(OR($C$3="",C78="",D78=""),"",IF(SUMPRODUCT(('GLASS OFFCUTS LIST'!$D$2:$D$298=UPPER(TRIM(SUBSTITUTE(SUBSTITUTE($C$3,"   "," "),"  "," "))))*((('GLASS OFFCUTS LIST'!$A$2:$A$298&gt;=C78)*('GLASS OFFCUTS LIST'!$B$2:$B$298&gt;=D78))+(N(OR(E78=TRUE(),E78="Y",E78="y",E78="YES",E78="Yes"))*(('GLASS OFFCUTS LIST'!$A$2:$A$298&gt;=D78)*('GLASS OFFCUTS LIST'!$B$2:$B$298&gt;=C78)))&gt;0))&gt;0,1,0))</f>
        <v/>
      </c>
      <c r="H78" t="str">
        <f>IF(G78="","",SUM($G$7:G78))</f>
        <v/>
      </c>
    </row>
    <row r="79" spans="1:8" x14ac:dyDescent="0.2">
      <c r="A79" s="3">
        <v>73</v>
      </c>
      <c r="B79" s="4"/>
      <c r="C79" s="3"/>
      <c r="D79" s="3"/>
      <c r="E79" s="4"/>
      <c r="F79" s="4" t="str">
        <f>IF(OR($C$3="",C79="",D79=""),"",IF(G79=0,"NO",IF(H79&lt;=SUMPRODUCT(('GLASS OFFCUTS LIST'!$D$2:$D$298=UPPER(TRIM(SUBSTITUTE(SUBSTITUTE($C$3,"   "," "),"  "," "))))*((('GLASS OFFCUTS LIST'!$A$2:$A$298&gt;=C79)*('GLASS OFFCUTS LIST'!$B$2:$B$298&gt;=D79))+(N(OR(E79=TRUE(),E79="Y",E79="y",E79="YES",E79="Yes"))*(('GLASS OFFCUTS LIST'!$A$2:$A$298&gt;=D79)*('GLASS OFFCUTS LIST'!$B$2:$B$298&gt;=C79)))&gt;0)),"YES","NO")))</f>
        <v/>
      </c>
      <c r="G79" t="str">
        <f>IF(OR($C$3="",C79="",D79=""),"",IF(SUMPRODUCT(('GLASS OFFCUTS LIST'!$D$2:$D$298=UPPER(TRIM(SUBSTITUTE(SUBSTITUTE($C$3,"   "," "),"  "," "))))*((('GLASS OFFCUTS LIST'!$A$2:$A$298&gt;=C79)*('GLASS OFFCUTS LIST'!$B$2:$B$298&gt;=D79))+(N(OR(E79=TRUE(),E79="Y",E79="y",E79="YES",E79="Yes"))*(('GLASS OFFCUTS LIST'!$A$2:$A$298&gt;=D79)*('GLASS OFFCUTS LIST'!$B$2:$B$298&gt;=C79)))&gt;0))&gt;0,1,0))</f>
        <v/>
      </c>
      <c r="H79" t="str">
        <f>IF(G79="","",SUM($G$7:G79))</f>
        <v/>
      </c>
    </row>
    <row r="80" spans="1:8" x14ac:dyDescent="0.2">
      <c r="A80" s="3">
        <v>74</v>
      </c>
      <c r="B80" s="4"/>
      <c r="C80" s="3"/>
      <c r="D80" s="3"/>
      <c r="E80" s="4"/>
      <c r="F80" s="4" t="str">
        <f>IF(OR($C$3="",C80="",D80=""),"",IF(G80=0,"NO",IF(H80&lt;=SUMPRODUCT(('GLASS OFFCUTS LIST'!$D$2:$D$298=UPPER(TRIM(SUBSTITUTE(SUBSTITUTE($C$3,"   "," "),"  "," "))))*((('GLASS OFFCUTS LIST'!$A$2:$A$298&gt;=C80)*('GLASS OFFCUTS LIST'!$B$2:$B$298&gt;=D80))+(N(OR(E80=TRUE(),E80="Y",E80="y",E80="YES",E80="Yes"))*(('GLASS OFFCUTS LIST'!$A$2:$A$298&gt;=D80)*('GLASS OFFCUTS LIST'!$B$2:$B$298&gt;=C80)))&gt;0)),"YES","NO")))</f>
        <v/>
      </c>
      <c r="G80" t="str">
        <f>IF(OR($C$3="",C80="",D80=""),"",IF(SUMPRODUCT(('GLASS OFFCUTS LIST'!$D$2:$D$298=UPPER(TRIM(SUBSTITUTE(SUBSTITUTE($C$3,"   "," "),"  "," "))))*((('GLASS OFFCUTS LIST'!$A$2:$A$298&gt;=C80)*('GLASS OFFCUTS LIST'!$B$2:$B$298&gt;=D80))+(N(OR(E80=TRUE(),E80="Y",E80="y",E80="YES",E80="Yes"))*(('GLASS OFFCUTS LIST'!$A$2:$A$298&gt;=D80)*('GLASS OFFCUTS LIST'!$B$2:$B$298&gt;=C80)))&gt;0))&gt;0,1,0))</f>
        <v/>
      </c>
      <c r="H80" t="str">
        <f>IF(G80="","",SUM($G$7:G80))</f>
        <v/>
      </c>
    </row>
    <row r="81" spans="1:8" x14ac:dyDescent="0.2">
      <c r="A81" s="3">
        <v>75</v>
      </c>
      <c r="B81" s="4"/>
      <c r="C81" s="3"/>
      <c r="D81" s="3"/>
      <c r="E81" s="4"/>
      <c r="F81" s="4" t="str">
        <f>IF(OR($C$3="",C81="",D81=""),"",IF(G81=0,"NO",IF(H81&lt;=SUMPRODUCT(('GLASS OFFCUTS LIST'!$D$2:$D$298=UPPER(TRIM(SUBSTITUTE(SUBSTITUTE($C$3,"   "," "),"  "," "))))*((('GLASS OFFCUTS LIST'!$A$2:$A$298&gt;=C81)*('GLASS OFFCUTS LIST'!$B$2:$B$298&gt;=D81))+(N(OR(E81=TRUE(),E81="Y",E81="y",E81="YES",E81="Yes"))*(('GLASS OFFCUTS LIST'!$A$2:$A$298&gt;=D81)*('GLASS OFFCUTS LIST'!$B$2:$B$298&gt;=C81)))&gt;0)),"YES","NO")))</f>
        <v/>
      </c>
      <c r="G81" t="str">
        <f>IF(OR($C$3="",C81="",D81=""),"",IF(SUMPRODUCT(('GLASS OFFCUTS LIST'!$D$2:$D$298=UPPER(TRIM(SUBSTITUTE(SUBSTITUTE($C$3,"   "," "),"  "," "))))*((('GLASS OFFCUTS LIST'!$A$2:$A$298&gt;=C81)*('GLASS OFFCUTS LIST'!$B$2:$B$298&gt;=D81))+(N(OR(E81=TRUE(),E81="Y",E81="y",E81="YES",E81="Yes"))*(('GLASS OFFCUTS LIST'!$A$2:$A$298&gt;=D81)*('GLASS OFFCUTS LIST'!$B$2:$B$298&gt;=C81)))&gt;0))&gt;0,1,0))</f>
        <v/>
      </c>
      <c r="H81" t="str">
        <f>IF(G81="","",SUM($G$7:G81))</f>
        <v/>
      </c>
    </row>
    <row r="82" spans="1:8" x14ac:dyDescent="0.2">
      <c r="A82" s="3">
        <v>76</v>
      </c>
      <c r="B82" s="4"/>
      <c r="C82" s="3"/>
      <c r="D82" s="3"/>
      <c r="E82" s="4"/>
      <c r="F82" s="4" t="str">
        <f>IF(OR($C$3="",C82="",D82=""),"",IF(G82=0,"NO",IF(H82&lt;=SUMPRODUCT(('GLASS OFFCUTS LIST'!$D$2:$D$298=UPPER(TRIM(SUBSTITUTE(SUBSTITUTE($C$3,"   "," "),"  "," "))))*((('GLASS OFFCUTS LIST'!$A$2:$A$298&gt;=C82)*('GLASS OFFCUTS LIST'!$B$2:$B$298&gt;=D82))+(N(OR(E82=TRUE(),E82="Y",E82="y",E82="YES",E82="Yes"))*(('GLASS OFFCUTS LIST'!$A$2:$A$298&gt;=D82)*('GLASS OFFCUTS LIST'!$B$2:$B$298&gt;=C82)))&gt;0)),"YES","NO")))</f>
        <v/>
      </c>
      <c r="G82" t="str">
        <f>IF(OR($C$3="",C82="",D82=""),"",IF(SUMPRODUCT(('GLASS OFFCUTS LIST'!$D$2:$D$298=UPPER(TRIM(SUBSTITUTE(SUBSTITUTE($C$3,"   "," "),"  "," "))))*((('GLASS OFFCUTS LIST'!$A$2:$A$298&gt;=C82)*('GLASS OFFCUTS LIST'!$B$2:$B$298&gt;=D82))+(N(OR(E82=TRUE(),E82="Y",E82="y",E82="YES",E82="Yes"))*(('GLASS OFFCUTS LIST'!$A$2:$A$298&gt;=D82)*('GLASS OFFCUTS LIST'!$B$2:$B$298&gt;=C82)))&gt;0))&gt;0,1,0))</f>
        <v/>
      </c>
      <c r="H82" t="str">
        <f>IF(G82="","",SUM($G$7:G82))</f>
        <v/>
      </c>
    </row>
    <row r="83" spans="1:8" x14ac:dyDescent="0.2">
      <c r="A83" s="3">
        <v>77</v>
      </c>
      <c r="B83" s="4"/>
      <c r="C83" s="3"/>
      <c r="D83" s="3"/>
      <c r="E83" s="4"/>
      <c r="F83" s="4" t="str">
        <f>IF(OR($C$3="",C83="",D83=""),"",IF(G83=0,"NO",IF(H83&lt;=SUMPRODUCT(('GLASS OFFCUTS LIST'!$D$2:$D$298=UPPER(TRIM(SUBSTITUTE(SUBSTITUTE($C$3,"   "," "),"  "," "))))*((('GLASS OFFCUTS LIST'!$A$2:$A$298&gt;=C83)*('GLASS OFFCUTS LIST'!$B$2:$B$298&gt;=D83))+(N(OR(E83=TRUE(),E83="Y",E83="y",E83="YES",E83="Yes"))*(('GLASS OFFCUTS LIST'!$A$2:$A$298&gt;=D83)*('GLASS OFFCUTS LIST'!$B$2:$B$298&gt;=C83)))&gt;0)),"YES","NO")))</f>
        <v/>
      </c>
      <c r="G83" t="str">
        <f>IF(OR($C$3="",C83="",D83=""),"",IF(SUMPRODUCT(('GLASS OFFCUTS LIST'!$D$2:$D$298=UPPER(TRIM(SUBSTITUTE(SUBSTITUTE($C$3,"   "," "),"  "," "))))*((('GLASS OFFCUTS LIST'!$A$2:$A$298&gt;=C83)*('GLASS OFFCUTS LIST'!$B$2:$B$298&gt;=D83))+(N(OR(E83=TRUE(),E83="Y",E83="y",E83="YES",E83="Yes"))*(('GLASS OFFCUTS LIST'!$A$2:$A$298&gt;=D83)*('GLASS OFFCUTS LIST'!$B$2:$B$298&gt;=C83)))&gt;0))&gt;0,1,0))</f>
        <v/>
      </c>
      <c r="H83" t="str">
        <f>IF(G83="","",SUM($G$7:G83))</f>
        <v/>
      </c>
    </row>
    <row r="84" spans="1:8" x14ac:dyDescent="0.2">
      <c r="A84" s="3">
        <v>78</v>
      </c>
      <c r="B84" s="4"/>
      <c r="C84" s="3"/>
      <c r="D84" s="3"/>
      <c r="E84" s="4"/>
      <c r="F84" s="4" t="str">
        <f>IF(OR($C$3="",C84="",D84=""),"",IF(G84=0,"NO",IF(H84&lt;=SUMPRODUCT(('GLASS OFFCUTS LIST'!$D$2:$D$298=UPPER(TRIM(SUBSTITUTE(SUBSTITUTE($C$3,"   "," "),"  "," "))))*((('GLASS OFFCUTS LIST'!$A$2:$A$298&gt;=C84)*('GLASS OFFCUTS LIST'!$B$2:$B$298&gt;=D84))+(N(OR(E84=TRUE(),E84="Y",E84="y",E84="YES",E84="Yes"))*(('GLASS OFFCUTS LIST'!$A$2:$A$298&gt;=D84)*('GLASS OFFCUTS LIST'!$B$2:$B$298&gt;=C84)))&gt;0)),"YES","NO")))</f>
        <v/>
      </c>
      <c r="G84" t="str">
        <f>IF(OR($C$3="",C84="",D84=""),"",IF(SUMPRODUCT(('GLASS OFFCUTS LIST'!$D$2:$D$298=UPPER(TRIM(SUBSTITUTE(SUBSTITUTE($C$3,"   "," "),"  "," "))))*((('GLASS OFFCUTS LIST'!$A$2:$A$298&gt;=C84)*('GLASS OFFCUTS LIST'!$B$2:$B$298&gt;=D84))+(N(OR(E84=TRUE(),E84="Y",E84="y",E84="YES",E84="Yes"))*(('GLASS OFFCUTS LIST'!$A$2:$A$298&gt;=D84)*('GLASS OFFCUTS LIST'!$B$2:$B$298&gt;=C84)))&gt;0))&gt;0,1,0))</f>
        <v/>
      </c>
      <c r="H84" t="str">
        <f>IF(G84="","",SUM($G$7:G84))</f>
        <v/>
      </c>
    </row>
    <row r="85" spans="1:8" x14ac:dyDescent="0.2">
      <c r="A85" s="3">
        <v>79</v>
      </c>
      <c r="B85" s="4"/>
      <c r="C85" s="3"/>
      <c r="D85" s="3"/>
      <c r="E85" s="4"/>
      <c r="F85" s="4" t="str">
        <f>IF(OR($C$3="",C85="",D85=""),"",IF(G85=0,"NO",IF(H85&lt;=SUMPRODUCT(('GLASS OFFCUTS LIST'!$D$2:$D$298=UPPER(TRIM(SUBSTITUTE(SUBSTITUTE($C$3,"   "," "),"  "," "))))*((('GLASS OFFCUTS LIST'!$A$2:$A$298&gt;=C85)*('GLASS OFFCUTS LIST'!$B$2:$B$298&gt;=D85))+(N(OR(E85=TRUE(),E85="Y",E85="y",E85="YES",E85="Yes"))*(('GLASS OFFCUTS LIST'!$A$2:$A$298&gt;=D85)*('GLASS OFFCUTS LIST'!$B$2:$B$298&gt;=C85)))&gt;0)),"YES","NO")))</f>
        <v/>
      </c>
      <c r="G85" t="str">
        <f>IF(OR($C$3="",C85="",D85=""),"",IF(SUMPRODUCT(('GLASS OFFCUTS LIST'!$D$2:$D$298=UPPER(TRIM(SUBSTITUTE(SUBSTITUTE($C$3,"   "," "),"  "," "))))*((('GLASS OFFCUTS LIST'!$A$2:$A$298&gt;=C85)*('GLASS OFFCUTS LIST'!$B$2:$B$298&gt;=D85))+(N(OR(E85=TRUE(),E85="Y",E85="y",E85="YES",E85="Yes"))*(('GLASS OFFCUTS LIST'!$A$2:$A$298&gt;=D85)*('GLASS OFFCUTS LIST'!$B$2:$B$298&gt;=C85)))&gt;0))&gt;0,1,0))</f>
        <v/>
      </c>
      <c r="H85" t="str">
        <f>IF(G85="","",SUM($G$7:G85))</f>
        <v/>
      </c>
    </row>
    <row r="86" spans="1:8" x14ac:dyDescent="0.2">
      <c r="A86" s="3">
        <v>80</v>
      </c>
      <c r="B86" s="4"/>
      <c r="C86" s="3"/>
      <c r="D86" s="3"/>
      <c r="E86" s="4"/>
      <c r="F86" s="4" t="str">
        <f>IF(OR($C$3="",C86="",D86=""),"",IF(G86=0,"NO",IF(H86&lt;=SUMPRODUCT(('GLASS OFFCUTS LIST'!$D$2:$D$298=UPPER(TRIM(SUBSTITUTE(SUBSTITUTE($C$3,"   "," "),"  "," "))))*((('GLASS OFFCUTS LIST'!$A$2:$A$298&gt;=C86)*('GLASS OFFCUTS LIST'!$B$2:$B$298&gt;=D86))+(N(OR(E86=TRUE(),E86="Y",E86="y",E86="YES",E86="Yes"))*(('GLASS OFFCUTS LIST'!$A$2:$A$298&gt;=D86)*('GLASS OFFCUTS LIST'!$B$2:$B$298&gt;=C86)))&gt;0)),"YES","NO")))</f>
        <v/>
      </c>
      <c r="G86" t="str">
        <f>IF(OR($C$3="",C86="",D86=""),"",IF(SUMPRODUCT(('GLASS OFFCUTS LIST'!$D$2:$D$298=UPPER(TRIM(SUBSTITUTE(SUBSTITUTE($C$3,"   "," "),"  "," "))))*((('GLASS OFFCUTS LIST'!$A$2:$A$298&gt;=C86)*('GLASS OFFCUTS LIST'!$B$2:$B$298&gt;=D86))+(N(OR(E86=TRUE(),E86="Y",E86="y",E86="YES",E86="Yes"))*(('GLASS OFFCUTS LIST'!$A$2:$A$298&gt;=D86)*('GLASS OFFCUTS LIST'!$B$2:$B$298&gt;=C86)))&gt;0))&gt;0,1,0))</f>
        <v/>
      </c>
      <c r="H86" t="str">
        <f>IF(G86="","",SUM($G$7:G86))</f>
        <v/>
      </c>
    </row>
    <row r="87" spans="1:8" x14ac:dyDescent="0.2">
      <c r="A87" s="3">
        <v>81</v>
      </c>
      <c r="B87" s="4"/>
      <c r="C87" s="3"/>
      <c r="D87" s="3"/>
      <c r="E87" s="4"/>
      <c r="F87" s="4" t="str">
        <f>IF(OR($C$3="",C87="",D87=""),"",IF(G87=0,"NO",IF(H87&lt;=SUMPRODUCT(('GLASS OFFCUTS LIST'!$D$2:$D$298=UPPER(TRIM(SUBSTITUTE(SUBSTITUTE($C$3,"   "," "),"  "," "))))*((('GLASS OFFCUTS LIST'!$A$2:$A$298&gt;=C87)*('GLASS OFFCUTS LIST'!$B$2:$B$298&gt;=D87))+(N(OR(E87=TRUE(),E87="Y",E87="y",E87="YES",E87="Yes"))*(('GLASS OFFCUTS LIST'!$A$2:$A$298&gt;=D87)*('GLASS OFFCUTS LIST'!$B$2:$B$298&gt;=C87)))&gt;0)),"YES","NO")))</f>
        <v/>
      </c>
      <c r="G87" t="str">
        <f>IF(OR($C$3="",C87="",D87=""),"",IF(SUMPRODUCT(('GLASS OFFCUTS LIST'!$D$2:$D$298=UPPER(TRIM(SUBSTITUTE(SUBSTITUTE($C$3,"   "," "),"  "," "))))*((('GLASS OFFCUTS LIST'!$A$2:$A$298&gt;=C87)*('GLASS OFFCUTS LIST'!$B$2:$B$298&gt;=D87))+(N(OR(E87=TRUE(),E87="Y",E87="y",E87="YES",E87="Yes"))*(('GLASS OFFCUTS LIST'!$A$2:$A$298&gt;=D87)*('GLASS OFFCUTS LIST'!$B$2:$B$298&gt;=C87)))&gt;0))&gt;0,1,0))</f>
        <v/>
      </c>
      <c r="H87" t="str">
        <f>IF(G87="","",SUM($G$7:G87))</f>
        <v/>
      </c>
    </row>
    <row r="88" spans="1:8" x14ac:dyDescent="0.2">
      <c r="A88" s="3">
        <v>82</v>
      </c>
      <c r="B88" s="4"/>
      <c r="C88" s="3"/>
      <c r="D88" s="3"/>
      <c r="E88" s="4"/>
      <c r="F88" s="4" t="str">
        <f>IF(OR($C$3="",C88="",D88=""),"",IF(G88=0,"NO",IF(H88&lt;=SUMPRODUCT(('GLASS OFFCUTS LIST'!$D$2:$D$298=UPPER(TRIM(SUBSTITUTE(SUBSTITUTE($C$3,"   "," "),"  "," "))))*((('GLASS OFFCUTS LIST'!$A$2:$A$298&gt;=C88)*('GLASS OFFCUTS LIST'!$B$2:$B$298&gt;=D88))+(N(OR(E88=TRUE(),E88="Y",E88="y",E88="YES",E88="Yes"))*(('GLASS OFFCUTS LIST'!$A$2:$A$298&gt;=D88)*('GLASS OFFCUTS LIST'!$B$2:$B$298&gt;=C88)))&gt;0)),"YES","NO")))</f>
        <v/>
      </c>
      <c r="G88" t="str">
        <f>IF(OR($C$3="",C88="",D88=""),"",IF(SUMPRODUCT(('GLASS OFFCUTS LIST'!$D$2:$D$298=UPPER(TRIM(SUBSTITUTE(SUBSTITUTE($C$3,"   "," "),"  "," "))))*((('GLASS OFFCUTS LIST'!$A$2:$A$298&gt;=C88)*('GLASS OFFCUTS LIST'!$B$2:$B$298&gt;=D88))+(N(OR(E88=TRUE(),E88="Y",E88="y",E88="YES",E88="Yes"))*(('GLASS OFFCUTS LIST'!$A$2:$A$298&gt;=D88)*('GLASS OFFCUTS LIST'!$B$2:$B$298&gt;=C88)))&gt;0))&gt;0,1,0))</f>
        <v/>
      </c>
      <c r="H88" t="str">
        <f>IF(G88="","",SUM($G$7:G88))</f>
        <v/>
      </c>
    </row>
    <row r="89" spans="1:8" x14ac:dyDescent="0.2">
      <c r="A89" s="3">
        <v>83</v>
      </c>
      <c r="B89" s="4"/>
      <c r="C89" s="3"/>
      <c r="D89" s="3"/>
      <c r="E89" s="4"/>
      <c r="F89" s="4" t="str">
        <f>IF(OR($C$3="",C89="",D89=""),"",IF(G89=0,"NO",IF(H89&lt;=SUMPRODUCT(('GLASS OFFCUTS LIST'!$D$2:$D$298=UPPER(TRIM(SUBSTITUTE(SUBSTITUTE($C$3,"   "," "),"  "," "))))*((('GLASS OFFCUTS LIST'!$A$2:$A$298&gt;=C89)*('GLASS OFFCUTS LIST'!$B$2:$B$298&gt;=D89))+(N(OR(E89=TRUE(),E89="Y",E89="y",E89="YES",E89="Yes"))*(('GLASS OFFCUTS LIST'!$A$2:$A$298&gt;=D89)*('GLASS OFFCUTS LIST'!$B$2:$B$298&gt;=C89)))&gt;0)),"YES","NO")))</f>
        <v/>
      </c>
      <c r="G89" t="str">
        <f>IF(OR($C$3="",C89="",D89=""),"",IF(SUMPRODUCT(('GLASS OFFCUTS LIST'!$D$2:$D$298=UPPER(TRIM(SUBSTITUTE(SUBSTITUTE($C$3,"   "," "),"  "," "))))*((('GLASS OFFCUTS LIST'!$A$2:$A$298&gt;=C89)*('GLASS OFFCUTS LIST'!$B$2:$B$298&gt;=D89))+(N(OR(E89=TRUE(),E89="Y",E89="y",E89="YES",E89="Yes"))*(('GLASS OFFCUTS LIST'!$A$2:$A$298&gt;=D89)*('GLASS OFFCUTS LIST'!$B$2:$B$298&gt;=C89)))&gt;0))&gt;0,1,0))</f>
        <v/>
      </c>
      <c r="H89" t="str">
        <f>IF(G89="","",SUM($G$7:G89))</f>
        <v/>
      </c>
    </row>
    <row r="90" spans="1:8" x14ac:dyDescent="0.2">
      <c r="A90" s="3">
        <v>84</v>
      </c>
      <c r="B90" s="4"/>
      <c r="C90" s="3"/>
      <c r="D90" s="3"/>
      <c r="E90" s="4"/>
      <c r="F90" s="4" t="str">
        <f>IF(OR($C$3="",C90="",D90=""),"",IF(G90=0,"NO",IF(H90&lt;=SUMPRODUCT(('GLASS OFFCUTS LIST'!$D$2:$D$298=UPPER(TRIM(SUBSTITUTE(SUBSTITUTE($C$3,"   "," "),"  "," "))))*((('GLASS OFFCUTS LIST'!$A$2:$A$298&gt;=C90)*('GLASS OFFCUTS LIST'!$B$2:$B$298&gt;=D90))+(N(OR(E90=TRUE(),E90="Y",E90="y",E90="YES",E90="Yes"))*(('GLASS OFFCUTS LIST'!$A$2:$A$298&gt;=D90)*('GLASS OFFCUTS LIST'!$B$2:$B$298&gt;=C90)))&gt;0)),"YES","NO")))</f>
        <v/>
      </c>
      <c r="G90" t="str">
        <f>IF(OR($C$3="",C90="",D90=""),"",IF(SUMPRODUCT(('GLASS OFFCUTS LIST'!$D$2:$D$298=UPPER(TRIM(SUBSTITUTE(SUBSTITUTE($C$3,"   "," "),"  "," "))))*((('GLASS OFFCUTS LIST'!$A$2:$A$298&gt;=C90)*('GLASS OFFCUTS LIST'!$B$2:$B$298&gt;=D90))+(N(OR(E90=TRUE(),E90="Y",E90="y",E90="YES",E90="Yes"))*(('GLASS OFFCUTS LIST'!$A$2:$A$298&gt;=D90)*('GLASS OFFCUTS LIST'!$B$2:$B$298&gt;=C90)))&gt;0))&gt;0,1,0))</f>
        <v/>
      </c>
      <c r="H90" t="str">
        <f>IF(G90="","",SUM($G$7:G90))</f>
        <v/>
      </c>
    </row>
    <row r="91" spans="1:8" x14ac:dyDescent="0.2">
      <c r="A91" s="3">
        <v>85</v>
      </c>
      <c r="B91" s="4"/>
      <c r="C91" s="3"/>
      <c r="D91" s="3"/>
      <c r="E91" s="4"/>
      <c r="F91" s="4" t="str">
        <f>IF(OR($C$3="",C91="",D91=""),"",IF(G91=0,"NO",IF(H91&lt;=SUMPRODUCT(('GLASS OFFCUTS LIST'!$D$2:$D$298=UPPER(TRIM(SUBSTITUTE(SUBSTITUTE($C$3,"   "," "),"  "," "))))*((('GLASS OFFCUTS LIST'!$A$2:$A$298&gt;=C91)*('GLASS OFFCUTS LIST'!$B$2:$B$298&gt;=D91))+(N(OR(E91=TRUE(),E91="Y",E91="y",E91="YES",E91="Yes"))*(('GLASS OFFCUTS LIST'!$A$2:$A$298&gt;=D91)*('GLASS OFFCUTS LIST'!$B$2:$B$298&gt;=C91)))&gt;0)),"YES","NO")))</f>
        <v/>
      </c>
      <c r="G91" t="str">
        <f>IF(OR($C$3="",C91="",D91=""),"",IF(SUMPRODUCT(('GLASS OFFCUTS LIST'!$D$2:$D$298=UPPER(TRIM(SUBSTITUTE(SUBSTITUTE($C$3,"   "," "),"  "," "))))*((('GLASS OFFCUTS LIST'!$A$2:$A$298&gt;=C91)*('GLASS OFFCUTS LIST'!$B$2:$B$298&gt;=D91))+(N(OR(E91=TRUE(),E91="Y",E91="y",E91="YES",E91="Yes"))*(('GLASS OFFCUTS LIST'!$A$2:$A$298&gt;=D91)*('GLASS OFFCUTS LIST'!$B$2:$B$298&gt;=C91)))&gt;0))&gt;0,1,0))</f>
        <v/>
      </c>
      <c r="H91" t="str">
        <f>IF(G91="","",SUM($G$7:G91))</f>
        <v/>
      </c>
    </row>
    <row r="92" spans="1:8" x14ac:dyDescent="0.2">
      <c r="A92" s="3">
        <v>86</v>
      </c>
      <c r="B92" s="4"/>
      <c r="C92" s="3"/>
      <c r="D92" s="3"/>
      <c r="E92" s="4"/>
      <c r="F92" s="4" t="str">
        <f>IF(OR($C$3="",C92="",D92=""),"",IF(G92=0,"NO",IF(H92&lt;=SUMPRODUCT(('GLASS OFFCUTS LIST'!$D$2:$D$298=UPPER(TRIM(SUBSTITUTE(SUBSTITUTE($C$3,"   "," "),"  "," "))))*((('GLASS OFFCUTS LIST'!$A$2:$A$298&gt;=C92)*('GLASS OFFCUTS LIST'!$B$2:$B$298&gt;=D92))+(N(OR(E92=TRUE(),E92="Y",E92="y",E92="YES",E92="Yes"))*(('GLASS OFFCUTS LIST'!$A$2:$A$298&gt;=D92)*('GLASS OFFCUTS LIST'!$B$2:$B$298&gt;=C92)))&gt;0)),"YES","NO")))</f>
        <v/>
      </c>
      <c r="G92" t="str">
        <f>IF(OR($C$3="",C92="",D92=""),"",IF(SUMPRODUCT(('GLASS OFFCUTS LIST'!$D$2:$D$298=UPPER(TRIM(SUBSTITUTE(SUBSTITUTE($C$3,"   "," "),"  "," "))))*((('GLASS OFFCUTS LIST'!$A$2:$A$298&gt;=C92)*('GLASS OFFCUTS LIST'!$B$2:$B$298&gt;=D92))+(N(OR(E92=TRUE(),E92="Y",E92="y",E92="YES",E92="Yes"))*(('GLASS OFFCUTS LIST'!$A$2:$A$298&gt;=D92)*('GLASS OFFCUTS LIST'!$B$2:$B$298&gt;=C92)))&gt;0))&gt;0,1,0))</f>
        <v/>
      </c>
      <c r="H92" t="str">
        <f>IF(G92="","",SUM($G$7:G92))</f>
        <v/>
      </c>
    </row>
    <row r="93" spans="1:8" x14ac:dyDescent="0.2">
      <c r="A93" s="3">
        <v>87</v>
      </c>
      <c r="B93" s="4"/>
      <c r="C93" s="3"/>
      <c r="D93" s="3"/>
      <c r="E93" s="4"/>
      <c r="F93" s="4" t="str">
        <f>IF(OR($C$3="",C93="",D93=""),"",IF(G93=0,"NO",IF(H93&lt;=SUMPRODUCT(('GLASS OFFCUTS LIST'!$D$2:$D$298=UPPER(TRIM(SUBSTITUTE(SUBSTITUTE($C$3,"   "," "),"  "," "))))*((('GLASS OFFCUTS LIST'!$A$2:$A$298&gt;=C93)*('GLASS OFFCUTS LIST'!$B$2:$B$298&gt;=D93))+(N(OR(E93=TRUE(),E93="Y",E93="y",E93="YES",E93="Yes"))*(('GLASS OFFCUTS LIST'!$A$2:$A$298&gt;=D93)*('GLASS OFFCUTS LIST'!$B$2:$B$298&gt;=C93)))&gt;0)),"YES","NO")))</f>
        <v/>
      </c>
      <c r="G93" t="str">
        <f>IF(OR($C$3="",C93="",D93=""),"",IF(SUMPRODUCT(('GLASS OFFCUTS LIST'!$D$2:$D$298=UPPER(TRIM(SUBSTITUTE(SUBSTITUTE($C$3,"   "," "),"  "," "))))*((('GLASS OFFCUTS LIST'!$A$2:$A$298&gt;=C93)*('GLASS OFFCUTS LIST'!$B$2:$B$298&gt;=D93))+(N(OR(E93=TRUE(),E93="Y",E93="y",E93="YES",E93="Yes"))*(('GLASS OFFCUTS LIST'!$A$2:$A$298&gt;=D93)*('GLASS OFFCUTS LIST'!$B$2:$B$298&gt;=C93)))&gt;0))&gt;0,1,0))</f>
        <v/>
      </c>
      <c r="H93" t="str">
        <f>IF(G93="","",SUM($G$7:G93))</f>
        <v/>
      </c>
    </row>
    <row r="94" spans="1:8" x14ac:dyDescent="0.2">
      <c r="A94" s="3">
        <v>88</v>
      </c>
      <c r="B94" s="4"/>
      <c r="C94" s="3"/>
      <c r="D94" s="3"/>
      <c r="E94" s="4"/>
      <c r="F94" s="4" t="str">
        <f>IF(OR($C$3="",C94="",D94=""),"",IF(G94=0,"NO",IF(H94&lt;=SUMPRODUCT(('GLASS OFFCUTS LIST'!$D$2:$D$298=UPPER(TRIM(SUBSTITUTE(SUBSTITUTE($C$3,"   "," "),"  "," "))))*((('GLASS OFFCUTS LIST'!$A$2:$A$298&gt;=C94)*('GLASS OFFCUTS LIST'!$B$2:$B$298&gt;=D94))+(N(OR(E94=TRUE(),E94="Y",E94="y",E94="YES",E94="Yes"))*(('GLASS OFFCUTS LIST'!$A$2:$A$298&gt;=D94)*('GLASS OFFCUTS LIST'!$B$2:$B$298&gt;=C94)))&gt;0)),"YES","NO")))</f>
        <v/>
      </c>
      <c r="G94" t="str">
        <f>IF(OR($C$3="",C94="",D94=""),"",IF(SUMPRODUCT(('GLASS OFFCUTS LIST'!$D$2:$D$298=UPPER(TRIM(SUBSTITUTE(SUBSTITUTE($C$3,"   "," "),"  "," "))))*((('GLASS OFFCUTS LIST'!$A$2:$A$298&gt;=C94)*('GLASS OFFCUTS LIST'!$B$2:$B$298&gt;=D94))+(N(OR(E94=TRUE(),E94="Y",E94="y",E94="YES",E94="Yes"))*(('GLASS OFFCUTS LIST'!$A$2:$A$298&gt;=D94)*('GLASS OFFCUTS LIST'!$B$2:$B$298&gt;=C94)))&gt;0))&gt;0,1,0))</f>
        <v/>
      </c>
      <c r="H94" t="str">
        <f>IF(G94="","",SUM($G$7:G94))</f>
        <v/>
      </c>
    </row>
    <row r="95" spans="1:8" x14ac:dyDescent="0.2">
      <c r="A95" s="3">
        <v>89</v>
      </c>
      <c r="B95" s="4"/>
      <c r="C95" s="3"/>
      <c r="D95" s="3"/>
      <c r="E95" s="4"/>
      <c r="F95" s="4" t="str">
        <f>IF(OR($C$3="",C95="",D95=""),"",IF(G95=0,"NO",IF(H95&lt;=SUMPRODUCT(('GLASS OFFCUTS LIST'!$D$2:$D$298=UPPER(TRIM(SUBSTITUTE(SUBSTITUTE($C$3,"   "," "),"  "," "))))*((('GLASS OFFCUTS LIST'!$A$2:$A$298&gt;=C95)*('GLASS OFFCUTS LIST'!$B$2:$B$298&gt;=D95))+(N(OR(E95=TRUE(),E95="Y",E95="y",E95="YES",E95="Yes"))*(('GLASS OFFCUTS LIST'!$A$2:$A$298&gt;=D95)*('GLASS OFFCUTS LIST'!$B$2:$B$298&gt;=C95)))&gt;0)),"YES","NO")))</f>
        <v/>
      </c>
      <c r="G95" t="str">
        <f>IF(OR($C$3="",C95="",D95=""),"",IF(SUMPRODUCT(('GLASS OFFCUTS LIST'!$D$2:$D$298=UPPER(TRIM(SUBSTITUTE(SUBSTITUTE($C$3,"   "," "),"  "," "))))*((('GLASS OFFCUTS LIST'!$A$2:$A$298&gt;=C95)*('GLASS OFFCUTS LIST'!$B$2:$B$298&gt;=D95))+(N(OR(E95=TRUE(),E95="Y",E95="y",E95="YES",E95="Yes"))*(('GLASS OFFCUTS LIST'!$A$2:$A$298&gt;=D95)*('GLASS OFFCUTS LIST'!$B$2:$B$298&gt;=C95)))&gt;0))&gt;0,1,0))</f>
        <v/>
      </c>
      <c r="H95" t="str">
        <f>IF(G95="","",SUM($G$7:G95))</f>
        <v/>
      </c>
    </row>
    <row r="96" spans="1:8" x14ac:dyDescent="0.2">
      <c r="A96" s="3">
        <v>90</v>
      </c>
      <c r="B96" s="4"/>
      <c r="C96" s="3"/>
      <c r="D96" s="3"/>
      <c r="E96" s="4"/>
      <c r="F96" s="4" t="str">
        <f>IF(OR($C$3="",C96="",D96=""),"",IF(G96=0,"NO",IF(H96&lt;=SUMPRODUCT(('GLASS OFFCUTS LIST'!$D$2:$D$298=UPPER(TRIM(SUBSTITUTE(SUBSTITUTE($C$3,"   "," "),"  "," "))))*((('GLASS OFFCUTS LIST'!$A$2:$A$298&gt;=C96)*('GLASS OFFCUTS LIST'!$B$2:$B$298&gt;=D96))+(N(OR(E96=TRUE(),E96="Y",E96="y",E96="YES",E96="Yes"))*(('GLASS OFFCUTS LIST'!$A$2:$A$298&gt;=D96)*('GLASS OFFCUTS LIST'!$B$2:$B$298&gt;=C96)))&gt;0)),"YES","NO")))</f>
        <v/>
      </c>
      <c r="G96" t="str">
        <f>IF(OR($C$3="",C96="",D96=""),"",IF(SUMPRODUCT(('GLASS OFFCUTS LIST'!$D$2:$D$298=UPPER(TRIM(SUBSTITUTE(SUBSTITUTE($C$3,"   "," "),"  "," "))))*((('GLASS OFFCUTS LIST'!$A$2:$A$298&gt;=C96)*('GLASS OFFCUTS LIST'!$B$2:$B$298&gt;=D96))+(N(OR(E96=TRUE(),E96="Y",E96="y",E96="YES",E96="Yes"))*(('GLASS OFFCUTS LIST'!$A$2:$A$298&gt;=D96)*('GLASS OFFCUTS LIST'!$B$2:$B$298&gt;=C96)))&gt;0))&gt;0,1,0))</f>
        <v/>
      </c>
      <c r="H96" t="str">
        <f>IF(G96="","",SUM($G$7:G96))</f>
        <v/>
      </c>
    </row>
    <row r="97" spans="1:8" x14ac:dyDescent="0.2">
      <c r="A97" s="3">
        <v>91</v>
      </c>
      <c r="B97" s="4"/>
      <c r="C97" s="3"/>
      <c r="D97" s="3"/>
      <c r="E97" s="4"/>
      <c r="F97" s="4" t="str">
        <f>IF(OR($C$3="",C97="",D97=""),"",IF(G97=0,"NO",IF(H97&lt;=SUMPRODUCT(('GLASS OFFCUTS LIST'!$D$2:$D$298=UPPER(TRIM(SUBSTITUTE(SUBSTITUTE($C$3,"   "," "),"  "," "))))*((('GLASS OFFCUTS LIST'!$A$2:$A$298&gt;=C97)*('GLASS OFFCUTS LIST'!$B$2:$B$298&gt;=D97))+(N(OR(E97=TRUE(),E97="Y",E97="y",E97="YES",E97="Yes"))*(('GLASS OFFCUTS LIST'!$A$2:$A$298&gt;=D97)*('GLASS OFFCUTS LIST'!$B$2:$B$298&gt;=C97)))&gt;0)),"YES","NO")))</f>
        <v/>
      </c>
      <c r="G97" t="str">
        <f>IF(OR($C$3="",C97="",D97=""),"",IF(SUMPRODUCT(('GLASS OFFCUTS LIST'!$D$2:$D$298=UPPER(TRIM(SUBSTITUTE(SUBSTITUTE($C$3,"   "," "),"  "," "))))*((('GLASS OFFCUTS LIST'!$A$2:$A$298&gt;=C97)*('GLASS OFFCUTS LIST'!$B$2:$B$298&gt;=D97))+(N(OR(E97=TRUE(),E97="Y",E97="y",E97="YES",E97="Yes"))*(('GLASS OFFCUTS LIST'!$A$2:$A$298&gt;=D97)*('GLASS OFFCUTS LIST'!$B$2:$B$298&gt;=C97)))&gt;0))&gt;0,1,0))</f>
        <v/>
      </c>
      <c r="H97" t="str">
        <f>IF(G97="","",SUM($G$7:G97))</f>
        <v/>
      </c>
    </row>
    <row r="98" spans="1:8" x14ac:dyDescent="0.2">
      <c r="A98" s="3">
        <v>92</v>
      </c>
      <c r="B98" s="4"/>
      <c r="C98" s="3"/>
      <c r="D98" s="3"/>
      <c r="E98" s="4"/>
      <c r="F98" s="4" t="str">
        <f>IF(OR($C$3="",C98="",D98=""),"",IF(G98=0,"NO",IF(H98&lt;=SUMPRODUCT(('GLASS OFFCUTS LIST'!$D$2:$D$298=UPPER(TRIM(SUBSTITUTE(SUBSTITUTE($C$3,"   "," "),"  "," "))))*((('GLASS OFFCUTS LIST'!$A$2:$A$298&gt;=C98)*('GLASS OFFCUTS LIST'!$B$2:$B$298&gt;=D98))+(N(OR(E98=TRUE(),E98="Y",E98="y",E98="YES",E98="Yes"))*(('GLASS OFFCUTS LIST'!$A$2:$A$298&gt;=D98)*('GLASS OFFCUTS LIST'!$B$2:$B$298&gt;=C98)))&gt;0)),"YES","NO")))</f>
        <v/>
      </c>
      <c r="G98" t="str">
        <f>IF(OR($C$3="",C98="",D98=""),"",IF(SUMPRODUCT(('GLASS OFFCUTS LIST'!$D$2:$D$298=UPPER(TRIM(SUBSTITUTE(SUBSTITUTE($C$3,"   "," "),"  "," "))))*((('GLASS OFFCUTS LIST'!$A$2:$A$298&gt;=C98)*('GLASS OFFCUTS LIST'!$B$2:$B$298&gt;=D98))+(N(OR(E98=TRUE(),E98="Y",E98="y",E98="YES",E98="Yes"))*(('GLASS OFFCUTS LIST'!$A$2:$A$298&gt;=D98)*('GLASS OFFCUTS LIST'!$B$2:$B$298&gt;=C98)))&gt;0))&gt;0,1,0))</f>
        <v/>
      </c>
      <c r="H98" t="str">
        <f>IF(G98="","",SUM($G$7:G98))</f>
        <v/>
      </c>
    </row>
    <row r="99" spans="1:8" x14ac:dyDescent="0.2">
      <c r="A99" s="3">
        <v>93</v>
      </c>
      <c r="B99" s="4"/>
      <c r="C99" s="3"/>
      <c r="D99" s="3"/>
      <c r="E99" s="4"/>
      <c r="F99" s="4" t="str">
        <f>IF(OR($C$3="",C99="",D99=""),"",IF(G99=0,"NO",IF(H99&lt;=SUMPRODUCT(('GLASS OFFCUTS LIST'!$D$2:$D$298=UPPER(TRIM(SUBSTITUTE(SUBSTITUTE($C$3,"   "," "),"  "," "))))*((('GLASS OFFCUTS LIST'!$A$2:$A$298&gt;=C99)*('GLASS OFFCUTS LIST'!$B$2:$B$298&gt;=D99))+(N(OR(E99=TRUE(),E99="Y",E99="y",E99="YES",E99="Yes"))*(('GLASS OFFCUTS LIST'!$A$2:$A$298&gt;=D99)*('GLASS OFFCUTS LIST'!$B$2:$B$298&gt;=C99)))&gt;0)),"YES","NO")))</f>
        <v/>
      </c>
      <c r="G99" t="str">
        <f>IF(OR($C$3="",C99="",D99=""),"",IF(SUMPRODUCT(('GLASS OFFCUTS LIST'!$D$2:$D$298=UPPER(TRIM(SUBSTITUTE(SUBSTITUTE($C$3,"   "," "),"  "," "))))*((('GLASS OFFCUTS LIST'!$A$2:$A$298&gt;=C99)*('GLASS OFFCUTS LIST'!$B$2:$B$298&gt;=D99))+(N(OR(E99=TRUE(),E99="Y",E99="y",E99="YES",E99="Yes"))*(('GLASS OFFCUTS LIST'!$A$2:$A$298&gt;=D99)*('GLASS OFFCUTS LIST'!$B$2:$B$298&gt;=C99)))&gt;0))&gt;0,1,0))</f>
        <v/>
      </c>
      <c r="H99" t="str">
        <f>IF(G99="","",SUM($G$7:G99))</f>
        <v/>
      </c>
    </row>
    <row r="100" spans="1:8" x14ac:dyDescent="0.2">
      <c r="A100" s="3">
        <v>94</v>
      </c>
      <c r="B100" s="4"/>
      <c r="C100" s="3"/>
      <c r="D100" s="3"/>
      <c r="E100" s="4"/>
      <c r="F100" s="4" t="str">
        <f>IF(OR($C$3="",C100="",D100=""),"",IF(G100=0,"NO",IF(H100&lt;=SUMPRODUCT(('GLASS OFFCUTS LIST'!$D$2:$D$298=UPPER(TRIM(SUBSTITUTE(SUBSTITUTE($C$3,"   "," "),"  "," "))))*((('GLASS OFFCUTS LIST'!$A$2:$A$298&gt;=C100)*('GLASS OFFCUTS LIST'!$B$2:$B$298&gt;=D100))+(N(OR(E100=TRUE(),E100="Y",E100="y",E100="YES",E100="Yes"))*(('GLASS OFFCUTS LIST'!$A$2:$A$298&gt;=D100)*('GLASS OFFCUTS LIST'!$B$2:$B$298&gt;=C100)))&gt;0)),"YES","NO")))</f>
        <v/>
      </c>
      <c r="G100" t="str">
        <f>IF(OR($C$3="",C100="",D100=""),"",IF(SUMPRODUCT(('GLASS OFFCUTS LIST'!$D$2:$D$298=UPPER(TRIM(SUBSTITUTE(SUBSTITUTE($C$3,"   "," "),"  "," "))))*((('GLASS OFFCUTS LIST'!$A$2:$A$298&gt;=C100)*('GLASS OFFCUTS LIST'!$B$2:$B$298&gt;=D100))+(N(OR(E100=TRUE(),E100="Y",E100="y",E100="YES",E100="Yes"))*(('GLASS OFFCUTS LIST'!$A$2:$A$298&gt;=D100)*('GLASS OFFCUTS LIST'!$B$2:$B$298&gt;=C100)))&gt;0))&gt;0,1,0))</f>
        <v/>
      </c>
      <c r="H100" t="str">
        <f>IF(G100="","",SUM($G$7:G100))</f>
        <v/>
      </c>
    </row>
    <row r="101" spans="1:8" x14ac:dyDescent="0.2">
      <c r="A101" s="3">
        <v>95</v>
      </c>
      <c r="B101" s="4"/>
      <c r="C101" s="3"/>
      <c r="D101" s="3"/>
      <c r="E101" s="4"/>
      <c r="F101" s="4" t="str">
        <f>IF(OR($C$3="",C101="",D101=""),"",IF(G101=0,"NO",IF(H101&lt;=SUMPRODUCT(('GLASS OFFCUTS LIST'!$D$2:$D$298=UPPER(TRIM(SUBSTITUTE(SUBSTITUTE($C$3,"   "," "),"  "," "))))*((('GLASS OFFCUTS LIST'!$A$2:$A$298&gt;=C101)*('GLASS OFFCUTS LIST'!$B$2:$B$298&gt;=D101))+(N(OR(E101=TRUE(),E101="Y",E101="y",E101="YES",E101="Yes"))*(('GLASS OFFCUTS LIST'!$A$2:$A$298&gt;=D101)*('GLASS OFFCUTS LIST'!$B$2:$B$298&gt;=C101)))&gt;0)),"YES","NO")))</f>
        <v/>
      </c>
      <c r="G101" t="str">
        <f>IF(OR($C$3="",C101="",D101=""),"",IF(SUMPRODUCT(('GLASS OFFCUTS LIST'!$D$2:$D$298=UPPER(TRIM(SUBSTITUTE(SUBSTITUTE($C$3,"   "," "),"  "," "))))*((('GLASS OFFCUTS LIST'!$A$2:$A$298&gt;=C101)*('GLASS OFFCUTS LIST'!$B$2:$B$298&gt;=D101))+(N(OR(E101=TRUE(),E101="Y",E101="y",E101="YES",E101="Yes"))*(('GLASS OFFCUTS LIST'!$A$2:$A$298&gt;=D101)*('GLASS OFFCUTS LIST'!$B$2:$B$298&gt;=C101)))&gt;0))&gt;0,1,0))</f>
        <v/>
      </c>
      <c r="H101" t="str">
        <f>IF(G101="","",SUM($G$7:G101))</f>
        <v/>
      </c>
    </row>
    <row r="102" spans="1:8" x14ac:dyDescent="0.2">
      <c r="A102" s="3">
        <v>96</v>
      </c>
      <c r="B102" s="4"/>
      <c r="C102" s="3"/>
      <c r="D102" s="3"/>
      <c r="E102" s="4"/>
      <c r="F102" s="4" t="str">
        <f>IF(OR($C$3="",C102="",D102=""),"",IF(G102=0,"NO",IF(H102&lt;=SUMPRODUCT(('GLASS OFFCUTS LIST'!$D$2:$D$298=UPPER(TRIM(SUBSTITUTE(SUBSTITUTE($C$3,"   "," "),"  "," "))))*((('GLASS OFFCUTS LIST'!$A$2:$A$298&gt;=C102)*('GLASS OFFCUTS LIST'!$B$2:$B$298&gt;=D102))+(N(OR(E102=TRUE(),E102="Y",E102="y",E102="YES",E102="Yes"))*(('GLASS OFFCUTS LIST'!$A$2:$A$298&gt;=D102)*('GLASS OFFCUTS LIST'!$B$2:$B$298&gt;=C102)))&gt;0)),"YES","NO")))</f>
        <v/>
      </c>
      <c r="G102" t="str">
        <f>IF(OR($C$3="",C102="",D102=""),"",IF(SUMPRODUCT(('GLASS OFFCUTS LIST'!$D$2:$D$298=UPPER(TRIM(SUBSTITUTE(SUBSTITUTE($C$3,"   "," "),"  "," "))))*((('GLASS OFFCUTS LIST'!$A$2:$A$298&gt;=C102)*('GLASS OFFCUTS LIST'!$B$2:$B$298&gt;=D102))+(N(OR(E102=TRUE(),E102="Y",E102="y",E102="YES",E102="Yes"))*(('GLASS OFFCUTS LIST'!$A$2:$A$298&gt;=D102)*('GLASS OFFCUTS LIST'!$B$2:$B$298&gt;=C102)))&gt;0))&gt;0,1,0))</f>
        <v/>
      </c>
      <c r="H102" t="str">
        <f>IF(G102="","",SUM($G$7:G102))</f>
        <v/>
      </c>
    </row>
    <row r="103" spans="1:8" x14ac:dyDescent="0.2">
      <c r="A103" s="3">
        <v>97</v>
      </c>
      <c r="B103" s="4"/>
      <c r="C103" s="3"/>
      <c r="D103" s="3"/>
      <c r="E103" s="4"/>
      <c r="F103" s="4" t="str">
        <f>IF(OR($C$3="",C103="",D103=""),"",IF(G103=0,"NO",IF(H103&lt;=SUMPRODUCT(('GLASS OFFCUTS LIST'!$D$2:$D$298=UPPER(TRIM(SUBSTITUTE(SUBSTITUTE($C$3,"   "," "),"  "," "))))*((('GLASS OFFCUTS LIST'!$A$2:$A$298&gt;=C103)*('GLASS OFFCUTS LIST'!$B$2:$B$298&gt;=D103))+(N(OR(E103=TRUE(),E103="Y",E103="y",E103="YES",E103="Yes"))*(('GLASS OFFCUTS LIST'!$A$2:$A$298&gt;=D103)*('GLASS OFFCUTS LIST'!$B$2:$B$298&gt;=C103)))&gt;0)),"YES","NO")))</f>
        <v/>
      </c>
      <c r="G103" t="str">
        <f>IF(OR($C$3="",C103="",D103=""),"",IF(SUMPRODUCT(('GLASS OFFCUTS LIST'!$D$2:$D$298=UPPER(TRIM(SUBSTITUTE(SUBSTITUTE($C$3,"   "," "),"  "," "))))*((('GLASS OFFCUTS LIST'!$A$2:$A$298&gt;=C103)*('GLASS OFFCUTS LIST'!$B$2:$B$298&gt;=D103))+(N(OR(E103=TRUE(),E103="Y",E103="y",E103="YES",E103="Yes"))*(('GLASS OFFCUTS LIST'!$A$2:$A$298&gt;=D103)*('GLASS OFFCUTS LIST'!$B$2:$B$298&gt;=C103)))&gt;0))&gt;0,1,0))</f>
        <v/>
      </c>
      <c r="H103" t="str">
        <f>IF(G103="","",SUM($G$7:G103))</f>
        <v/>
      </c>
    </row>
    <row r="104" spans="1:8" x14ac:dyDescent="0.2">
      <c r="A104" s="3">
        <v>98</v>
      </c>
      <c r="B104" s="4"/>
      <c r="C104" s="3"/>
      <c r="D104" s="3"/>
      <c r="E104" s="4"/>
      <c r="F104" s="4" t="str">
        <f>IF(OR($C$3="",C104="",D104=""),"",IF(G104=0,"NO",IF(H104&lt;=SUMPRODUCT(('GLASS OFFCUTS LIST'!$D$2:$D$298=UPPER(TRIM(SUBSTITUTE(SUBSTITUTE($C$3,"   "," "),"  "," "))))*((('GLASS OFFCUTS LIST'!$A$2:$A$298&gt;=C104)*('GLASS OFFCUTS LIST'!$B$2:$B$298&gt;=D104))+(N(OR(E104=TRUE(),E104="Y",E104="y",E104="YES",E104="Yes"))*(('GLASS OFFCUTS LIST'!$A$2:$A$298&gt;=D104)*('GLASS OFFCUTS LIST'!$B$2:$B$298&gt;=C104)))&gt;0)),"YES","NO")))</f>
        <v/>
      </c>
      <c r="G104" t="str">
        <f>IF(OR($C$3="",C104="",D104=""),"",IF(SUMPRODUCT(('GLASS OFFCUTS LIST'!$D$2:$D$298=UPPER(TRIM(SUBSTITUTE(SUBSTITUTE($C$3,"   "," "),"  "," "))))*((('GLASS OFFCUTS LIST'!$A$2:$A$298&gt;=C104)*('GLASS OFFCUTS LIST'!$B$2:$B$298&gt;=D104))+(N(OR(E104=TRUE(),E104="Y",E104="y",E104="YES",E104="Yes"))*(('GLASS OFFCUTS LIST'!$A$2:$A$298&gt;=D104)*('GLASS OFFCUTS LIST'!$B$2:$B$298&gt;=C104)))&gt;0))&gt;0,1,0))</f>
        <v/>
      </c>
      <c r="H104" t="str">
        <f>IF(G104="","",SUM($G$7:G104))</f>
        <v/>
      </c>
    </row>
    <row r="105" spans="1:8" x14ac:dyDescent="0.2">
      <c r="A105" s="3">
        <v>99</v>
      </c>
      <c r="B105" s="4"/>
      <c r="C105" s="3"/>
      <c r="D105" s="3"/>
      <c r="E105" s="4"/>
      <c r="F105" s="4" t="str">
        <f>IF(OR($C$3="",C105="",D105=""),"",IF(G105=0,"NO",IF(H105&lt;=SUMPRODUCT(('GLASS OFFCUTS LIST'!$D$2:$D$298=UPPER(TRIM(SUBSTITUTE(SUBSTITUTE($C$3,"   "," "),"  "," "))))*((('GLASS OFFCUTS LIST'!$A$2:$A$298&gt;=C105)*('GLASS OFFCUTS LIST'!$B$2:$B$298&gt;=D105))+(N(OR(E105=TRUE(),E105="Y",E105="y",E105="YES",E105="Yes"))*(('GLASS OFFCUTS LIST'!$A$2:$A$298&gt;=D105)*('GLASS OFFCUTS LIST'!$B$2:$B$298&gt;=C105)))&gt;0)),"YES","NO")))</f>
        <v/>
      </c>
      <c r="G105" t="str">
        <f>IF(OR($C$3="",C105="",D105=""),"",IF(SUMPRODUCT(('GLASS OFFCUTS LIST'!$D$2:$D$298=UPPER(TRIM(SUBSTITUTE(SUBSTITUTE($C$3,"   "," "),"  "," "))))*((('GLASS OFFCUTS LIST'!$A$2:$A$298&gt;=C105)*('GLASS OFFCUTS LIST'!$B$2:$B$298&gt;=D105))+(N(OR(E105=TRUE(),E105="Y",E105="y",E105="YES",E105="Yes"))*(('GLASS OFFCUTS LIST'!$A$2:$A$298&gt;=D105)*('GLASS OFFCUTS LIST'!$B$2:$B$298&gt;=C105)))&gt;0))&gt;0,1,0))</f>
        <v/>
      </c>
      <c r="H105" t="str">
        <f>IF(G105="","",SUM($G$7:G105))</f>
        <v/>
      </c>
    </row>
    <row r="106" spans="1:8" x14ac:dyDescent="0.2">
      <c r="A106" s="3">
        <v>100</v>
      </c>
      <c r="B106" s="4"/>
      <c r="C106" s="3"/>
      <c r="D106" s="3"/>
      <c r="E106" s="4"/>
      <c r="F106" s="4" t="str">
        <f>IF(OR($C$3="",C106="",D106=""),"",IF(G106=0,"NO",IF(H106&lt;=SUMPRODUCT(('GLASS OFFCUTS LIST'!$D$2:$D$298=UPPER(TRIM(SUBSTITUTE(SUBSTITUTE($C$3,"   "," "),"  "," "))))*((('GLASS OFFCUTS LIST'!$A$2:$A$298&gt;=C106)*('GLASS OFFCUTS LIST'!$B$2:$B$298&gt;=D106))+(N(OR(E106=TRUE(),E106="Y",E106="y",E106="YES",E106="Yes"))*(('GLASS OFFCUTS LIST'!$A$2:$A$298&gt;=D106)*('GLASS OFFCUTS LIST'!$B$2:$B$298&gt;=C106)))&gt;0)),"YES","NO")))</f>
        <v/>
      </c>
      <c r="G106" t="str">
        <f>IF(OR($C$3="",C106="",D106=""),"",IF(SUMPRODUCT(('GLASS OFFCUTS LIST'!$D$2:$D$298=UPPER(TRIM(SUBSTITUTE(SUBSTITUTE($C$3,"   "," "),"  "," "))))*((('GLASS OFFCUTS LIST'!$A$2:$A$298&gt;=C106)*('GLASS OFFCUTS LIST'!$B$2:$B$298&gt;=D106))+(N(OR(E106=TRUE(),E106="Y",E106="y",E106="YES",E106="Yes"))*(('GLASS OFFCUTS LIST'!$A$2:$A$298&gt;=D106)*('GLASS OFFCUTS LIST'!$B$2:$B$298&gt;=C106)))&gt;0))&gt;0,1,0))</f>
        <v/>
      </c>
      <c r="H106" t="str">
        <f>IF(G106="","",SUM($G$7:G106))</f>
        <v/>
      </c>
    </row>
    <row r="107" spans="1:8" x14ac:dyDescent="0.2">
      <c r="A107" s="3">
        <v>101</v>
      </c>
      <c r="B107" s="4"/>
      <c r="C107" s="3"/>
      <c r="D107" s="3"/>
      <c r="E107" s="4"/>
      <c r="F107" s="4" t="str">
        <f>IF(OR($C$3="",C107="",D107=""),"",IF(G107=0,"NO",IF(H107&lt;=SUMPRODUCT(('GLASS OFFCUTS LIST'!$D$2:$D$298=UPPER(TRIM(SUBSTITUTE(SUBSTITUTE($C$3,"   "," "),"  "," "))))*((('GLASS OFFCUTS LIST'!$A$2:$A$298&gt;=C107)*('GLASS OFFCUTS LIST'!$B$2:$B$298&gt;=D107))+(N(OR(E107=TRUE(),E107="Y",E107="y",E107="YES",E107="Yes"))*(('GLASS OFFCUTS LIST'!$A$2:$A$298&gt;=D107)*('GLASS OFFCUTS LIST'!$B$2:$B$298&gt;=C107)))&gt;0)),"YES","NO")))</f>
        <v/>
      </c>
      <c r="G107" t="str">
        <f>IF(OR($C$3="",C107="",D107=""),"",IF(SUMPRODUCT(('GLASS OFFCUTS LIST'!$D$2:$D$298=UPPER(TRIM(SUBSTITUTE(SUBSTITUTE($C$3,"   "," "),"  "," "))))*((('GLASS OFFCUTS LIST'!$A$2:$A$298&gt;=C107)*('GLASS OFFCUTS LIST'!$B$2:$B$298&gt;=D107))+(N(OR(E107=TRUE(),E107="Y",E107="y",E107="YES",E107="Yes"))*(('GLASS OFFCUTS LIST'!$A$2:$A$298&gt;=D107)*('GLASS OFFCUTS LIST'!$B$2:$B$298&gt;=C107)))&gt;0))&gt;0,1,0))</f>
        <v/>
      </c>
      <c r="H107" t="str">
        <f>IF(G107="","",SUM($G$7:G107))</f>
        <v/>
      </c>
    </row>
    <row r="108" spans="1:8" x14ac:dyDescent="0.2">
      <c r="A108" s="3">
        <v>102</v>
      </c>
      <c r="B108" s="4"/>
      <c r="C108" s="3"/>
      <c r="D108" s="3"/>
      <c r="E108" s="4"/>
      <c r="F108" s="4" t="str">
        <f>IF(OR($C$3="",C108="",D108=""),"",IF(G108=0,"NO",IF(H108&lt;=SUMPRODUCT(('GLASS OFFCUTS LIST'!$D$2:$D$298=UPPER(TRIM(SUBSTITUTE(SUBSTITUTE($C$3,"   "," "),"  "," "))))*((('GLASS OFFCUTS LIST'!$A$2:$A$298&gt;=C108)*('GLASS OFFCUTS LIST'!$B$2:$B$298&gt;=D108))+(N(OR(E108=TRUE(),E108="Y",E108="y",E108="YES",E108="Yes"))*(('GLASS OFFCUTS LIST'!$A$2:$A$298&gt;=D108)*('GLASS OFFCUTS LIST'!$B$2:$B$298&gt;=C108)))&gt;0)),"YES","NO")))</f>
        <v/>
      </c>
      <c r="G108" t="str">
        <f>IF(OR($C$3="",C108="",D108=""),"",IF(SUMPRODUCT(('GLASS OFFCUTS LIST'!$D$2:$D$298=UPPER(TRIM(SUBSTITUTE(SUBSTITUTE($C$3,"   "," "),"  "," "))))*((('GLASS OFFCUTS LIST'!$A$2:$A$298&gt;=C108)*('GLASS OFFCUTS LIST'!$B$2:$B$298&gt;=D108))+(N(OR(E108=TRUE(),E108="Y",E108="y",E108="YES",E108="Yes"))*(('GLASS OFFCUTS LIST'!$A$2:$A$298&gt;=D108)*('GLASS OFFCUTS LIST'!$B$2:$B$298&gt;=C108)))&gt;0))&gt;0,1,0))</f>
        <v/>
      </c>
      <c r="H108" t="str">
        <f>IF(G108="","",SUM($G$7:G108))</f>
        <v/>
      </c>
    </row>
    <row r="109" spans="1:8" x14ac:dyDescent="0.2">
      <c r="A109" s="3">
        <v>103</v>
      </c>
      <c r="B109" s="4"/>
      <c r="C109" s="3"/>
      <c r="D109" s="3"/>
      <c r="E109" s="4"/>
      <c r="F109" s="4" t="str">
        <f>IF(OR($C$3="",C109="",D109=""),"",IF(G109=0,"NO",IF(H109&lt;=SUMPRODUCT(('GLASS OFFCUTS LIST'!$D$2:$D$298=UPPER(TRIM(SUBSTITUTE(SUBSTITUTE($C$3,"   "," "),"  "," "))))*((('GLASS OFFCUTS LIST'!$A$2:$A$298&gt;=C109)*('GLASS OFFCUTS LIST'!$B$2:$B$298&gt;=D109))+(N(OR(E109=TRUE(),E109="Y",E109="y",E109="YES",E109="Yes"))*(('GLASS OFFCUTS LIST'!$A$2:$A$298&gt;=D109)*('GLASS OFFCUTS LIST'!$B$2:$B$298&gt;=C109)))&gt;0)),"YES","NO")))</f>
        <v/>
      </c>
      <c r="G109" t="str">
        <f>IF(OR($C$3="",C109="",D109=""),"",IF(SUMPRODUCT(('GLASS OFFCUTS LIST'!$D$2:$D$298=UPPER(TRIM(SUBSTITUTE(SUBSTITUTE($C$3,"   "," "),"  "," "))))*((('GLASS OFFCUTS LIST'!$A$2:$A$298&gt;=C109)*('GLASS OFFCUTS LIST'!$B$2:$B$298&gt;=D109))+(N(OR(E109=TRUE(),E109="Y",E109="y",E109="YES",E109="Yes"))*(('GLASS OFFCUTS LIST'!$A$2:$A$298&gt;=D109)*('GLASS OFFCUTS LIST'!$B$2:$B$298&gt;=C109)))&gt;0))&gt;0,1,0))</f>
        <v/>
      </c>
      <c r="H109" t="str">
        <f>IF(G109="","",SUM($G$7:G109))</f>
        <v/>
      </c>
    </row>
    <row r="110" spans="1:8" x14ac:dyDescent="0.2">
      <c r="A110" s="3">
        <v>104</v>
      </c>
      <c r="B110" s="4"/>
      <c r="C110" s="3"/>
      <c r="D110" s="3"/>
      <c r="E110" s="4"/>
      <c r="F110" s="4" t="str">
        <f>IF(OR($C$3="",C110="",D110=""),"",IF(G110=0,"NO",IF(H110&lt;=SUMPRODUCT(('GLASS OFFCUTS LIST'!$D$2:$D$298=UPPER(TRIM(SUBSTITUTE(SUBSTITUTE($C$3,"   "," "),"  "," "))))*((('GLASS OFFCUTS LIST'!$A$2:$A$298&gt;=C110)*('GLASS OFFCUTS LIST'!$B$2:$B$298&gt;=D110))+(N(OR(E110=TRUE(),E110="Y",E110="y",E110="YES",E110="Yes"))*(('GLASS OFFCUTS LIST'!$A$2:$A$298&gt;=D110)*('GLASS OFFCUTS LIST'!$B$2:$B$298&gt;=C110)))&gt;0)),"YES","NO")))</f>
        <v/>
      </c>
      <c r="G110" t="str">
        <f>IF(OR($C$3="",C110="",D110=""),"",IF(SUMPRODUCT(('GLASS OFFCUTS LIST'!$D$2:$D$298=UPPER(TRIM(SUBSTITUTE(SUBSTITUTE($C$3,"   "," "),"  "," "))))*((('GLASS OFFCUTS LIST'!$A$2:$A$298&gt;=C110)*('GLASS OFFCUTS LIST'!$B$2:$B$298&gt;=D110))+(N(OR(E110=TRUE(),E110="Y",E110="y",E110="YES",E110="Yes"))*(('GLASS OFFCUTS LIST'!$A$2:$A$298&gt;=D110)*('GLASS OFFCUTS LIST'!$B$2:$B$298&gt;=C110)))&gt;0))&gt;0,1,0))</f>
        <v/>
      </c>
      <c r="H110" t="str">
        <f>IF(G110="","",SUM($G$7:G110))</f>
        <v/>
      </c>
    </row>
    <row r="111" spans="1:8" x14ac:dyDescent="0.2">
      <c r="A111" s="3">
        <v>105</v>
      </c>
      <c r="B111" s="4"/>
      <c r="C111" s="3"/>
      <c r="D111" s="3"/>
      <c r="E111" s="4"/>
      <c r="F111" s="4" t="str">
        <f>IF(OR($C$3="",C111="",D111=""),"",IF(G111=0,"NO",IF(H111&lt;=SUMPRODUCT(('GLASS OFFCUTS LIST'!$D$2:$D$298=UPPER(TRIM(SUBSTITUTE(SUBSTITUTE($C$3,"   "," "),"  "," "))))*((('GLASS OFFCUTS LIST'!$A$2:$A$298&gt;=C111)*('GLASS OFFCUTS LIST'!$B$2:$B$298&gt;=D111))+(N(OR(E111=TRUE(),E111="Y",E111="y",E111="YES",E111="Yes"))*(('GLASS OFFCUTS LIST'!$A$2:$A$298&gt;=D111)*('GLASS OFFCUTS LIST'!$B$2:$B$298&gt;=C111)))&gt;0)),"YES","NO")))</f>
        <v/>
      </c>
      <c r="G111" t="str">
        <f>IF(OR($C$3="",C111="",D111=""),"",IF(SUMPRODUCT(('GLASS OFFCUTS LIST'!$D$2:$D$298=UPPER(TRIM(SUBSTITUTE(SUBSTITUTE($C$3,"   "," "),"  "," "))))*((('GLASS OFFCUTS LIST'!$A$2:$A$298&gt;=C111)*('GLASS OFFCUTS LIST'!$B$2:$B$298&gt;=D111))+(N(OR(E111=TRUE(),E111="Y",E111="y",E111="YES",E111="Yes"))*(('GLASS OFFCUTS LIST'!$A$2:$A$298&gt;=D111)*('GLASS OFFCUTS LIST'!$B$2:$B$298&gt;=C111)))&gt;0))&gt;0,1,0))</f>
        <v/>
      </c>
      <c r="H111" t="str">
        <f>IF(G111="","",SUM($G$7:G111))</f>
        <v/>
      </c>
    </row>
    <row r="112" spans="1:8" x14ac:dyDescent="0.2">
      <c r="A112" s="3">
        <v>106</v>
      </c>
      <c r="B112" s="4"/>
      <c r="C112" s="3"/>
      <c r="D112" s="3"/>
      <c r="E112" s="4"/>
      <c r="F112" s="4" t="str">
        <f>IF(OR($C$3="",C112="",D112=""),"",IF(G112=0,"NO",IF(H112&lt;=SUMPRODUCT(('GLASS OFFCUTS LIST'!$D$2:$D$298=UPPER(TRIM(SUBSTITUTE(SUBSTITUTE($C$3,"   "," "),"  "," "))))*((('GLASS OFFCUTS LIST'!$A$2:$A$298&gt;=C112)*('GLASS OFFCUTS LIST'!$B$2:$B$298&gt;=D112))+(N(OR(E112=TRUE(),E112="Y",E112="y",E112="YES",E112="Yes"))*(('GLASS OFFCUTS LIST'!$A$2:$A$298&gt;=D112)*('GLASS OFFCUTS LIST'!$B$2:$B$298&gt;=C112)))&gt;0)),"YES","NO")))</f>
        <v/>
      </c>
      <c r="G112" t="str">
        <f>IF(OR($C$3="",C112="",D112=""),"",IF(SUMPRODUCT(('GLASS OFFCUTS LIST'!$D$2:$D$298=UPPER(TRIM(SUBSTITUTE(SUBSTITUTE($C$3,"   "," "),"  "," "))))*((('GLASS OFFCUTS LIST'!$A$2:$A$298&gt;=C112)*('GLASS OFFCUTS LIST'!$B$2:$B$298&gt;=D112))+(N(OR(E112=TRUE(),E112="Y",E112="y",E112="YES",E112="Yes"))*(('GLASS OFFCUTS LIST'!$A$2:$A$298&gt;=D112)*('GLASS OFFCUTS LIST'!$B$2:$B$298&gt;=C112)))&gt;0))&gt;0,1,0))</f>
        <v/>
      </c>
      <c r="H112" t="str">
        <f>IF(G112="","",SUM($G$7:G112))</f>
        <v/>
      </c>
    </row>
    <row r="113" spans="1:8" x14ac:dyDescent="0.2">
      <c r="A113" s="3">
        <v>107</v>
      </c>
      <c r="B113" s="4"/>
      <c r="C113" s="3"/>
      <c r="D113" s="3"/>
      <c r="E113" s="4"/>
      <c r="F113" s="4" t="str">
        <f>IF(OR($C$3="",C113="",D113=""),"",IF(G113=0,"NO",IF(H113&lt;=SUMPRODUCT(('GLASS OFFCUTS LIST'!$D$2:$D$298=UPPER(TRIM(SUBSTITUTE(SUBSTITUTE($C$3,"   "," "),"  "," "))))*((('GLASS OFFCUTS LIST'!$A$2:$A$298&gt;=C113)*('GLASS OFFCUTS LIST'!$B$2:$B$298&gt;=D113))+(N(OR(E113=TRUE(),E113="Y",E113="y",E113="YES",E113="Yes"))*(('GLASS OFFCUTS LIST'!$A$2:$A$298&gt;=D113)*('GLASS OFFCUTS LIST'!$B$2:$B$298&gt;=C113)))&gt;0)),"YES","NO")))</f>
        <v/>
      </c>
      <c r="G113" t="str">
        <f>IF(OR($C$3="",C113="",D113=""),"",IF(SUMPRODUCT(('GLASS OFFCUTS LIST'!$D$2:$D$298=UPPER(TRIM(SUBSTITUTE(SUBSTITUTE($C$3,"   "," "),"  "," "))))*((('GLASS OFFCUTS LIST'!$A$2:$A$298&gt;=C113)*('GLASS OFFCUTS LIST'!$B$2:$B$298&gt;=D113))+(N(OR(E113=TRUE(),E113="Y",E113="y",E113="YES",E113="Yes"))*(('GLASS OFFCUTS LIST'!$A$2:$A$298&gt;=D113)*('GLASS OFFCUTS LIST'!$B$2:$B$298&gt;=C113)))&gt;0))&gt;0,1,0))</f>
        <v/>
      </c>
      <c r="H113" t="str">
        <f>IF(G113="","",SUM($G$7:G113))</f>
        <v/>
      </c>
    </row>
    <row r="114" spans="1:8" x14ac:dyDescent="0.2">
      <c r="A114" s="3">
        <v>108</v>
      </c>
      <c r="B114" s="4"/>
      <c r="C114" s="3"/>
      <c r="D114" s="3"/>
      <c r="E114" s="4"/>
      <c r="F114" s="4" t="str">
        <f>IF(OR($C$3="",C114="",D114=""),"",IF(G114=0,"NO",IF(H114&lt;=SUMPRODUCT(('GLASS OFFCUTS LIST'!$D$2:$D$298=UPPER(TRIM(SUBSTITUTE(SUBSTITUTE($C$3,"   "," "),"  "," "))))*((('GLASS OFFCUTS LIST'!$A$2:$A$298&gt;=C114)*('GLASS OFFCUTS LIST'!$B$2:$B$298&gt;=D114))+(N(OR(E114=TRUE(),E114="Y",E114="y",E114="YES",E114="Yes"))*(('GLASS OFFCUTS LIST'!$A$2:$A$298&gt;=D114)*('GLASS OFFCUTS LIST'!$B$2:$B$298&gt;=C114)))&gt;0)),"YES","NO")))</f>
        <v/>
      </c>
      <c r="G114" t="str">
        <f>IF(OR($C$3="",C114="",D114=""),"",IF(SUMPRODUCT(('GLASS OFFCUTS LIST'!$D$2:$D$298=UPPER(TRIM(SUBSTITUTE(SUBSTITUTE($C$3,"   "," "),"  "," "))))*((('GLASS OFFCUTS LIST'!$A$2:$A$298&gt;=C114)*('GLASS OFFCUTS LIST'!$B$2:$B$298&gt;=D114))+(N(OR(E114=TRUE(),E114="Y",E114="y",E114="YES",E114="Yes"))*(('GLASS OFFCUTS LIST'!$A$2:$A$298&gt;=D114)*('GLASS OFFCUTS LIST'!$B$2:$B$298&gt;=C114)))&gt;0))&gt;0,1,0))</f>
        <v/>
      </c>
      <c r="H114" t="str">
        <f>IF(G114="","",SUM($G$7:G114))</f>
        <v/>
      </c>
    </row>
    <row r="115" spans="1:8" x14ac:dyDescent="0.2">
      <c r="A115" s="3">
        <v>109</v>
      </c>
      <c r="B115" s="4"/>
      <c r="C115" s="3"/>
      <c r="D115" s="3"/>
      <c r="E115" s="4"/>
      <c r="F115" s="4" t="str">
        <f>IF(OR($C$3="",C115="",D115=""),"",IF(G115=0,"NO",IF(H115&lt;=SUMPRODUCT(('GLASS OFFCUTS LIST'!$D$2:$D$298=UPPER(TRIM(SUBSTITUTE(SUBSTITUTE($C$3,"   "," "),"  "," "))))*((('GLASS OFFCUTS LIST'!$A$2:$A$298&gt;=C115)*('GLASS OFFCUTS LIST'!$B$2:$B$298&gt;=D115))+(N(OR(E115=TRUE(),E115="Y",E115="y",E115="YES",E115="Yes"))*(('GLASS OFFCUTS LIST'!$A$2:$A$298&gt;=D115)*('GLASS OFFCUTS LIST'!$B$2:$B$298&gt;=C115)))&gt;0)),"YES","NO")))</f>
        <v/>
      </c>
      <c r="G115" t="str">
        <f>IF(OR($C$3="",C115="",D115=""),"",IF(SUMPRODUCT(('GLASS OFFCUTS LIST'!$D$2:$D$298=UPPER(TRIM(SUBSTITUTE(SUBSTITUTE($C$3,"   "," "),"  "," "))))*((('GLASS OFFCUTS LIST'!$A$2:$A$298&gt;=C115)*('GLASS OFFCUTS LIST'!$B$2:$B$298&gt;=D115))+(N(OR(E115=TRUE(),E115="Y",E115="y",E115="YES",E115="Yes"))*(('GLASS OFFCUTS LIST'!$A$2:$A$298&gt;=D115)*('GLASS OFFCUTS LIST'!$B$2:$B$298&gt;=C115)))&gt;0))&gt;0,1,0))</f>
        <v/>
      </c>
      <c r="H115" t="str">
        <f>IF(G115="","",SUM($G$7:G115))</f>
        <v/>
      </c>
    </row>
    <row r="116" spans="1:8" x14ac:dyDescent="0.2">
      <c r="A116" s="3">
        <v>110</v>
      </c>
      <c r="B116" s="4"/>
      <c r="C116" s="3"/>
      <c r="D116" s="3"/>
      <c r="E116" s="4"/>
      <c r="F116" s="4" t="str">
        <f>IF(OR($C$3="",C116="",D116=""),"",IF(G116=0,"NO",IF(H116&lt;=SUMPRODUCT(('GLASS OFFCUTS LIST'!$D$2:$D$298=UPPER(TRIM(SUBSTITUTE(SUBSTITUTE($C$3,"   "," "),"  "," "))))*((('GLASS OFFCUTS LIST'!$A$2:$A$298&gt;=C116)*('GLASS OFFCUTS LIST'!$B$2:$B$298&gt;=D116))+(N(OR(E116=TRUE(),E116="Y",E116="y",E116="YES",E116="Yes"))*(('GLASS OFFCUTS LIST'!$A$2:$A$298&gt;=D116)*('GLASS OFFCUTS LIST'!$B$2:$B$298&gt;=C116)))&gt;0)),"YES","NO")))</f>
        <v/>
      </c>
      <c r="G116" t="str">
        <f>IF(OR($C$3="",C116="",D116=""),"",IF(SUMPRODUCT(('GLASS OFFCUTS LIST'!$D$2:$D$298=UPPER(TRIM(SUBSTITUTE(SUBSTITUTE($C$3,"   "," "),"  "," "))))*((('GLASS OFFCUTS LIST'!$A$2:$A$298&gt;=C116)*('GLASS OFFCUTS LIST'!$B$2:$B$298&gt;=D116))+(N(OR(E116=TRUE(),E116="Y",E116="y",E116="YES",E116="Yes"))*(('GLASS OFFCUTS LIST'!$A$2:$A$298&gt;=D116)*('GLASS OFFCUTS LIST'!$B$2:$B$298&gt;=C116)))&gt;0))&gt;0,1,0))</f>
        <v/>
      </c>
      <c r="H116" t="str">
        <f>IF(G116="","",SUM($G$7:G116))</f>
        <v/>
      </c>
    </row>
    <row r="117" spans="1:8" x14ac:dyDescent="0.2">
      <c r="A117" s="3">
        <v>111</v>
      </c>
      <c r="B117" s="4"/>
      <c r="C117" s="3"/>
      <c r="D117" s="3"/>
      <c r="E117" s="4"/>
      <c r="F117" s="4" t="str">
        <f>IF(OR($C$3="",C117="",D117=""),"",IF(G117=0,"NO",IF(H117&lt;=SUMPRODUCT(('GLASS OFFCUTS LIST'!$D$2:$D$298=UPPER(TRIM(SUBSTITUTE(SUBSTITUTE($C$3,"   "," "),"  "," "))))*((('GLASS OFFCUTS LIST'!$A$2:$A$298&gt;=C117)*('GLASS OFFCUTS LIST'!$B$2:$B$298&gt;=D117))+(N(OR(E117=TRUE(),E117="Y",E117="y",E117="YES",E117="Yes"))*(('GLASS OFFCUTS LIST'!$A$2:$A$298&gt;=D117)*('GLASS OFFCUTS LIST'!$B$2:$B$298&gt;=C117)))&gt;0)),"YES","NO")))</f>
        <v/>
      </c>
      <c r="G117" t="str">
        <f>IF(OR($C$3="",C117="",D117=""),"",IF(SUMPRODUCT(('GLASS OFFCUTS LIST'!$D$2:$D$298=UPPER(TRIM(SUBSTITUTE(SUBSTITUTE($C$3,"   "," "),"  "," "))))*((('GLASS OFFCUTS LIST'!$A$2:$A$298&gt;=C117)*('GLASS OFFCUTS LIST'!$B$2:$B$298&gt;=D117))+(N(OR(E117=TRUE(),E117="Y",E117="y",E117="YES",E117="Yes"))*(('GLASS OFFCUTS LIST'!$A$2:$A$298&gt;=D117)*('GLASS OFFCUTS LIST'!$B$2:$B$298&gt;=C117)))&gt;0))&gt;0,1,0))</f>
        <v/>
      </c>
      <c r="H117" t="str">
        <f>IF(G117="","",SUM($G$7:G117))</f>
        <v/>
      </c>
    </row>
    <row r="118" spans="1:8" x14ac:dyDescent="0.2">
      <c r="A118" s="3">
        <v>112</v>
      </c>
      <c r="B118" s="4"/>
      <c r="C118" s="3"/>
      <c r="D118" s="3"/>
      <c r="E118" s="4"/>
      <c r="F118" s="4" t="str">
        <f>IF(OR($C$3="",C118="",D118=""),"",IF(G118=0,"NO",IF(H118&lt;=SUMPRODUCT(('GLASS OFFCUTS LIST'!$D$2:$D$298=UPPER(TRIM(SUBSTITUTE(SUBSTITUTE($C$3,"   "," "),"  "," "))))*((('GLASS OFFCUTS LIST'!$A$2:$A$298&gt;=C118)*('GLASS OFFCUTS LIST'!$B$2:$B$298&gt;=D118))+(N(OR(E118=TRUE(),E118="Y",E118="y",E118="YES",E118="Yes"))*(('GLASS OFFCUTS LIST'!$A$2:$A$298&gt;=D118)*('GLASS OFFCUTS LIST'!$B$2:$B$298&gt;=C118)))&gt;0)),"YES","NO")))</f>
        <v/>
      </c>
      <c r="G118" t="str">
        <f>IF(OR($C$3="",C118="",D118=""),"",IF(SUMPRODUCT(('GLASS OFFCUTS LIST'!$D$2:$D$298=UPPER(TRIM(SUBSTITUTE(SUBSTITUTE($C$3,"   "," "),"  "," "))))*((('GLASS OFFCUTS LIST'!$A$2:$A$298&gt;=C118)*('GLASS OFFCUTS LIST'!$B$2:$B$298&gt;=D118))+(N(OR(E118=TRUE(),E118="Y",E118="y",E118="YES",E118="Yes"))*(('GLASS OFFCUTS LIST'!$A$2:$A$298&gt;=D118)*('GLASS OFFCUTS LIST'!$B$2:$B$298&gt;=C118)))&gt;0))&gt;0,1,0))</f>
        <v/>
      </c>
      <c r="H118" t="str">
        <f>IF(G118="","",SUM($G$7:G118))</f>
        <v/>
      </c>
    </row>
    <row r="119" spans="1:8" x14ac:dyDescent="0.2">
      <c r="A119" s="3">
        <v>113</v>
      </c>
      <c r="B119" s="4"/>
      <c r="C119" s="3"/>
      <c r="D119" s="3"/>
      <c r="E119" s="4"/>
      <c r="F119" s="4" t="str">
        <f>IF(OR($C$3="",C119="",D119=""),"",IF(G119=0,"NO",IF(H119&lt;=SUMPRODUCT(('GLASS OFFCUTS LIST'!$D$2:$D$298=UPPER(TRIM(SUBSTITUTE(SUBSTITUTE($C$3,"   "," "),"  "," "))))*((('GLASS OFFCUTS LIST'!$A$2:$A$298&gt;=C119)*('GLASS OFFCUTS LIST'!$B$2:$B$298&gt;=D119))+(N(OR(E119=TRUE(),E119="Y",E119="y",E119="YES",E119="Yes"))*(('GLASS OFFCUTS LIST'!$A$2:$A$298&gt;=D119)*('GLASS OFFCUTS LIST'!$B$2:$B$298&gt;=C119)))&gt;0)),"YES","NO")))</f>
        <v/>
      </c>
      <c r="G119" t="str">
        <f>IF(OR($C$3="",C119="",D119=""),"",IF(SUMPRODUCT(('GLASS OFFCUTS LIST'!$D$2:$D$298=UPPER(TRIM(SUBSTITUTE(SUBSTITUTE($C$3,"   "," "),"  "," "))))*((('GLASS OFFCUTS LIST'!$A$2:$A$298&gt;=C119)*('GLASS OFFCUTS LIST'!$B$2:$B$298&gt;=D119))+(N(OR(E119=TRUE(),E119="Y",E119="y",E119="YES",E119="Yes"))*(('GLASS OFFCUTS LIST'!$A$2:$A$298&gt;=D119)*('GLASS OFFCUTS LIST'!$B$2:$B$298&gt;=C119)))&gt;0))&gt;0,1,0))</f>
        <v/>
      </c>
      <c r="H119" t="str">
        <f>IF(G119="","",SUM($G$7:G119))</f>
        <v/>
      </c>
    </row>
    <row r="120" spans="1:8" x14ac:dyDescent="0.2">
      <c r="A120" s="3">
        <v>114</v>
      </c>
      <c r="B120" s="4"/>
      <c r="C120" s="3"/>
      <c r="D120" s="3"/>
      <c r="E120" s="4"/>
      <c r="F120" s="4" t="str">
        <f>IF(OR($C$3="",C120="",D120=""),"",IF(G120=0,"NO",IF(H120&lt;=SUMPRODUCT(('GLASS OFFCUTS LIST'!$D$2:$D$298=UPPER(TRIM(SUBSTITUTE(SUBSTITUTE($C$3,"   "," "),"  "," "))))*((('GLASS OFFCUTS LIST'!$A$2:$A$298&gt;=C120)*('GLASS OFFCUTS LIST'!$B$2:$B$298&gt;=D120))+(N(OR(E120=TRUE(),E120="Y",E120="y",E120="YES",E120="Yes"))*(('GLASS OFFCUTS LIST'!$A$2:$A$298&gt;=D120)*('GLASS OFFCUTS LIST'!$B$2:$B$298&gt;=C120)))&gt;0)),"YES","NO")))</f>
        <v/>
      </c>
      <c r="G120" t="str">
        <f>IF(OR($C$3="",C120="",D120=""),"",IF(SUMPRODUCT(('GLASS OFFCUTS LIST'!$D$2:$D$298=UPPER(TRIM(SUBSTITUTE(SUBSTITUTE($C$3,"   "," "),"  "," "))))*((('GLASS OFFCUTS LIST'!$A$2:$A$298&gt;=C120)*('GLASS OFFCUTS LIST'!$B$2:$B$298&gt;=D120))+(N(OR(E120=TRUE(),E120="Y",E120="y",E120="YES",E120="Yes"))*(('GLASS OFFCUTS LIST'!$A$2:$A$298&gt;=D120)*('GLASS OFFCUTS LIST'!$B$2:$B$298&gt;=C120)))&gt;0))&gt;0,1,0))</f>
        <v/>
      </c>
      <c r="H120" t="str">
        <f>IF(G120="","",SUM($G$7:G120))</f>
        <v/>
      </c>
    </row>
    <row r="121" spans="1:8" x14ac:dyDescent="0.2">
      <c r="A121" s="3">
        <v>115</v>
      </c>
      <c r="B121" s="4"/>
      <c r="C121" s="3"/>
      <c r="D121" s="3"/>
      <c r="E121" s="4"/>
      <c r="F121" s="4" t="str">
        <f>IF(OR($C$3="",C121="",D121=""),"",IF(G121=0,"NO",IF(H121&lt;=SUMPRODUCT(('GLASS OFFCUTS LIST'!$D$2:$D$298=UPPER(TRIM(SUBSTITUTE(SUBSTITUTE($C$3,"   "," "),"  "," "))))*((('GLASS OFFCUTS LIST'!$A$2:$A$298&gt;=C121)*('GLASS OFFCUTS LIST'!$B$2:$B$298&gt;=D121))+(N(OR(E121=TRUE(),E121="Y",E121="y",E121="YES",E121="Yes"))*(('GLASS OFFCUTS LIST'!$A$2:$A$298&gt;=D121)*('GLASS OFFCUTS LIST'!$B$2:$B$298&gt;=C121)))&gt;0)),"YES","NO")))</f>
        <v/>
      </c>
      <c r="G121" t="str">
        <f>IF(OR($C$3="",C121="",D121=""),"",IF(SUMPRODUCT(('GLASS OFFCUTS LIST'!$D$2:$D$298=UPPER(TRIM(SUBSTITUTE(SUBSTITUTE($C$3,"   "," "),"  "," "))))*((('GLASS OFFCUTS LIST'!$A$2:$A$298&gt;=C121)*('GLASS OFFCUTS LIST'!$B$2:$B$298&gt;=D121))+(N(OR(E121=TRUE(),E121="Y",E121="y",E121="YES",E121="Yes"))*(('GLASS OFFCUTS LIST'!$A$2:$A$298&gt;=D121)*('GLASS OFFCUTS LIST'!$B$2:$B$298&gt;=C121)))&gt;0))&gt;0,1,0))</f>
        <v/>
      </c>
      <c r="H121" t="str">
        <f>IF(G121="","",SUM($G$7:G121))</f>
        <v/>
      </c>
    </row>
    <row r="122" spans="1:8" x14ac:dyDescent="0.2">
      <c r="A122" s="3">
        <v>116</v>
      </c>
      <c r="B122" s="4"/>
      <c r="C122" s="3"/>
      <c r="D122" s="3"/>
      <c r="E122" s="4"/>
      <c r="F122" s="4" t="str">
        <f>IF(OR($C$3="",C122="",D122=""),"",IF(G122=0,"NO",IF(H122&lt;=SUMPRODUCT(('GLASS OFFCUTS LIST'!$D$2:$D$298=UPPER(TRIM(SUBSTITUTE(SUBSTITUTE($C$3,"   "," "),"  "," "))))*((('GLASS OFFCUTS LIST'!$A$2:$A$298&gt;=C122)*('GLASS OFFCUTS LIST'!$B$2:$B$298&gt;=D122))+(N(OR(E122=TRUE(),E122="Y",E122="y",E122="YES",E122="Yes"))*(('GLASS OFFCUTS LIST'!$A$2:$A$298&gt;=D122)*('GLASS OFFCUTS LIST'!$B$2:$B$298&gt;=C122)))&gt;0)),"YES","NO")))</f>
        <v/>
      </c>
      <c r="G122" t="str">
        <f>IF(OR($C$3="",C122="",D122=""),"",IF(SUMPRODUCT(('GLASS OFFCUTS LIST'!$D$2:$D$298=UPPER(TRIM(SUBSTITUTE(SUBSTITUTE($C$3,"   "," "),"  "," "))))*((('GLASS OFFCUTS LIST'!$A$2:$A$298&gt;=C122)*('GLASS OFFCUTS LIST'!$B$2:$B$298&gt;=D122))+(N(OR(E122=TRUE(),E122="Y",E122="y",E122="YES",E122="Yes"))*(('GLASS OFFCUTS LIST'!$A$2:$A$298&gt;=D122)*('GLASS OFFCUTS LIST'!$B$2:$B$298&gt;=C122)))&gt;0))&gt;0,1,0))</f>
        <v/>
      </c>
      <c r="H122" t="str">
        <f>IF(G122="","",SUM($G$7:G122))</f>
        <v/>
      </c>
    </row>
    <row r="123" spans="1:8" x14ac:dyDescent="0.2">
      <c r="A123" s="3">
        <v>117</v>
      </c>
      <c r="B123" s="4"/>
      <c r="C123" s="3"/>
      <c r="D123" s="3"/>
      <c r="E123" s="4"/>
      <c r="F123" s="4" t="str">
        <f>IF(OR($C$3="",C123="",D123=""),"",IF(G123=0,"NO",IF(H123&lt;=SUMPRODUCT(('GLASS OFFCUTS LIST'!$D$2:$D$298=UPPER(TRIM(SUBSTITUTE(SUBSTITUTE($C$3,"   "," "),"  "," "))))*((('GLASS OFFCUTS LIST'!$A$2:$A$298&gt;=C123)*('GLASS OFFCUTS LIST'!$B$2:$B$298&gt;=D123))+(N(OR(E123=TRUE(),E123="Y",E123="y",E123="YES",E123="Yes"))*(('GLASS OFFCUTS LIST'!$A$2:$A$298&gt;=D123)*('GLASS OFFCUTS LIST'!$B$2:$B$298&gt;=C123)))&gt;0)),"YES","NO")))</f>
        <v/>
      </c>
      <c r="G123" t="str">
        <f>IF(OR($C$3="",C123="",D123=""),"",IF(SUMPRODUCT(('GLASS OFFCUTS LIST'!$D$2:$D$298=UPPER(TRIM(SUBSTITUTE(SUBSTITUTE($C$3,"   "," "),"  "," "))))*((('GLASS OFFCUTS LIST'!$A$2:$A$298&gt;=C123)*('GLASS OFFCUTS LIST'!$B$2:$B$298&gt;=D123))+(N(OR(E123=TRUE(),E123="Y",E123="y",E123="YES",E123="Yes"))*(('GLASS OFFCUTS LIST'!$A$2:$A$298&gt;=D123)*('GLASS OFFCUTS LIST'!$B$2:$B$298&gt;=C123)))&gt;0))&gt;0,1,0))</f>
        <v/>
      </c>
      <c r="H123" t="str">
        <f>IF(G123="","",SUM($G$7:G123))</f>
        <v/>
      </c>
    </row>
    <row r="124" spans="1:8" x14ac:dyDescent="0.2">
      <c r="A124" s="3">
        <v>118</v>
      </c>
      <c r="B124" s="4"/>
      <c r="C124" s="3"/>
      <c r="D124" s="3"/>
      <c r="E124" s="4"/>
      <c r="F124" s="4" t="str">
        <f>IF(OR($C$3="",C124="",D124=""),"",IF(G124=0,"NO",IF(H124&lt;=SUMPRODUCT(('GLASS OFFCUTS LIST'!$D$2:$D$298=UPPER(TRIM(SUBSTITUTE(SUBSTITUTE($C$3,"   "," "),"  "," "))))*((('GLASS OFFCUTS LIST'!$A$2:$A$298&gt;=C124)*('GLASS OFFCUTS LIST'!$B$2:$B$298&gt;=D124))+(N(OR(E124=TRUE(),E124="Y",E124="y",E124="YES",E124="Yes"))*(('GLASS OFFCUTS LIST'!$A$2:$A$298&gt;=D124)*('GLASS OFFCUTS LIST'!$B$2:$B$298&gt;=C124)))&gt;0)),"YES","NO")))</f>
        <v/>
      </c>
      <c r="G124" t="str">
        <f>IF(OR($C$3="",C124="",D124=""),"",IF(SUMPRODUCT(('GLASS OFFCUTS LIST'!$D$2:$D$298=UPPER(TRIM(SUBSTITUTE(SUBSTITUTE($C$3,"   "," "),"  "," "))))*((('GLASS OFFCUTS LIST'!$A$2:$A$298&gt;=C124)*('GLASS OFFCUTS LIST'!$B$2:$B$298&gt;=D124))+(N(OR(E124=TRUE(),E124="Y",E124="y",E124="YES",E124="Yes"))*(('GLASS OFFCUTS LIST'!$A$2:$A$298&gt;=D124)*('GLASS OFFCUTS LIST'!$B$2:$B$298&gt;=C124)))&gt;0))&gt;0,1,0))</f>
        <v/>
      </c>
      <c r="H124" t="str">
        <f>IF(G124="","",SUM($G$7:G124))</f>
        <v/>
      </c>
    </row>
    <row r="125" spans="1:8" x14ac:dyDescent="0.2">
      <c r="A125" s="3">
        <v>119</v>
      </c>
      <c r="B125" s="4"/>
      <c r="C125" s="3"/>
      <c r="D125" s="3"/>
      <c r="E125" s="4"/>
      <c r="F125" s="4" t="str">
        <f>IF(OR($C$3="",C125="",D125=""),"",IF(G125=0,"NO",IF(H125&lt;=SUMPRODUCT(('GLASS OFFCUTS LIST'!$D$2:$D$298=UPPER(TRIM(SUBSTITUTE(SUBSTITUTE($C$3,"   "," "),"  "," "))))*((('GLASS OFFCUTS LIST'!$A$2:$A$298&gt;=C125)*('GLASS OFFCUTS LIST'!$B$2:$B$298&gt;=D125))+(N(OR(E125=TRUE(),E125="Y",E125="y",E125="YES",E125="Yes"))*(('GLASS OFFCUTS LIST'!$A$2:$A$298&gt;=D125)*('GLASS OFFCUTS LIST'!$B$2:$B$298&gt;=C125)))&gt;0)),"YES","NO")))</f>
        <v/>
      </c>
      <c r="G125" t="str">
        <f>IF(OR($C$3="",C125="",D125=""),"",IF(SUMPRODUCT(('GLASS OFFCUTS LIST'!$D$2:$D$298=UPPER(TRIM(SUBSTITUTE(SUBSTITUTE($C$3,"   "," "),"  "," "))))*((('GLASS OFFCUTS LIST'!$A$2:$A$298&gt;=C125)*('GLASS OFFCUTS LIST'!$B$2:$B$298&gt;=D125))+(N(OR(E125=TRUE(),E125="Y",E125="y",E125="YES",E125="Yes"))*(('GLASS OFFCUTS LIST'!$A$2:$A$298&gt;=D125)*('GLASS OFFCUTS LIST'!$B$2:$B$298&gt;=C125)))&gt;0))&gt;0,1,0))</f>
        <v/>
      </c>
      <c r="H125" t="str">
        <f>IF(G125="","",SUM($G$7:G125))</f>
        <v/>
      </c>
    </row>
    <row r="126" spans="1:8" x14ac:dyDescent="0.2">
      <c r="A126" s="3">
        <v>120</v>
      </c>
      <c r="B126" s="4"/>
      <c r="C126" s="3"/>
      <c r="D126" s="3"/>
      <c r="E126" s="4"/>
      <c r="F126" s="4" t="str">
        <f>IF(OR($C$3="",C126="",D126=""),"",IF(G126=0,"NO",IF(H126&lt;=SUMPRODUCT(('GLASS OFFCUTS LIST'!$D$2:$D$298=UPPER(TRIM(SUBSTITUTE(SUBSTITUTE($C$3,"   "," "),"  "," "))))*((('GLASS OFFCUTS LIST'!$A$2:$A$298&gt;=C126)*('GLASS OFFCUTS LIST'!$B$2:$B$298&gt;=D126))+(N(OR(E126=TRUE(),E126="Y",E126="y",E126="YES",E126="Yes"))*(('GLASS OFFCUTS LIST'!$A$2:$A$298&gt;=D126)*('GLASS OFFCUTS LIST'!$B$2:$B$298&gt;=C126)))&gt;0)),"YES","NO")))</f>
        <v/>
      </c>
      <c r="G126" t="str">
        <f>IF(OR($C$3="",C126="",D126=""),"",IF(SUMPRODUCT(('GLASS OFFCUTS LIST'!$D$2:$D$298=UPPER(TRIM(SUBSTITUTE(SUBSTITUTE($C$3,"   "," "),"  "," "))))*((('GLASS OFFCUTS LIST'!$A$2:$A$298&gt;=C126)*('GLASS OFFCUTS LIST'!$B$2:$B$298&gt;=D126))+(N(OR(E126=TRUE(),E126="Y",E126="y",E126="YES",E126="Yes"))*(('GLASS OFFCUTS LIST'!$A$2:$A$298&gt;=D126)*('GLASS OFFCUTS LIST'!$B$2:$B$298&gt;=C126)))&gt;0))&gt;0,1,0))</f>
        <v/>
      </c>
      <c r="H126" t="str">
        <f>IF(G126="","",SUM($G$7:G126))</f>
        <v/>
      </c>
    </row>
    <row r="127" spans="1:8" x14ac:dyDescent="0.2">
      <c r="A127" s="3">
        <v>121</v>
      </c>
      <c r="B127" s="4"/>
      <c r="C127" s="3"/>
      <c r="D127" s="3"/>
      <c r="E127" s="4"/>
      <c r="F127" s="4" t="str">
        <f>IF(OR($C$3="",C127="",D127=""),"",IF(G127=0,"NO",IF(H127&lt;=SUMPRODUCT(('GLASS OFFCUTS LIST'!$D$2:$D$298=UPPER(TRIM(SUBSTITUTE(SUBSTITUTE($C$3,"   "," "),"  "," "))))*((('GLASS OFFCUTS LIST'!$A$2:$A$298&gt;=C127)*('GLASS OFFCUTS LIST'!$B$2:$B$298&gt;=D127))+(N(OR(E127=TRUE(),E127="Y",E127="y",E127="YES",E127="Yes"))*(('GLASS OFFCUTS LIST'!$A$2:$A$298&gt;=D127)*('GLASS OFFCUTS LIST'!$B$2:$B$298&gt;=C127)))&gt;0)),"YES","NO")))</f>
        <v/>
      </c>
      <c r="G127" t="str">
        <f>IF(OR($C$3="",C127="",D127=""),"",IF(SUMPRODUCT(('GLASS OFFCUTS LIST'!$D$2:$D$298=UPPER(TRIM(SUBSTITUTE(SUBSTITUTE($C$3,"   "," "),"  "," "))))*((('GLASS OFFCUTS LIST'!$A$2:$A$298&gt;=C127)*('GLASS OFFCUTS LIST'!$B$2:$B$298&gt;=D127))+(N(OR(E127=TRUE(),E127="Y",E127="y",E127="YES",E127="Yes"))*(('GLASS OFFCUTS LIST'!$A$2:$A$298&gt;=D127)*('GLASS OFFCUTS LIST'!$B$2:$B$298&gt;=C127)))&gt;0))&gt;0,1,0))</f>
        <v/>
      </c>
      <c r="H127" t="str">
        <f>IF(G127="","",SUM($G$7:G127))</f>
        <v/>
      </c>
    </row>
    <row r="128" spans="1:8" x14ac:dyDescent="0.2">
      <c r="A128" s="3">
        <v>122</v>
      </c>
      <c r="B128" s="4"/>
      <c r="C128" s="3"/>
      <c r="D128" s="3"/>
      <c r="E128" s="4"/>
      <c r="F128" s="4" t="str">
        <f>IF(OR($C$3="",C128="",D128=""),"",IF(G128=0,"NO",IF(H128&lt;=SUMPRODUCT(('GLASS OFFCUTS LIST'!$D$2:$D$298=UPPER(TRIM(SUBSTITUTE(SUBSTITUTE($C$3,"   "," "),"  "," "))))*((('GLASS OFFCUTS LIST'!$A$2:$A$298&gt;=C128)*('GLASS OFFCUTS LIST'!$B$2:$B$298&gt;=D128))+(N(OR(E128=TRUE(),E128="Y",E128="y",E128="YES",E128="Yes"))*(('GLASS OFFCUTS LIST'!$A$2:$A$298&gt;=D128)*('GLASS OFFCUTS LIST'!$B$2:$B$298&gt;=C128)))&gt;0)),"YES","NO")))</f>
        <v/>
      </c>
      <c r="G128" t="str">
        <f>IF(OR($C$3="",C128="",D128=""),"",IF(SUMPRODUCT(('GLASS OFFCUTS LIST'!$D$2:$D$298=UPPER(TRIM(SUBSTITUTE(SUBSTITUTE($C$3,"   "," "),"  "," "))))*((('GLASS OFFCUTS LIST'!$A$2:$A$298&gt;=C128)*('GLASS OFFCUTS LIST'!$B$2:$B$298&gt;=D128))+(N(OR(E128=TRUE(),E128="Y",E128="y",E128="YES",E128="Yes"))*(('GLASS OFFCUTS LIST'!$A$2:$A$298&gt;=D128)*('GLASS OFFCUTS LIST'!$B$2:$B$298&gt;=C128)))&gt;0))&gt;0,1,0))</f>
        <v/>
      </c>
      <c r="H128" t="str">
        <f>IF(G128="","",SUM($G$7:G128))</f>
        <v/>
      </c>
    </row>
    <row r="129" spans="1:8" x14ac:dyDescent="0.2">
      <c r="A129" s="3">
        <v>123</v>
      </c>
      <c r="B129" s="4"/>
      <c r="C129" s="3"/>
      <c r="D129" s="3"/>
      <c r="E129" s="4"/>
      <c r="F129" s="4" t="str">
        <f>IF(OR($C$3="",C129="",D129=""),"",IF(G129=0,"NO",IF(H129&lt;=SUMPRODUCT(('GLASS OFFCUTS LIST'!$D$2:$D$298=UPPER(TRIM(SUBSTITUTE(SUBSTITUTE($C$3,"   "," "),"  "," "))))*((('GLASS OFFCUTS LIST'!$A$2:$A$298&gt;=C129)*('GLASS OFFCUTS LIST'!$B$2:$B$298&gt;=D129))+(N(OR(E129=TRUE(),E129="Y",E129="y",E129="YES",E129="Yes"))*(('GLASS OFFCUTS LIST'!$A$2:$A$298&gt;=D129)*('GLASS OFFCUTS LIST'!$B$2:$B$298&gt;=C129)))&gt;0)),"YES","NO")))</f>
        <v/>
      </c>
      <c r="G129" t="str">
        <f>IF(OR($C$3="",C129="",D129=""),"",IF(SUMPRODUCT(('GLASS OFFCUTS LIST'!$D$2:$D$298=UPPER(TRIM(SUBSTITUTE(SUBSTITUTE($C$3,"   "," "),"  "," "))))*((('GLASS OFFCUTS LIST'!$A$2:$A$298&gt;=C129)*('GLASS OFFCUTS LIST'!$B$2:$B$298&gt;=D129))+(N(OR(E129=TRUE(),E129="Y",E129="y",E129="YES",E129="Yes"))*(('GLASS OFFCUTS LIST'!$A$2:$A$298&gt;=D129)*('GLASS OFFCUTS LIST'!$B$2:$B$298&gt;=C129)))&gt;0))&gt;0,1,0))</f>
        <v/>
      </c>
      <c r="H129" t="str">
        <f>IF(G129="","",SUM($G$7:G129))</f>
        <v/>
      </c>
    </row>
    <row r="130" spans="1:8" x14ac:dyDescent="0.2">
      <c r="A130" s="3">
        <v>124</v>
      </c>
      <c r="B130" s="4"/>
      <c r="C130" s="3"/>
      <c r="D130" s="3"/>
      <c r="E130" s="4"/>
      <c r="F130" s="4" t="str">
        <f>IF(OR($C$3="",C130="",D130=""),"",IF(G130=0,"NO",IF(H130&lt;=SUMPRODUCT(('GLASS OFFCUTS LIST'!$D$2:$D$298=UPPER(TRIM(SUBSTITUTE(SUBSTITUTE($C$3,"   "," "),"  "," "))))*((('GLASS OFFCUTS LIST'!$A$2:$A$298&gt;=C130)*('GLASS OFFCUTS LIST'!$B$2:$B$298&gt;=D130))+(N(OR(E130=TRUE(),E130="Y",E130="y",E130="YES",E130="Yes"))*(('GLASS OFFCUTS LIST'!$A$2:$A$298&gt;=D130)*('GLASS OFFCUTS LIST'!$B$2:$B$298&gt;=C130)))&gt;0)),"YES","NO")))</f>
        <v/>
      </c>
      <c r="G130" t="str">
        <f>IF(OR($C$3="",C130="",D130=""),"",IF(SUMPRODUCT(('GLASS OFFCUTS LIST'!$D$2:$D$298=UPPER(TRIM(SUBSTITUTE(SUBSTITUTE($C$3,"   "," "),"  "," "))))*((('GLASS OFFCUTS LIST'!$A$2:$A$298&gt;=C130)*('GLASS OFFCUTS LIST'!$B$2:$B$298&gt;=D130))+(N(OR(E130=TRUE(),E130="Y",E130="y",E130="YES",E130="Yes"))*(('GLASS OFFCUTS LIST'!$A$2:$A$298&gt;=D130)*('GLASS OFFCUTS LIST'!$B$2:$B$298&gt;=C130)))&gt;0))&gt;0,1,0))</f>
        <v/>
      </c>
      <c r="H130" t="str">
        <f>IF(G130="","",SUM($G$7:G130))</f>
        <v/>
      </c>
    </row>
    <row r="131" spans="1:8" x14ac:dyDescent="0.2">
      <c r="A131" s="3">
        <v>125</v>
      </c>
      <c r="B131" s="4"/>
      <c r="C131" s="3"/>
      <c r="D131" s="3"/>
      <c r="E131" s="4"/>
      <c r="F131" s="4" t="str">
        <f>IF(OR($C$3="",C131="",D131=""),"",IF(G131=0,"NO",IF(H131&lt;=SUMPRODUCT(('GLASS OFFCUTS LIST'!$D$2:$D$298=UPPER(TRIM(SUBSTITUTE(SUBSTITUTE($C$3,"   "," "),"  "," "))))*((('GLASS OFFCUTS LIST'!$A$2:$A$298&gt;=C131)*('GLASS OFFCUTS LIST'!$B$2:$B$298&gt;=D131))+(N(OR(E131=TRUE(),E131="Y",E131="y",E131="YES",E131="Yes"))*(('GLASS OFFCUTS LIST'!$A$2:$A$298&gt;=D131)*('GLASS OFFCUTS LIST'!$B$2:$B$298&gt;=C131)))&gt;0)),"YES","NO")))</f>
        <v/>
      </c>
      <c r="G131" t="str">
        <f>IF(OR($C$3="",C131="",D131=""),"",IF(SUMPRODUCT(('GLASS OFFCUTS LIST'!$D$2:$D$298=UPPER(TRIM(SUBSTITUTE(SUBSTITUTE($C$3,"   "," "),"  "," "))))*((('GLASS OFFCUTS LIST'!$A$2:$A$298&gt;=C131)*('GLASS OFFCUTS LIST'!$B$2:$B$298&gt;=D131))+(N(OR(E131=TRUE(),E131="Y",E131="y",E131="YES",E131="Yes"))*(('GLASS OFFCUTS LIST'!$A$2:$A$298&gt;=D131)*('GLASS OFFCUTS LIST'!$B$2:$B$298&gt;=C131)))&gt;0))&gt;0,1,0))</f>
        <v/>
      </c>
      <c r="H131" t="str">
        <f>IF(G131="","",SUM($G$7:G131))</f>
        <v/>
      </c>
    </row>
    <row r="132" spans="1:8" x14ac:dyDescent="0.2">
      <c r="A132" s="3">
        <v>126</v>
      </c>
      <c r="B132" s="4"/>
      <c r="C132" s="3"/>
      <c r="D132" s="3"/>
      <c r="E132" s="4"/>
      <c r="F132" s="4" t="str">
        <f>IF(OR($C$3="",C132="",D132=""),"",IF(G132=0,"NO",IF(H132&lt;=SUMPRODUCT(('GLASS OFFCUTS LIST'!$D$2:$D$298=UPPER(TRIM(SUBSTITUTE(SUBSTITUTE($C$3,"   "," "),"  "," "))))*((('GLASS OFFCUTS LIST'!$A$2:$A$298&gt;=C132)*('GLASS OFFCUTS LIST'!$B$2:$B$298&gt;=D132))+(N(OR(E132=TRUE(),E132="Y",E132="y",E132="YES",E132="Yes"))*(('GLASS OFFCUTS LIST'!$A$2:$A$298&gt;=D132)*('GLASS OFFCUTS LIST'!$B$2:$B$298&gt;=C132)))&gt;0)),"YES","NO")))</f>
        <v/>
      </c>
      <c r="G132" t="str">
        <f>IF(OR($C$3="",C132="",D132=""),"",IF(SUMPRODUCT(('GLASS OFFCUTS LIST'!$D$2:$D$298=UPPER(TRIM(SUBSTITUTE(SUBSTITUTE($C$3,"   "," "),"  "," "))))*((('GLASS OFFCUTS LIST'!$A$2:$A$298&gt;=C132)*('GLASS OFFCUTS LIST'!$B$2:$B$298&gt;=D132))+(N(OR(E132=TRUE(),E132="Y",E132="y",E132="YES",E132="Yes"))*(('GLASS OFFCUTS LIST'!$A$2:$A$298&gt;=D132)*('GLASS OFFCUTS LIST'!$B$2:$B$298&gt;=C132)))&gt;0))&gt;0,1,0))</f>
        <v/>
      </c>
      <c r="H132" t="str">
        <f>IF(G132="","",SUM($G$7:G132))</f>
        <v/>
      </c>
    </row>
    <row r="133" spans="1:8" x14ac:dyDescent="0.2">
      <c r="A133" s="3">
        <v>127</v>
      </c>
      <c r="B133" s="4"/>
      <c r="C133" s="3"/>
      <c r="D133" s="3"/>
      <c r="E133" s="4"/>
      <c r="F133" s="4" t="str">
        <f>IF(OR($C$3="",C133="",D133=""),"",IF(G133=0,"NO",IF(H133&lt;=SUMPRODUCT(('GLASS OFFCUTS LIST'!$D$2:$D$298=UPPER(TRIM(SUBSTITUTE(SUBSTITUTE($C$3,"   "," "),"  "," "))))*((('GLASS OFFCUTS LIST'!$A$2:$A$298&gt;=C133)*('GLASS OFFCUTS LIST'!$B$2:$B$298&gt;=D133))+(N(OR(E133=TRUE(),E133="Y",E133="y",E133="YES",E133="Yes"))*(('GLASS OFFCUTS LIST'!$A$2:$A$298&gt;=D133)*('GLASS OFFCUTS LIST'!$B$2:$B$298&gt;=C133)))&gt;0)),"YES","NO")))</f>
        <v/>
      </c>
      <c r="G133" t="str">
        <f>IF(OR($C$3="",C133="",D133=""),"",IF(SUMPRODUCT(('GLASS OFFCUTS LIST'!$D$2:$D$298=UPPER(TRIM(SUBSTITUTE(SUBSTITUTE($C$3,"   "," "),"  "," "))))*((('GLASS OFFCUTS LIST'!$A$2:$A$298&gt;=C133)*('GLASS OFFCUTS LIST'!$B$2:$B$298&gt;=D133))+(N(OR(E133=TRUE(),E133="Y",E133="y",E133="YES",E133="Yes"))*(('GLASS OFFCUTS LIST'!$A$2:$A$298&gt;=D133)*('GLASS OFFCUTS LIST'!$B$2:$B$298&gt;=C133)))&gt;0))&gt;0,1,0))</f>
        <v/>
      </c>
      <c r="H133" t="str">
        <f>IF(G133="","",SUM($G$7:G133))</f>
        <v/>
      </c>
    </row>
    <row r="134" spans="1:8" x14ac:dyDescent="0.2">
      <c r="A134" s="3">
        <v>128</v>
      </c>
      <c r="B134" s="4"/>
      <c r="C134" s="3"/>
      <c r="D134" s="3"/>
      <c r="E134" s="4"/>
      <c r="F134" s="4" t="str">
        <f>IF(OR($C$3="",C134="",D134=""),"",IF(G134=0,"NO",IF(H134&lt;=SUMPRODUCT(('GLASS OFFCUTS LIST'!$D$2:$D$298=UPPER(TRIM(SUBSTITUTE(SUBSTITUTE($C$3,"   "," "),"  "," "))))*((('GLASS OFFCUTS LIST'!$A$2:$A$298&gt;=C134)*('GLASS OFFCUTS LIST'!$B$2:$B$298&gt;=D134))+(N(OR(E134=TRUE(),E134="Y",E134="y",E134="YES",E134="Yes"))*(('GLASS OFFCUTS LIST'!$A$2:$A$298&gt;=D134)*('GLASS OFFCUTS LIST'!$B$2:$B$298&gt;=C134)))&gt;0)),"YES","NO")))</f>
        <v/>
      </c>
      <c r="G134" t="str">
        <f>IF(OR($C$3="",C134="",D134=""),"",IF(SUMPRODUCT(('GLASS OFFCUTS LIST'!$D$2:$D$298=UPPER(TRIM(SUBSTITUTE(SUBSTITUTE($C$3,"   "," "),"  "," "))))*((('GLASS OFFCUTS LIST'!$A$2:$A$298&gt;=C134)*('GLASS OFFCUTS LIST'!$B$2:$B$298&gt;=D134))+(N(OR(E134=TRUE(),E134="Y",E134="y",E134="YES",E134="Yes"))*(('GLASS OFFCUTS LIST'!$A$2:$A$298&gt;=D134)*('GLASS OFFCUTS LIST'!$B$2:$B$298&gt;=C134)))&gt;0))&gt;0,1,0))</f>
        <v/>
      </c>
      <c r="H134" t="str">
        <f>IF(G134="","",SUM($G$7:G134))</f>
        <v/>
      </c>
    </row>
    <row r="135" spans="1:8" x14ac:dyDescent="0.2">
      <c r="A135" s="3">
        <v>129</v>
      </c>
      <c r="B135" s="4"/>
      <c r="C135" s="3"/>
      <c r="D135" s="3"/>
      <c r="E135" s="4"/>
      <c r="F135" s="4" t="str">
        <f>IF(OR($C$3="",C135="",D135=""),"",IF(G135=0,"NO",IF(H135&lt;=SUMPRODUCT(('GLASS OFFCUTS LIST'!$D$2:$D$298=UPPER(TRIM(SUBSTITUTE(SUBSTITUTE($C$3,"   "," "),"  "," "))))*((('GLASS OFFCUTS LIST'!$A$2:$A$298&gt;=C135)*('GLASS OFFCUTS LIST'!$B$2:$B$298&gt;=D135))+(N(OR(E135=TRUE(),E135="Y",E135="y",E135="YES",E135="Yes"))*(('GLASS OFFCUTS LIST'!$A$2:$A$298&gt;=D135)*('GLASS OFFCUTS LIST'!$B$2:$B$298&gt;=C135)))&gt;0)),"YES","NO")))</f>
        <v/>
      </c>
      <c r="G135" t="str">
        <f>IF(OR($C$3="",C135="",D135=""),"",IF(SUMPRODUCT(('GLASS OFFCUTS LIST'!$D$2:$D$298=UPPER(TRIM(SUBSTITUTE(SUBSTITUTE($C$3,"   "," "),"  "," "))))*((('GLASS OFFCUTS LIST'!$A$2:$A$298&gt;=C135)*('GLASS OFFCUTS LIST'!$B$2:$B$298&gt;=D135))+(N(OR(E135=TRUE(),E135="Y",E135="y",E135="YES",E135="Yes"))*(('GLASS OFFCUTS LIST'!$A$2:$A$298&gt;=D135)*('GLASS OFFCUTS LIST'!$B$2:$B$298&gt;=C135)))&gt;0))&gt;0,1,0))</f>
        <v/>
      </c>
      <c r="H135" t="str">
        <f>IF(G135="","",SUM($G$7:G135))</f>
        <v/>
      </c>
    </row>
    <row r="136" spans="1:8" x14ac:dyDescent="0.2">
      <c r="A136" s="3">
        <v>130</v>
      </c>
      <c r="B136" s="4"/>
      <c r="C136" s="3"/>
      <c r="D136" s="3"/>
      <c r="E136" s="4"/>
      <c r="F136" s="4" t="str">
        <f>IF(OR($C$3="",C136="",D136=""),"",IF(G136=0,"NO",IF(H136&lt;=SUMPRODUCT(('GLASS OFFCUTS LIST'!$D$2:$D$298=UPPER(TRIM(SUBSTITUTE(SUBSTITUTE($C$3,"   "," "),"  "," "))))*((('GLASS OFFCUTS LIST'!$A$2:$A$298&gt;=C136)*('GLASS OFFCUTS LIST'!$B$2:$B$298&gt;=D136))+(N(OR(E136=TRUE(),E136="Y",E136="y",E136="YES",E136="Yes"))*(('GLASS OFFCUTS LIST'!$A$2:$A$298&gt;=D136)*('GLASS OFFCUTS LIST'!$B$2:$B$298&gt;=C136)))&gt;0)),"YES","NO")))</f>
        <v/>
      </c>
      <c r="G136" t="str">
        <f>IF(OR($C$3="",C136="",D136=""),"",IF(SUMPRODUCT(('GLASS OFFCUTS LIST'!$D$2:$D$298=UPPER(TRIM(SUBSTITUTE(SUBSTITUTE($C$3,"   "," "),"  "," "))))*((('GLASS OFFCUTS LIST'!$A$2:$A$298&gt;=C136)*('GLASS OFFCUTS LIST'!$B$2:$B$298&gt;=D136))+(N(OR(E136=TRUE(),E136="Y",E136="y",E136="YES",E136="Yes"))*(('GLASS OFFCUTS LIST'!$A$2:$A$298&gt;=D136)*('GLASS OFFCUTS LIST'!$B$2:$B$298&gt;=C136)))&gt;0))&gt;0,1,0))</f>
        <v/>
      </c>
      <c r="H136" t="str">
        <f>IF(G136="","",SUM($G$7:G136))</f>
        <v/>
      </c>
    </row>
    <row r="137" spans="1:8" x14ac:dyDescent="0.2">
      <c r="A137" s="3">
        <v>131</v>
      </c>
      <c r="B137" s="4"/>
      <c r="C137" s="3"/>
      <c r="D137" s="3"/>
      <c r="E137" s="4"/>
      <c r="F137" s="4" t="str">
        <f>IF(OR($C$3="",C137="",D137=""),"",IF(G137=0,"NO",IF(H137&lt;=SUMPRODUCT(('GLASS OFFCUTS LIST'!$D$2:$D$298=UPPER(TRIM(SUBSTITUTE(SUBSTITUTE($C$3,"   "," "),"  "," "))))*((('GLASS OFFCUTS LIST'!$A$2:$A$298&gt;=C137)*('GLASS OFFCUTS LIST'!$B$2:$B$298&gt;=D137))+(N(OR(E137=TRUE(),E137="Y",E137="y",E137="YES",E137="Yes"))*(('GLASS OFFCUTS LIST'!$A$2:$A$298&gt;=D137)*('GLASS OFFCUTS LIST'!$B$2:$B$298&gt;=C137)))&gt;0)),"YES","NO")))</f>
        <v/>
      </c>
      <c r="G137" t="str">
        <f>IF(OR($C$3="",C137="",D137=""),"",IF(SUMPRODUCT(('GLASS OFFCUTS LIST'!$D$2:$D$298=UPPER(TRIM(SUBSTITUTE(SUBSTITUTE($C$3,"   "," "),"  "," "))))*((('GLASS OFFCUTS LIST'!$A$2:$A$298&gt;=C137)*('GLASS OFFCUTS LIST'!$B$2:$B$298&gt;=D137))+(N(OR(E137=TRUE(),E137="Y",E137="y",E137="YES",E137="Yes"))*(('GLASS OFFCUTS LIST'!$A$2:$A$298&gt;=D137)*('GLASS OFFCUTS LIST'!$B$2:$B$298&gt;=C137)))&gt;0))&gt;0,1,0))</f>
        <v/>
      </c>
      <c r="H137" t="str">
        <f>IF(G137="","",SUM($G$7:G137))</f>
        <v/>
      </c>
    </row>
    <row r="138" spans="1:8" x14ac:dyDescent="0.2">
      <c r="A138" s="3">
        <v>132</v>
      </c>
      <c r="B138" s="4"/>
      <c r="C138" s="3"/>
      <c r="D138" s="3"/>
      <c r="E138" s="4"/>
      <c r="F138" s="4" t="str">
        <f>IF(OR($C$3="",C138="",D138=""),"",IF(G138=0,"NO",IF(H138&lt;=SUMPRODUCT(('GLASS OFFCUTS LIST'!$D$2:$D$298=UPPER(TRIM(SUBSTITUTE(SUBSTITUTE($C$3,"   "," "),"  "," "))))*((('GLASS OFFCUTS LIST'!$A$2:$A$298&gt;=C138)*('GLASS OFFCUTS LIST'!$B$2:$B$298&gt;=D138))+(N(OR(E138=TRUE(),E138="Y",E138="y",E138="YES",E138="Yes"))*(('GLASS OFFCUTS LIST'!$A$2:$A$298&gt;=D138)*('GLASS OFFCUTS LIST'!$B$2:$B$298&gt;=C138)))&gt;0)),"YES","NO")))</f>
        <v/>
      </c>
      <c r="G138" t="str">
        <f>IF(OR($C$3="",C138="",D138=""),"",IF(SUMPRODUCT(('GLASS OFFCUTS LIST'!$D$2:$D$298=UPPER(TRIM(SUBSTITUTE(SUBSTITUTE($C$3,"   "," "),"  "," "))))*((('GLASS OFFCUTS LIST'!$A$2:$A$298&gt;=C138)*('GLASS OFFCUTS LIST'!$B$2:$B$298&gt;=D138))+(N(OR(E138=TRUE(),E138="Y",E138="y",E138="YES",E138="Yes"))*(('GLASS OFFCUTS LIST'!$A$2:$A$298&gt;=D138)*('GLASS OFFCUTS LIST'!$B$2:$B$298&gt;=C138)))&gt;0))&gt;0,1,0))</f>
        <v/>
      </c>
      <c r="H138" t="str">
        <f>IF(G138="","",SUM($G$7:G138))</f>
        <v/>
      </c>
    </row>
    <row r="139" spans="1:8" x14ac:dyDescent="0.2">
      <c r="A139" s="3">
        <v>133</v>
      </c>
      <c r="B139" s="4"/>
      <c r="C139" s="3"/>
      <c r="D139" s="3"/>
      <c r="E139" s="4"/>
      <c r="F139" s="4" t="str">
        <f>IF(OR($C$3="",C139="",D139=""),"",IF(G139=0,"NO",IF(H139&lt;=SUMPRODUCT(('GLASS OFFCUTS LIST'!$D$2:$D$298=UPPER(TRIM(SUBSTITUTE(SUBSTITUTE($C$3,"   "," "),"  "," "))))*((('GLASS OFFCUTS LIST'!$A$2:$A$298&gt;=C139)*('GLASS OFFCUTS LIST'!$B$2:$B$298&gt;=D139))+(N(OR(E139=TRUE(),E139="Y",E139="y",E139="YES",E139="Yes"))*(('GLASS OFFCUTS LIST'!$A$2:$A$298&gt;=D139)*('GLASS OFFCUTS LIST'!$B$2:$B$298&gt;=C139)))&gt;0)),"YES","NO")))</f>
        <v/>
      </c>
      <c r="G139" t="str">
        <f>IF(OR($C$3="",C139="",D139=""),"",IF(SUMPRODUCT(('GLASS OFFCUTS LIST'!$D$2:$D$298=UPPER(TRIM(SUBSTITUTE(SUBSTITUTE($C$3,"   "," "),"  "," "))))*((('GLASS OFFCUTS LIST'!$A$2:$A$298&gt;=C139)*('GLASS OFFCUTS LIST'!$B$2:$B$298&gt;=D139))+(N(OR(E139=TRUE(),E139="Y",E139="y",E139="YES",E139="Yes"))*(('GLASS OFFCUTS LIST'!$A$2:$A$298&gt;=D139)*('GLASS OFFCUTS LIST'!$B$2:$B$298&gt;=C139)))&gt;0))&gt;0,1,0))</f>
        <v/>
      </c>
      <c r="H139" t="str">
        <f>IF(G139="","",SUM($G$7:G139))</f>
        <v/>
      </c>
    </row>
    <row r="140" spans="1:8" x14ac:dyDescent="0.2">
      <c r="A140" s="3">
        <v>134</v>
      </c>
      <c r="B140" s="4"/>
      <c r="C140" s="3"/>
      <c r="D140" s="3"/>
      <c r="E140" s="4"/>
      <c r="F140" s="4" t="str">
        <f>IF(OR($C$3="",C140="",D140=""),"",IF(G140=0,"NO",IF(H140&lt;=SUMPRODUCT(('GLASS OFFCUTS LIST'!$D$2:$D$298=UPPER(TRIM(SUBSTITUTE(SUBSTITUTE($C$3,"   "," "),"  "," "))))*((('GLASS OFFCUTS LIST'!$A$2:$A$298&gt;=C140)*('GLASS OFFCUTS LIST'!$B$2:$B$298&gt;=D140))+(N(OR(E140=TRUE(),E140="Y",E140="y",E140="YES",E140="Yes"))*(('GLASS OFFCUTS LIST'!$A$2:$A$298&gt;=D140)*('GLASS OFFCUTS LIST'!$B$2:$B$298&gt;=C140)))&gt;0)),"YES","NO")))</f>
        <v/>
      </c>
      <c r="G140" t="str">
        <f>IF(OR($C$3="",C140="",D140=""),"",IF(SUMPRODUCT(('GLASS OFFCUTS LIST'!$D$2:$D$298=UPPER(TRIM(SUBSTITUTE(SUBSTITUTE($C$3,"   "," "),"  "," "))))*((('GLASS OFFCUTS LIST'!$A$2:$A$298&gt;=C140)*('GLASS OFFCUTS LIST'!$B$2:$B$298&gt;=D140))+(N(OR(E140=TRUE(),E140="Y",E140="y",E140="YES",E140="Yes"))*(('GLASS OFFCUTS LIST'!$A$2:$A$298&gt;=D140)*('GLASS OFFCUTS LIST'!$B$2:$B$298&gt;=C140)))&gt;0))&gt;0,1,0))</f>
        <v/>
      </c>
      <c r="H140" t="str">
        <f>IF(G140="","",SUM($G$7:G140))</f>
        <v/>
      </c>
    </row>
    <row r="141" spans="1:8" x14ac:dyDescent="0.2">
      <c r="A141" s="3">
        <v>135</v>
      </c>
      <c r="B141" s="4"/>
      <c r="C141" s="3"/>
      <c r="D141" s="3"/>
      <c r="E141" s="4"/>
      <c r="F141" s="4" t="str">
        <f>IF(OR($C$3="",C141="",D141=""),"",IF(G141=0,"NO",IF(H141&lt;=SUMPRODUCT(('GLASS OFFCUTS LIST'!$D$2:$D$298=UPPER(TRIM(SUBSTITUTE(SUBSTITUTE($C$3,"   "," "),"  "," "))))*((('GLASS OFFCUTS LIST'!$A$2:$A$298&gt;=C141)*('GLASS OFFCUTS LIST'!$B$2:$B$298&gt;=D141))+(N(OR(E141=TRUE(),E141="Y",E141="y",E141="YES",E141="Yes"))*(('GLASS OFFCUTS LIST'!$A$2:$A$298&gt;=D141)*('GLASS OFFCUTS LIST'!$B$2:$B$298&gt;=C141)))&gt;0)),"YES","NO")))</f>
        <v/>
      </c>
      <c r="G141" t="str">
        <f>IF(OR($C$3="",C141="",D141=""),"",IF(SUMPRODUCT(('GLASS OFFCUTS LIST'!$D$2:$D$298=UPPER(TRIM(SUBSTITUTE(SUBSTITUTE($C$3,"   "," "),"  "," "))))*((('GLASS OFFCUTS LIST'!$A$2:$A$298&gt;=C141)*('GLASS OFFCUTS LIST'!$B$2:$B$298&gt;=D141))+(N(OR(E141=TRUE(),E141="Y",E141="y",E141="YES",E141="Yes"))*(('GLASS OFFCUTS LIST'!$A$2:$A$298&gt;=D141)*('GLASS OFFCUTS LIST'!$B$2:$B$298&gt;=C141)))&gt;0))&gt;0,1,0))</f>
        <v/>
      </c>
      <c r="H141" t="str">
        <f>IF(G141="","",SUM($G$7:G141))</f>
        <v/>
      </c>
    </row>
    <row r="142" spans="1:8" x14ac:dyDescent="0.2">
      <c r="A142" s="3">
        <v>136</v>
      </c>
      <c r="B142" s="4"/>
      <c r="C142" s="3"/>
      <c r="D142" s="3"/>
      <c r="E142" s="4"/>
      <c r="F142" s="4" t="str">
        <f>IF(OR($C$3="",C142="",D142=""),"",IF(G142=0,"NO",IF(H142&lt;=SUMPRODUCT(('GLASS OFFCUTS LIST'!$D$2:$D$298=UPPER(TRIM(SUBSTITUTE(SUBSTITUTE($C$3,"   "," "),"  "," "))))*((('GLASS OFFCUTS LIST'!$A$2:$A$298&gt;=C142)*('GLASS OFFCUTS LIST'!$B$2:$B$298&gt;=D142))+(N(OR(E142=TRUE(),E142="Y",E142="y",E142="YES",E142="Yes"))*(('GLASS OFFCUTS LIST'!$A$2:$A$298&gt;=D142)*('GLASS OFFCUTS LIST'!$B$2:$B$298&gt;=C142)))&gt;0)),"YES","NO")))</f>
        <v/>
      </c>
      <c r="G142" t="str">
        <f>IF(OR($C$3="",C142="",D142=""),"",IF(SUMPRODUCT(('GLASS OFFCUTS LIST'!$D$2:$D$298=UPPER(TRIM(SUBSTITUTE(SUBSTITUTE($C$3,"   "," "),"  "," "))))*((('GLASS OFFCUTS LIST'!$A$2:$A$298&gt;=C142)*('GLASS OFFCUTS LIST'!$B$2:$B$298&gt;=D142))+(N(OR(E142=TRUE(),E142="Y",E142="y",E142="YES",E142="Yes"))*(('GLASS OFFCUTS LIST'!$A$2:$A$298&gt;=D142)*('GLASS OFFCUTS LIST'!$B$2:$B$298&gt;=C142)))&gt;0))&gt;0,1,0))</f>
        <v/>
      </c>
      <c r="H142" t="str">
        <f>IF(G142="","",SUM($G$7:G142))</f>
        <v/>
      </c>
    </row>
    <row r="143" spans="1:8" x14ac:dyDescent="0.2">
      <c r="A143" s="3">
        <v>137</v>
      </c>
      <c r="B143" s="4"/>
      <c r="C143" s="3"/>
      <c r="D143" s="3"/>
      <c r="E143" s="4"/>
      <c r="F143" s="4" t="str">
        <f>IF(OR($C$3="",C143="",D143=""),"",IF(G143=0,"NO",IF(H143&lt;=SUMPRODUCT(('GLASS OFFCUTS LIST'!$D$2:$D$298=UPPER(TRIM(SUBSTITUTE(SUBSTITUTE($C$3,"   "," "),"  "," "))))*((('GLASS OFFCUTS LIST'!$A$2:$A$298&gt;=C143)*('GLASS OFFCUTS LIST'!$B$2:$B$298&gt;=D143))+(N(OR(E143=TRUE(),E143="Y",E143="y",E143="YES",E143="Yes"))*(('GLASS OFFCUTS LIST'!$A$2:$A$298&gt;=D143)*('GLASS OFFCUTS LIST'!$B$2:$B$298&gt;=C143)))&gt;0)),"YES","NO")))</f>
        <v/>
      </c>
      <c r="G143" t="str">
        <f>IF(OR($C$3="",C143="",D143=""),"",IF(SUMPRODUCT(('GLASS OFFCUTS LIST'!$D$2:$D$298=UPPER(TRIM(SUBSTITUTE(SUBSTITUTE($C$3,"   "," "),"  "," "))))*((('GLASS OFFCUTS LIST'!$A$2:$A$298&gt;=C143)*('GLASS OFFCUTS LIST'!$B$2:$B$298&gt;=D143))+(N(OR(E143=TRUE(),E143="Y",E143="y",E143="YES",E143="Yes"))*(('GLASS OFFCUTS LIST'!$A$2:$A$298&gt;=D143)*('GLASS OFFCUTS LIST'!$B$2:$B$298&gt;=C143)))&gt;0))&gt;0,1,0))</f>
        <v/>
      </c>
      <c r="H143" t="str">
        <f>IF(G143="","",SUM($G$7:G143))</f>
        <v/>
      </c>
    </row>
    <row r="144" spans="1:8" x14ac:dyDescent="0.2">
      <c r="A144" s="3">
        <v>138</v>
      </c>
      <c r="B144" s="4"/>
      <c r="C144" s="3"/>
      <c r="D144" s="3"/>
      <c r="E144" s="4"/>
      <c r="F144" s="4" t="str">
        <f>IF(OR($C$3="",C144="",D144=""),"",IF(G144=0,"NO",IF(H144&lt;=SUMPRODUCT(('GLASS OFFCUTS LIST'!$D$2:$D$298=UPPER(TRIM(SUBSTITUTE(SUBSTITUTE($C$3,"   "," "),"  "," "))))*((('GLASS OFFCUTS LIST'!$A$2:$A$298&gt;=C144)*('GLASS OFFCUTS LIST'!$B$2:$B$298&gt;=D144))+(N(OR(E144=TRUE(),E144="Y",E144="y",E144="YES",E144="Yes"))*(('GLASS OFFCUTS LIST'!$A$2:$A$298&gt;=D144)*('GLASS OFFCUTS LIST'!$B$2:$B$298&gt;=C144)))&gt;0)),"YES","NO")))</f>
        <v/>
      </c>
      <c r="G144" t="str">
        <f>IF(OR($C$3="",C144="",D144=""),"",IF(SUMPRODUCT(('GLASS OFFCUTS LIST'!$D$2:$D$298=UPPER(TRIM(SUBSTITUTE(SUBSTITUTE($C$3,"   "," "),"  "," "))))*((('GLASS OFFCUTS LIST'!$A$2:$A$298&gt;=C144)*('GLASS OFFCUTS LIST'!$B$2:$B$298&gt;=D144))+(N(OR(E144=TRUE(),E144="Y",E144="y",E144="YES",E144="Yes"))*(('GLASS OFFCUTS LIST'!$A$2:$A$298&gt;=D144)*('GLASS OFFCUTS LIST'!$B$2:$B$298&gt;=C144)))&gt;0))&gt;0,1,0))</f>
        <v/>
      </c>
      <c r="H144" t="str">
        <f>IF(G144="","",SUM($G$7:G144))</f>
        <v/>
      </c>
    </row>
    <row r="145" spans="1:8" x14ac:dyDescent="0.2">
      <c r="A145" s="3">
        <v>139</v>
      </c>
      <c r="B145" s="4"/>
      <c r="C145" s="3"/>
      <c r="D145" s="3"/>
      <c r="E145" s="4"/>
      <c r="F145" s="4" t="str">
        <f>IF(OR($C$3="",C145="",D145=""),"",IF(G145=0,"NO",IF(H145&lt;=SUMPRODUCT(('GLASS OFFCUTS LIST'!$D$2:$D$298=UPPER(TRIM(SUBSTITUTE(SUBSTITUTE($C$3,"   "," "),"  "," "))))*((('GLASS OFFCUTS LIST'!$A$2:$A$298&gt;=C145)*('GLASS OFFCUTS LIST'!$B$2:$B$298&gt;=D145))+(N(OR(E145=TRUE(),E145="Y",E145="y",E145="YES",E145="Yes"))*(('GLASS OFFCUTS LIST'!$A$2:$A$298&gt;=D145)*('GLASS OFFCUTS LIST'!$B$2:$B$298&gt;=C145)))&gt;0)),"YES","NO")))</f>
        <v/>
      </c>
      <c r="G145" t="str">
        <f>IF(OR($C$3="",C145="",D145=""),"",IF(SUMPRODUCT(('GLASS OFFCUTS LIST'!$D$2:$D$298=UPPER(TRIM(SUBSTITUTE(SUBSTITUTE($C$3,"   "," "),"  "," "))))*((('GLASS OFFCUTS LIST'!$A$2:$A$298&gt;=C145)*('GLASS OFFCUTS LIST'!$B$2:$B$298&gt;=D145))+(N(OR(E145=TRUE(),E145="Y",E145="y",E145="YES",E145="Yes"))*(('GLASS OFFCUTS LIST'!$A$2:$A$298&gt;=D145)*('GLASS OFFCUTS LIST'!$B$2:$B$298&gt;=C145)))&gt;0))&gt;0,1,0))</f>
        <v/>
      </c>
      <c r="H145" t="str">
        <f>IF(G145="","",SUM($G$7:G145))</f>
        <v/>
      </c>
    </row>
    <row r="146" spans="1:8" x14ac:dyDescent="0.2">
      <c r="A146" s="3">
        <v>140</v>
      </c>
      <c r="B146" s="4"/>
      <c r="C146" s="3"/>
      <c r="D146" s="3"/>
      <c r="E146" s="4"/>
      <c r="F146" s="4" t="str">
        <f>IF(OR($C$3="",C146="",D146=""),"",IF(G146=0,"NO",IF(H146&lt;=SUMPRODUCT(('GLASS OFFCUTS LIST'!$D$2:$D$298=UPPER(TRIM(SUBSTITUTE(SUBSTITUTE($C$3,"   "," "),"  "," "))))*((('GLASS OFFCUTS LIST'!$A$2:$A$298&gt;=C146)*('GLASS OFFCUTS LIST'!$B$2:$B$298&gt;=D146))+(N(OR(E146=TRUE(),E146="Y",E146="y",E146="YES",E146="Yes"))*(('GLASS OFFCUTS LIST'!$A$2:$A$298&gt;=D146)*('GLASS OFFCUTS LIST'!$B$2:$B$298&gt;=C146)))&gt;0)),"YES","NO")))</f>
        <v/>
      </c>
      <c r="G146" t="str">
        <f>IF(OR($C$3="",C146="",D146=""),"",IF(SUMPRODUCT(('GLASS OFFCUTS LIST'!$D$2:$D$298=UPPER(TRIM(SUBSTITUTE(SUBSTITUTE($C$3,"   "," "),"  "," "))))*((('GLASS OFFCUTS LIST'!$A$2:$A$298&gt;=C146)*('GLASS OFFCUTS LIST'!$B$2:$B$298&gt;=D146))+(N(OR(E146=TRUE(),E146="Y",E146="y",E146="YES",E146="Yes"))*(('GLASS OFFCUTS LIST'!$A$2:$A$298&gt;=D146)*('GLASS OFFCUTS LIST'!$B$2:$B$298&gt;=C146)))&gt;0))&gt;0,1,0))</f>
        <v/>
      </c>
      <c r="H146" t="str">
        <f>IF(G146="","",SUM($G$7:G146))</f>
        <v/>
      </c>
    </row>
    <row r="147" spans="1:8" x14ac:dyDescent="0.2">
      <c r="A147" s="3">
        <v>141</v>
      </c>
      <c r="B147" s="4"/>
      <c r="C147" s="3"/>
      <c r="D147" s="3"/>
      <c r="E147" s="4"/>
      <c r="F147" s="4" t="str">
        <f>IF(OR($C$3="",C147="",D147=""),"",IF(G147=0,"NO",IF(H147&lt;=SUMPRODUCT(('GLASS OFFCUTS LIST'!$D$2:$D$298=UPPER(TRIM(SUBSTITUTE(SUBSTITUTE($C$3,"   "," "),"  "," "))))*((('GLASS OFFCUTS LIST'!$A$2:$A$298&gt;=C147)*('GLASS OFFCUTS LIST'!$B$2:$B$298&gt;=D147))+(N(OR(E147=TRUE(),E147="Y",E147="y",E147="YES",E147="Yes"))*(('GLASS OFFCUTS LIST'!$A$2:$A$298&gt;=D147)*('GLASS OFFCUTS LIST'!$B$2:$B$298&gt;=C147)))&gt;0)),"YES","NO")))</f>
        <v/>
      </c>
      <c r="G147" t="str">
        <f>IF(OR($C$3="",C147="",D147=""),"",IF(SUMPRODUCT(('GLASS OFFCUTS LIST'!$D$2:$D$298=UPPER(TRIM(SUBSTITUTE(SUBSTITUTE($C$3,"   "," "),"  "," "))))*((('GLASS OFFCUTS LIST'!$A$2:$A$298&gt;=C147)*('GLASS OFFCUTS LIST'!$B$2:$B$298&gt;=D147))+(N(OR(E147=TRUE(),E147="Y",E147="y",E147="YES",E147="Yes"))*(('GLASS OFFCUTS LIST'!$A$2:$A$298&gt;=D147)*('GLASS OFFCUTS LIST'!$B$2:$B$298&gt;=C147)))&gt;0))&gt;0,1,0))</f>
        <v/>
      </c>
      <c r="H147" t="str">
        <f>IF(G147="","",SUM($G$7:G147))</f>
        <v/>
      </c>
    </row>
    <row r="148" spans="1:8" x14ac:dyDescent="0.2">
      <c r="A148" s="3">
        <v>142</v>
      </c>
      <c r="B148" s="4"/>
      <c r="C148" s="3"/>
      <c r="D148" s="3"/>
      <c r="E148" s="4"/>
      <c r="F148" s="4" t="str">
        <f>IF(OR($C$3="",C148="",D148=""),"",IF(G148=0,"NO",IF(H148&lt;=SUMPRODUCT(('GLASS OFFCUTS LIST'!$D$2:$D$298=UPPER(TRIM(SUBSTITUTE(SUBSTITUTE($C$3,"   "," "),"  "," "))))*((('GLASS OFFCUTS LIST'!$A$2:$A$298&gt;=C148)*('GLASS OFFCUTS LIST'!$B$2:$B$298&gt;=D148))+(N(OR(E148=TRUE(),E148="Y",E148="y",E148="YES",E148="Yes"))*(('GLASS OFFCUTS LIST'!$A$2:$A$298&gt;=D148)*('GLASS OFFCUTS LIST'!$B$2:$B$298&gt;=C148)))&gt;0)),"YES","NO")))</f>
        <v/>
      </c>
      <c r="G148" t="str">
        <f>IF(OR($C$3="",C148="",D148=""),"",IF(SUMPRODUCT(('GLASS OFFCUTS LIST'!$D$2:$D$298=UPPER(TRIM(SUBSTITUTE(SUBSTITUTE($C$3,"   "," "),"  "," "))))*((('GLASS OFFCUTS LIST'!$A$2:$A$298&gt;=C148)*('GLASS OFFCUTS LIST'!$B$2:$B$298&gt;=D148))+(N(OR(E148=TRUE(),E148="Y",E148="y",E148="YES",E148="Yes"))*(('GLASS OFFCUTS LIST'!$A$2:$A$298&gt;=D148)*('GLASS OFFCUTS LIST'!$B$2:$B$298&gt;=C148)))&gt;0))&gt;0,1,0))</f>
        <v/>
      </c>
      <c r="H148" t="str">
        <f>IF(G148="","",SUM($G$7:G148))</f>
        <v/>
      </c>
    </row>
    <row r="149" spans="1:8" x14ac:dyDescent="0.2">
      <c r="A149" s="3">
        <v>143</v>
      </c>
      <c r="B149" s="4"/>
      <c r="C149" s="3"/>
      <c r="D149" s="3"/>
      <c r="E149" s="4"/>
      <c r="F149" s="4" t="str">
        <f>IF(OR($C$3="",C149="",D149=""),"",IF(G149=0,"NO",IF(H149&lt;=SUMPRODUCT(('GLASS OFFCUTS LIST'!$D$2:$D$298=UPPER(TRIM(SUBSTITUTE(SUBSTITUTE($C$3,"   "," "),"  "," "))))*((('GLASS OFFCUTS LIST'!$A$2:$A$298&gt;=C149)*('GLASS OFFCUTS LIST'!$B$2:$B$298&gt;=D149))+(N(OR(E149=TRUE(),E149="Y",E149="y",E149="YES",E149="Yes"))*(('GLASS OFFCUTS LIST'!$A$2:$A$298&gt;=D149)*('GLASS OFFCUTS LIST'!$B$2:$B$298&gt;=C149)))&gt;0)),"YES","NO")))</f>
        <v/>
      </c>
      <c r="G149" t="str">
        <f>IF(OR($C$3="",C149="",D149=""),"",IF(SUMPRODUCT(('GLASS OFFCUTS LIST'!$D$2:$D$298=UPPER(TRIM(SUBSTITUTE(SUBSTITUTE($C$3,"   "," "),"  "," "))))*((('GLASS OFFCUTS LIST'!$A$2:$A$298&gt;=C149)*('GLASS OFFCUTS LIST'!$B$2:$B$298&gt;=D149))+(N(OR(E149=TRUE(),E149="Y",E149="y",E149="YES",E149="Yes"))*(('GLASS OFFCUTS LIST'!$A$2:$A$298&gt;=D149)*('GLASS OFFCUTS LIST'!$B$2:$B$298&gt;=C149)))&gt;0))&gt;0,1,0))</f>
        <v/>
      </c>
      <c r="H149" t="str">
        <f>IF(G149="","",SUM($G$7:G149))</f>
        <v/>
      </c>
    </row>
    <row r="150" spans="1:8" x14ac:dyDescent="0.2">
      <c r="A150" s="3">
        <v>144</v>
      </c>
      <c r="B150" s="4"/>
      <c r="C150" s="3"/>
      <c r="D150" s="3"/>
      <c r="E150" s="4"/>
      <c r="F150" s="4" t="str">
        <f>IF(OR($C$3="",C150="",D150=""),"",IF(G150=0,"NO",IF(H150&lt;=SUMPRODUCT(('GLASS OFFCUTS LIST'!$D$2:$D$298=UPPER(TRIM(SUBSTITUTE(SUBSTITUTE($C$3,"   "," "),"  "," "))))*((('GLASS OFFCUTS LIST'!$A$2:$A$298&gt;=C150)*('GLASS OFFCUTS LIST'!$B$2:$B$298&gt;=D150))+(N(OR(E150=TRUE(),E150="Y",E150="y",E150="YES",E150="Yes"))*(('GLASS OFFCUTS LIST'!$A$2:$A$298&gt;=D150)*('GLASS OFFCUTS LIST'!$B$2:$B$298&gt;=C150)))&gt;0)),"YES","NO")))</f>
        <v/>
      </c>
      <c r="G150" t="str">
        <f>IF(OR($C$3="",C150="",D150=""),"",IF(SUMPRODUCT(('GLASS OFFCUTS LIST'!$D$2:$D$298=UPPER(TRIM(SUBSTITUTE(SUBSTITUTE($C$3,"   "," "),"  "," "))))*((('GLASS OFFCUTS LIST'!$A$2:$A$298&gt;=C150)*('GLASS OFFCUTS LIST'!$B$2:$B$298&gt;=D150))+(N(OR(E150=TRUE(),E150="Y",E150="y",E150="YES",E150="Yes"))*(('GLASS OFFCUTS LIST'!$A$2:$A$298&gt;=D150)*('GLASS OFFCUTS LIST'!$B$2:$B$298&gt;=C150)))&gt;0))&gt;0,1,0))</f>
        <v/>
      </c>
      <c r="H150" t="str">
        <f>IF(G150="","",SUM($G$7:G150))</f>
        <v/>
      </c>
    </row>
    <row r="151" spans="1:8" x14ac:dyDescent="0.2">
      <c r="A151" s="3">
        <v>145</v>
      </c>
      <c r="B151" s="4"/>
      <c r="C151" s="3"/>
      <c r="D151" s="3"/>
      <c r="E151" s="4"/>
      <c r="F151" s="4" t="str">
        <f>IF(OR($C$3="",C151="",D151=""),"",IF(G151=0,"NO",IF(H151&lt;=SUMPRODUCT(('GLASS OFFCUTS LIST'!$D$2:$D$298=UPPER(TRIM(SUBSTITUTE(SUBSTITUTE($C$3,"   "," "),"  "," "))))*((('GLASS OFFCUTS LIST'!$A$2:$A$298&gt;=C151)*('GLASS OFFCUTS LIST'!$B$2:$B$298&gt;=D151))+(N(OR(E151=TRUE(),E151="Y",E151="y",E151="YES",E151="Yes"))*(('GLASS OFFCUTS LIST'!$A$2:$A$298&gt;=D151)*('GLASS OFFCUTS LIST'!$B$2:$B$298&gt;=C151)))&gt;0)),"YES","NO")))</f>
        <v/>
      </c>
      <c r="G151" t="str">
        <f>IF(OR($C$3="",C151="",D151=""),"",IF(SUMPRODUCT(('GLASS OFFCUTS LIST'!$D$2:$D$298=UPPER(TRIM(SUBSTITUTE(SUBSTITUTE($C$3,"   "," "),"  "," "))))*((('GLASS OFFCUTS LIST'!$A$2:$A$298&gt;=C151)*('GLASS OFFCUTS LIST'!$B$2:$B$298&gt;=D151))+(N(OR(E151=TRUE(),E151="Y",E151="y",E151="YES",E151="Yes"))*(('GLASS OFFCUTS LIST'!$A$2:$A$298&gt;=D151)*('GLASS OFFCUTS LIST'!$B$2:$B$298&gt;=C151)))&gt;0))&gt;0,1,0))</f>
        <v/>
      </c>
      <c r="H151" t="str">
        <f>IF(G151="","",SUM($G$7:G151))</f>
        <v/>
      </c>
    </row>
    <row r="152" spans="1:8" x14ac:dyDescent="0.2">
      <c r="A152" s="3">
        <v>146</v>
      </c>
      <c r="B152" s="4"/>
      <c r="C152" s="3"/>
      <c r="D152" s="3"/>
      <c r="E152" s="4"/>
      <c r="F152" s="4" t="str">
        <f>IF(OR($C$3="",C152="",D152=""),"",IF(G152=0,"NO",IF(H152&lt;=SUMPRODUCT(('GLASS OFFCUTS LIST'!$D$2:$D$298=UPPER(TRIM(SUBSTITUTE(SUBSTITUTE($C$3,"   "," "),"  "," "))))*((('GLASS OFFCUTS LIST'!$A$2:$A$298&gt;=C152)*('GLASS OFFCUTS LIST'!$B$2:$B$298&gt;=D152))+(N(OR(E152=TRUE(),E152="Y",E152="y",E152="YES",E152="Yes"))*(('GLASS OFFCUTS LIST'!$A$2:$A$298&gt;=D152)*('GLASS OFFCUTS LIST'!$B$2:$B$298&gt;=C152)))&gt;0)),"YES","NO")))</f>
        <v/>
      </c>
      <c r="G152" t="str">
        <f>IF(OR($C$3="",C152="",D152=""),"",IF(SUMPRODUCT(('GLASS OFFCUTS LIST'!$D$2:$D$298=UPPER(TRIM(SUBSTITUTE(SUBSTITUTE($C$3,"   "," "),"  "," "))))*((('GLASS OFFCUTS LIST'!$A$2:$A$298&gt;=C152)*('GLASS OFFCUTS LIST'!$B$2:$B$298&gt;=D152))+(N(OR(E152=TRUE(),E152="Y",E152="y",E152="YES",E152="Yes"))*(('GLASS OFFCUTS LIST'!$A$2:$A$298&gt;=D152)*('GLASS OFFCUTS LIST'!$B$2:$B$298&gt;=C152)))&gt;0))&gt;0,1,0))</f>
        <v/>
      </c>
      <c r="H152" t="str">
        <f>IF(G152="","",SUM($G$7:G152))</f>
        <v/>
      </c>
    </row>
    <row r="153" spans="1:8" x14ac:dyDescent="0.2">
      <c r="A153" s="3">
        <v>147</v>
      </c>
      <c r="B153" s="4"/>
      <c r="C153" s="3"/>
      <c r="D153" s="3"/>
      <c r="E153" s="4"/>
      <c r="F153" s="4" t="str">
        <f>IF(OR($C$3="",C153="",D153=""),"",IF(G153=0,"NO",IF(H153&lt;=SUMPRODUCT(('GLASS OFFCUTS LIST'!$D$2:$D$298=UPPER(TRIM(SUBSTITUTE(SUBSTITUTE($C$3,"   "," "),"  "," "))))*((('GLASS OFFCUTS LIST'!$A$2:$A$298&gt;=C153)*('GLASS OFFCUTS LIST'!$B$2:$B$298&gt;=D153))+(N(OR(E153=TRUE(),E153="Y",E153="y",E153="YES",E153="Yes"))*(('GLASS OFFCUTS LIST'!$A$2:$A$298&gt;=D153)*('GLASS OFFCUTS LIST'!$B$2:$B$298&gt;=C153)))&gt;0)),"YES","NO")))</f>
        <v/>
      </c>
      <c r="G153" t="str">
        <f>IF(OR($C$3="",C153="",D153=""),"",IF(SUMPRODUCT(('GLASS OFFCUTS LIST'!$D$2:$D$298=UPPER(TRIM(SUBSTITUTE(SUBSTITUTE($C$3,"   "," "),"  "," "))))*((('GLASS OFFCUTS LIST'!$A$2:$A$298&gt;=C153)*('GLASS OFFCUTS LIST'!$B$2:$B$298&gt;=D153))+(N(OR(E153=TRUE(),E153="Y",E153="y",E153="YES",E153="Yes"))*(('GLASS OFFCUTS LIST'!$A$2:$A$298&gt;=D153)*('GLASS OFFCUTS LIST'!$B$2:$B$298&gt;=C153)))&gt;0))&gt;0,1,0))</f>
        <v/>
      </c>
      <c r="H153" t="str">
        <f>IF(G153="","",SUM($G$7:G153))</f>
        <v/>
      </c>
    </row>
    <row r="154" spans="1:8" x14ac:dyDescent="0.2">
      <c r="A154" s="3">
        <v>148</v>
      </c>
      <c r="B154" s="4"/>
      <c r="C154" s="3"/>
      <c r="D154" s="3"/>
      <c r="E154" s="4"/>
      <c r="F154" s="4" t="str">
        <f>IF(OR($C$3="",C154="",D154=""),"",IF(G154=0,"NO",IF(H154&lt;=SUMPRODUCT(('GLASS OFFCUTS LIST'!$D$2:$D$298=UPPER(TRIM(SUBSTITUTE(SUBSTITUTE($C$3,"   "," "),"  "," "))))*((('GLASS OFFCUTS LIST'!$A$2:$A$298&gt;=C154)*('GLASS OFFCUTS LIST'!$B$2:$B$298&gt;=D154))+(N(OR(E154=TRUE(),E154="Y",E154="y",E154="YES",E154="Yes"))*(('GLASS OFFCUTS LIST'!$A$2:$A$298&gt;=D154)*('GLASS OFFCUTS LIST'!$B$2:$B$298&gt;=C154)))&gt;0)),"YES","NO")))</f>
        <v/>
      </c>
      <c r="G154" t="str">
        <f>IF(OR($C$3="",C154="",D154=""),"",IF(SUMPRODUCT(('GLASS OFFCUTS LIST'!$D$2:$D$298=UPPER(TRIM(SUBSTITUTE(SUBSTITUTE($C$3,"   "," "),"  "," "))))*((('GLASS OFFCUTS LIST'!$A$2:$A$298&gt;=C154)*('GLASS OFFCUTS LIST'!$B$2:$B$298&gt;=D154))+(N(OR(E154=TRUE(),E154="Y",E154="y",E154="YES",E154="Yes"))*(('GLASS OFFCUTS LIST'!$A$2:$A$298&gt;=D154)*('GLASS OFFCUTS LIST'!$B$2:$B$298&gt;=C154)))&gt;0))&gt;0,1,0))</f>
        <v/>
      </c>
      <c r="H154" t="str">
        <f>IF(G154="","",SUM($G$7:G154))</f>
        <v/>
      </c>
    </row>
    <row r="155" spans="1:8" x14ac:dyDescent="0.2">
      <c r="A155" s="3">
        <v>149</v>
      </c>
      <c r="B155" s="4"/>
      <c r="C155" s="3"/>
      <c r="D155" s="3"/>
      <c r="E155" s="4"/>
      <c r="F155" s="4" t="str">
        <f>IF(OR($C$3="",C155="",D155=""),"",IF(G155=0,"NO",IF(H155&lt;=SUMPRODUCT(('GLASS OFFCUTS LIST'!$D$2:$D$298=UPPER(TRIM(SUBSTITUTE(SUBSTITUTE($C$3,"   "," "),"  "," "))))*((('GLASS OFFCUTS LIST'!$A$2:$A$298&gt;=C155)*('GLASS OFFCUTS LIST'!$B$2:$B$298&gt;=D155))+(N(OR(E155=TRUE(),E155="Y",E155="y",E155="YES",E155="Yes"))*(('GLASS OFFCUTS LIST'!$A$2:$A$298&gt;=D155)*('GLASS OFFCUTS LIST'!$B$2:$B$298&gt;=C155)))&gt;0)),"YES","NO")))</f>
        <v/>
      </c>
      <c r="G155" t="str">
        <f>IF(OR($C$3="",C155="",D155=""),"",IF(SUMPRODUCT(('GLASS OFFCUTS LIST'!$D$2:$D$298=UPPER(TRIM(SUBSTITUTE(SUBSTITUTE($C$3,"   "," "),"  "," "))))*((('GLASS OFFCUTS LIST'!$A$2:$A$298&gt;=C155)*('GLASS OFFCUTS LIST'!$B$2:$B$298&gt;=D155))+(N(OR(E155=TRUE(),E155="Y",E155="y",E155="YES",E155="Yes"))*(('GLASS OFFCUTS LIST'!$A$2:$A$298&gt;=D155)*('GLASS OFFCUTS LIST'!$B$2:$B$298&gt;=C155)))&gt;0))&gt;0,1,0))</f>
        <v/>
      </c>
      <c r="H155" t="str">
        <f>IF(G155="","",SUM($G$7:G155))</f>
        <v/>
      </c>
    </row>
    <row r="156" spans="1:8" x14ac:dyDescent="0.2">
      <c r="A156" s="3">
        <v>150</v>
      </c>
      <c r="B156" s="4"/>
      <c r="C156" s="3"/>
      <c r="D156" s="3"/>
      <c r="E156" s="4"/>
      <c r="F156" s="4" t="str">
        <f>IF(OR($C$3="",C156="",D156=""),"",IF(G156=0,"NO",IF(H156&lt;=SUMPRODUCT(('GLASS OFFCUTS LIST'!$D$2:$D$298=UPPER(TRIM(SUBSTITUTE(SUBSTITUTE($C$3,"   "," "),"  "," "))))*((('GLASS OFFCUTS LIST'!$A$2:$A$298&gt;=C156)*('GLASS OFFCUTS LIST'!$B$2:$B$298&gt;=D156))+(N(OR(E156=TRUE(),E156="Y",E156="y",E156="YES",E156="Yes"))*(('GLASS OFFCUTS LIST'!$A$2:$A$298&gt;=D156)*('GLASS OFFCUTS LIST'!$B$2:$B$298&gt;=C156)))&gt;0)),"YES","NO")))</f>
        <v/>
      </c>
      <c r="G156" t="str">
        <f>IF(OR($C$3="",C156="",D156=""),"",IF(SUMPRODUCT(('GLASS OFFCUTS LIST'!$D$2:$D$298=UPPER(TRIM(SUBSTITUTE(SUBSTITUTE($C$3,"   "," "),"  "," "))))*((('GLASS OFFCUTS LIST'!$A$2:$A$298&gt;=C156)*('GLASS OFFCUTS LIST'!$B$2:$B$298&gt;=D156))+(N(OR(E156=TRUE(),E156="Y",E156="y",E156="YES",E156="Yes"))*(('GLASS OFFCUTS LIST'!$A$2:$A$298&gt;=D156)*('GLASS OFFCUTS LIST'!$B$2:$B$298&gt;=C156)))&gt;0))&gt;0,1,0))</f>
        <v/>
      </c>
      <c r="H156" t="str">
        <f>IF(G156="","",SUM($G$7:G156))</f>
        <v/>
      </c>
    </row>
    <row r="157" spans="1:8" x14ac:dyDescent="0.2">
      <c r="A157" s="3">
        <v>151</v>
      </c>
      <c r="B157" s="4"/>
      <c r="C157" s="3"/>
      <c r="D157" s="3"/>
      <c r="E157" s="4"/>
      <c r="F157" s="4" t="str">
        <f>IF(OR($C$3="",C157="",D157=""),"",IF(G157=0,"NO",IF(H157&lt;=SUMPRODUCT(('GLASS OFFCUTS LIST'!$D$2:$D$298=UPPER(TRIM(SUBSTITUTE(SUBSTITUTE($C$3,"   "," "),"  "," "))))*((('GLASS OFFCUTS LIST'!$A$2:$A$298&gt;=C157)*('GLASS OFFCUTS LIST'!$B$2:$B$298&gt;=D157))+(N(OR(E157=TRUE(),E157="Y",E157="y",E157="YES",E157="Yes"))*(('GLASS OFFCUTS LIST'!$A$2:$A$298&gt;=D157)*('GLASS OFFCUTS LIST'!$B$2:$B$298&gt;=C157)))&gt;0)),"YES","NO")))</f>
        <v/>
      </c>
      <c r="G157" t="str">
        <f>IF(OR($C$3="",C157="",D157=""),"",IF(SUMPRODUCT(('GLASS OFFCUTS LIST'!$D$2:$D$298=UPPER(TRIM(SUBSTITUTE(SUBSTITUTE($C$3,"   "," "),"  "," "))))*((('GLASS OFFCUTS LIST'!$A$2:$A$298&gt;=C157)*('GLASS OFFCUTS LIST'!$B$2:$B$298&gt;=D157))+(N(OR(E157=TRUE(),E157="Y",E157="y",E157="YES",E157="Yes"))*(('GLASS OFFCUTS LIST'!$A$2:$A$298&gt;=D157)*('GLASS OFFCUTS LIST'!$B$2:$B$298&gt;=C157)))&gt;0))&gt;0,1,0))</f>
        <v/>
      </c>
      <c r="H157" t="str">
        <f>IF(G157="","",SUM($G$7:G157))</f>
        <v/>
      </c>
    </row>
    <row r="158" spans="1:8" x14ac:dyDescent="0.2">
      <c r="A158" s="3">
        <v>152</v>
      </c>
      <c r="B158" s="4"/>
      <c r="C158" s="3"/>
      <c r="D158" s="3"/>
      <c r="E158" s="4"/>
      <c r="F158" s="4" t="str">
        <f>IF(OR($C$3="",C158="",D158=""),"",IF(G158=0,"NO",IF(H158&lt;=SUMPRODUCT(('GLASS OFFCUTS LIST'!$D$2:$D$298=UPPER(TRIM(SUBSTITUTE(SUBSTITUTE($C$3,"   "," "),"  "," "))))*((('GLASS OFFCUTS LIST'!$A$2:$A$298&gt;=C158)*('GLASS OFFCUTS LIST'!$B$2:$B$298&gt;=D158))+(N(OR(E158=TRUE(),E158="Y",E158="y",E158="YES",E158="Yes"))*(('GLASS OFFCUTS LIST'!$A$2:$A$298&gt;=D158)*('GLASS OFFCUTS LIST'!$B$2:$B$298&gt;=C158)))&gt;0)),"YES","NO")))</f>
        <v/>
      </c>
      <c r="G158" t="str">
        <f>IF(OR($C$3="",C158="",D158=""),"",IF(SUMPRODUCT(('GLASS OFFCUTS LIST'!$D$2:$D$298=UPPER(TRIM(SUBSTITUTE(SUBSTITUTE($C$3,"   "," "),"  "," "))))*((('GLASS OFFCUTS LIST'!$A$2:$A$298&gt;=C158)*('GLASS OFFCUTS LIST'!$B$2:$B$298&gt;=D158))+(N(OR(E158=TRUE(),E158="Y",E158="y",E158="YES",E158="Yes"))*(('GLASS OFFCUTS LIST'!$A$2:$A$298&gt;=D158)*('GLASS OFFCUTS LIST'!$B$2:$B$298&gt;=C158)))&gt;0))&gt;0,1,0))</f>
        <v/>
      </c>
      <c r="H158" t="str">
        <f>IF(G158="","",SUM($G$7:G158))</f>
        <v/>
      </c>
    </row>
    <row r="159" spans="1:8" x14ac:dyDescent="0.2">
      <c r="A159" s="3">
        <v>153</v>
      </c>
      <c r="B159" s="4"/>
      <c r="C159" s="3"/>
      <c r="D159" s="3"/>
      <c r="E159" s="4"/>
      <c r="F159" s="4" t="str">
        <f>IF(OR($C$3="",C159="",D159=""),"",IF(G159=0,"NO",IF(H159&lt;=SUMPRODUCT(('GLASS OFFCUTS LIST'!$D$2:$D$298=UPPER(TRIM(SUBSTITUTE(SUBSTITUTE($C$3,"   "," "),"  "," "))))*((('GLASS OFFCUTS LIST'!$A$2:$A$298&gt;=C159)*('GLASS OFFCUTS LIST'!$B$2:$B$298&gt;=D159))+(N(OR(E159=TRUE(),E159="Y",E159="y",E159="YES",E159="Yes"))*(('GLASS OFFCUTS LIST'!$A$2:$A$298&gt;=D159)*('GLASS OFFCUTS LIST'!$B$2:$B$298&gt;=C159)))&gt;0)),"YES","NO")))</f>
        <v/>
      </c>
      <c r="G159" t="str">
        <f>IF(OR($C$3="",C159="",D159=""),"",IF(SUMPRODUCT(('GLASS OFFCUTS LIST'!$D$2:$D$298=UPPER(TRIM(SUBSTITUTE(SUBSTITUTE($C$3,"   "," "),"  "," "))))*((('GLASS OFFCUTS LIST'!$A$2:$A$298&gt;=C159)*('GLASS OFFCUTS LIST'!$B$2:$B$298&gt;=D159))+(N(OR(E159=TRUE(),E159="Y",E159="y",E159="YES",E159="Yes"))*(('GLASS OFFCUTS LIST'!$A$2:$A$298&gt;=D159)*('GLASS OFFCUTS LIST'!$B$2:$B$298&gt;=C159)))&gt;0))&gt;0,1,0))</f>
        <v/>
      </c>
      <c r="H159" t="str">
        <f>IF(G159="","",SUM($G$7:G159))</f>
        <v/>
      </c>
    </row>
    <row r="160" spans="1:8" x14ac:dyDescent="0.2">
      <c r="A160" s="3">
        <v>154</v>
      </c>
      <c r="B160" s="4"/>
      <c r="C160" s="3"/>
      <c r="D160" s="3"/>
      <c r="E160" s="4"/>
      <c r="F160" s="4" t="str">
        <f>IF(OR($C$3="",C160="",D160=""),"",IF(G160=0,"NO",IF(H160&lt;=SUMPRODUCT(('GLASS OFFCUTS LIST'!$D$2:$D$298=UPPER(TRIM(SUBSTITUTE(SUBSTITUTE($C$3,"   "," "),"  "," "))))*((('GLASS OFFCUTS LIST'!$A$2:$A$298&gt;=C160)*('GLASS OFFCUTS LIST'!$B$2:$B$298&gt;=D160))+(N(OR(E160=TRUE(),E160="Y",E160="y",E160="YES",E160="Yes"))*(('GLASS OFFCUTS LIST'!$A$2:$A$298&gt;=D160)*('GLASS OFFCUTS LIST'!$B$2:$B$298&gt;=C160)))&gt;0)),"YES","NO")))</f>
        <v/>
      </c>
      <c r="G160" t="str">
        <f>IF(OR($C$3="",C160="",D160=""),"",IF(SUMPRODUCT(('GLASS OFFCUTS LIST'!$D$2:$D$298=UPPER(TRIM(SUBSTITUTE(SUBSTITUTE($C$3,"   "," "),"  "," "))))*((('GLASS OFFCUTS LIST'!$A$2:$A$298&gt;=C160)*('GLASS OFFCUTS LIST'!$B$2:$B$298&gt;=D160))+(N(OR(E160=TRUE(),E160="Y",E160="y",E160="YES",E160="Yes"))*(('GLASS OFFCUTS LIST'!$A$2:$A$298&gt;=D160)*('GLASS OFFCUTS LIST'!$B$2:$B$298&gt;=C160)))&gt;0))&gt;0,1,0))</f>
        <v/>
      </c>
      <c r="H160" t="str">
        <f>IF(G160="","",SUM($G$7:G160))</f>
        <v/>
      </c>
    </row>
    <row r="161" spans="1:8" x14ac:dyDescent="0.2">
      <c r="A161" s="3">
        <v>155</v>
      </c>
      <c r="B161" s="4"/>
      <c r="C161" s="3"/>
      <c r="D161" s="3"/>
      <c r="E161" s="4"/>
      <c r="F161" s="4" t="str">
        <f>IF(OR($C$3="",C161="",D161=""),"",IF(G161=0,"NO",IF(H161&lt;=SUMPRODUCT(('GLASS OFFCUTS LIST'!$D$2:$D$298=UPPER(TRIM(SUBSTITUTE(SUBSTITUTE($C$3,"   "," "),"  "," "))))*((('GLASS OFFCUTS LIST'!$A$2:$A$298&gt;=C161)*('GLASS OFFCUTS LIST'!$B$2:$B$298&gt;=D161))+(N(OR(E161=TRUE(),E161="Y",E161="y",E161="YES",E161="Yes"))*(('GLASS OFFCUTS LIST'!$A$2:$A$298&gt;=D161)*('GLASS OFFCUTS LIST'!$B$2:$B$298&gt;=C161)))&gt;0)),"YES","NO")))</f>
        <v/>
      </c>
      <c r="G161" t="str">
        <f>IF(OR($C$3="",C161="",D161=""),"",IF(SUMPRODUCT(('GLASS OFFCUTS LIST'!$D$2:$D$298=UPPER(TRIM(SUBSTITUTE(SUBSTITUTE($C$3,"   "," "),"  "," "))))*((('GLASS OFFCUTS LIST'!$A$2:$A$298&gt;=C161)*('GLASS OFFCUTS LIST'!$B$2:$B$298&gt;=D161))+(N(OR(E161=TRUE(),E161="Y",E161="y",E161="YES",E161="Yes"))*(('GLASS OFFCUTS LIST'!$A$2:$A$298&gt;=D161)*('GLASS OFFCUTS LIST'!$B$2:$B$298&gt;=C161)))&gt;0))&gt;0,1,0))</f>
        <v/>
      </c>
      <c r="H161" t="str">
        <f>IF(G161="","",SUM($G$7:G161))</f>
        <v/>
      </c>
    </row>
    <row r="162" spans="1:8" x14ac:dyDescent="0.2">
      <c r="A162" s="3">
        <v>156</v>
      </c>
      <c r="B162" s="4"/>
      <c r="C162" s="3"/>
      <c r="D162" s="3"/>
      <c r="E162" s="4"/>
      <c r="F162" s="4" t="str">
        <f>IF(OR($C$3="",C162="",D162=""),"",IF(G162=0,"NO",IF(H162&lt;=SUMPRODUCT(('GLASS OFFCUTS LIST'!$D$2:$D$298=UPPER(TRIM(SUBSTITUTE(SUBSTITUTE($C$3,"   "," "),"  "," "))))*((('GLASS OFFCUTS LIST'!$A$2:$A$298&gt;=C162)*('GLASS OFFCUTS LIST'!$B$2:$B$298&gt;=D162))+(N(OR(E162=TRUE(),E162="Y",E162="y",E162="YES",E162="Yes"))*(('GLASS OFFCUTS LIST'!$A$2:$A$298&gt;=D162)*('GLASS OFFCUTS LIST'!$B$2:$B$298&gt;=C162)))&gt;0)),"YES","NO")))</f>
        <v/>
      </c>
      <c r="G162" t="str">
        <f>IF(OR($C$3="",C162="",D162=""),"",IF(SUMPRODUCT(('GLASS OFFCUTS LIST'!$D$2:$D$298=UPPER(TRIM(SUBSTITUTE(SUBSTITUTE($C$3,"   "," "),"  "," "))))*((('GLASS OFFCUTS LIST'!$A$2:$A$298&gt;=C162)*('GLASS OFFCUTS LIST'!$B$2:$B$298&gt;=D162))+(N(OR(E162=TRUE(),E162="Y",E162="y",E162="YES",E162="Yes"))*(('GLASS OFFCUTS LIST'!$A$2:$A$298&gt;=D162)*('GLASS OFFCUTS LIST'!$B$2:$B$298&gt;=C162)))&gt;0))&gt;0,1,0))</f>
        <v/>
      </c>
      <c r="H162" t="str">
        <f>IF(G162="","",SUM($G$7:G162))</f>
        <v/>
      </c>
    </row>
    <row r="163" spans="1:8" x14ac:dyDescent="0.2">
      <c r="A163" s="3">
        <v>157</v>
      </c>
      <c r="B163" s="4"/>
      <c r="C163" s="3"/>
      <c r="D163" s="3"/>
      <c r="E163" s="4"/>
      <c r="F163" s="4" t="str">
        <f>IF(OR($C$3="",C163="",D163=""),"",IF(G163=0,"NO",IF(H163&lt;=SUMPRODUCT(('GLASS OFFCUTS LIST'!$D$2:$D$298=UPPER(TRIM(SUBSTITUTE(SUBSTITUTE($C$3,"   "," "),"  "," "))))*((('GLASS OFFCUTS LIST'!$A$2:$A$298&gt;=C163)*('GLASS OFFCUTS LIST'!$B$2:$B$298&gt;=D163))+(N(OR(E163=TRUE(),E163="Y",E163="y",E163="YES",E163="Yes"))*(('GLASS OFFCUTS LIST'!$A$2:$A$298&gt;=D163)*('GLASS OFFCUTS LIST'!$B$2:$B$298&gt;=C163)))&gt;0)),"YES","NO")))</f>
        <v/>
      </c>
      <c r="G163" t="str">
        <f>IF(OR($C$3="",C163="",D163=""),"",IF(SUMPRODUCT(('GLASS OFFCUTS LIST'!$D$2:$D$298=UPPER(TRIM(SUBSTITUTE(SUBSTITUTE($C$3,"   "," "),"  "," "))))*((('GLASS OFFCUTS LIST'!$A$2:$A$298&gt;=C163)*('GLASS OFFCUTS LIST'!$B$2:$B$298&gt;=D163))+(N(OR(E163=TRUE(),E163="Y",E163="y",E163="YES",E163="Yes"))*(('GLASS OFFCUTS LIST'!$A$2:$A$298&gt;=D163)*('GLASS OFFCUTS LIST'!$B$2:$B$298&gt;=C163)))&gt;0))&gt;0,1,0))</f>
        <v/>
      </c>
      <c r="H163" t="str">
        <f>IF(G163="","",SUM($G$7:G163))</f>
        <v/>
      </c>
    </row>
    <row r="164" spans="1:8" x14ac:dyDescent="0.2">
      <c r="A164" s="3">
        <v>158</v>
      </c>
      <c r="B164" s="4"/>
      <c r="C164" s="3"/>
      <c r="D164" s="3"/>
      <c r="E164" s="4"/>
      <c r="F164" s="4" t="str">
        <f>IF(OR($C$3="",C164="",D164=""),"",IF(G164=0,"NO",IF(H164&lt;=SUMPRODUCT(('GLASS OFFCUTS LIST'!$D$2:$D$298=UPPER(TRIM(SUBSTITUTE(SUBSTITUTE($C$3,"   "," "),"  "," "))))*((('GLASS OFFCUTS LIST'!$A$2:$A$298&gt;=C164)*('GLASS OFFCUTS LIST'!$B$2:$B$298&gt;=D164))+(N(OR(E164=TRUE(),E164="Y",E164="y",E164="YES",E164="Yes"))*(('GLASS OFFCUTS LIST'!$A$2:$A$298&gt;=D164)*('GLASS OFFCUTS LIST'!$B$2:$B$298&gt;=C164)))&gt;0)),"YES","NO")))</f>
        <v/>
      </c>
      <c r="G164" t="str">
        <f>IF(OR($C$3="",C164="",D164=""),"",IF(SUMPRODUCT(('GLASS OFFCUTS LIST'!$D$2:$D$298=UPPER(TRIM(SUBSTITUTE(SUBSTITUTE($C$3,"   "," "),"  "," "))))*((('GLASS OFFCUTS LIST'!$A$2:$A$298&gt;=C164)*('GLASS OFFCUTS LIST'!$B$2:$B$298&gt;=D164))+(N(OR(E164=TRUE(),E164="Y",E164="y",E164="YES",E164="Yes"))*(('GLASS OFFCUTS LIST'!$A$2:$A$298&gt;=D164)*('GLASS OFFCUTS LIST'!$B$2:$B$298&gt;=C164)))&gt;0))&gt;0,1,0))</f>
        <v/>
      </c>
      <c r="H164" t="str">
        <f>IF(G164="","",SUM($G$7:G164))</f>
        <v/>
      </c>
    </row>
    <row r="165" spans="1:8" x14ac:dyDescent="0.2">
      <c r="A165" s="3">
        <v>159</v>
      </c>
      <c r="B165" s="4"/>
      <c r="C165" s="3"/>
      <c r="D165" s="3"/>
      <c r="E165" s="4"/>
      <c r="F165" s="4" t="str">
        <f>IF(OR($C$3="",C165="",D165=""),"",IF(G165=0,"NO",IF(H165&lt;=SUMPRODUCT(('GLASS OFFCUTS LIST'!$D$2:$D$298=UPPER(TRIM(SUBSTITUTE(SUBSTITUTE($C$3,"   "," "),"  "," "))))*((('GLASS OFFCUTS LIST'!$A$2:$A$298&gt;=C165)*('GLASS OFFCUTS LIST'!$B$2:$B$298&gt;=D165))+(N(OR(E165=TRUE(),E165="Y",E165="y",E165="YES",E165="Yes"))*(('GLASS OFFCUTS LIST'!$A$2:$A$298&gt;=D165)*('GLASS OFFCUTS LIST'!$B$2:$B$298&gt;=C165)))&gt;0)),"YES","NO")))</f>
        <v/>
      </c>
      <c r="G165" t="str">
        <f>IF(OR($C$3="",C165="",D165=""),"",IF(SUMPRODUCT(('GLASS OFFCUTS LIST'!$D$2:$D$298=UPPER(TRIM(SUBSTITUTE(SUBSTITUTE($C$3,"   "," "),"  "," "))))*((('GLASS OFFCUTS LIST'!$A$2:$A$298&gt;=C165)*('GLASS OFFCUTS LIST'!$B$2:$B$298&gt;=D165))+(N(OR(E165=TRUE(),E165="Y",E165="y",E165="YES",E165="Yes"))*(('GLASS OFFCUTS LIST'!$A$2:$A$298&gt;=D165)*('GLASS OFFCUTS LIST'!$B$2:$B$298&gt;=C165)))&gt;0))&gt;0,1,0))</f>
        <v/>
      </c>
      <c r="H165" t="str">
        <f>IF(G165="","",SUM($G$7:G165))</f>
        <v/>
      </c>
    </row>
    <row r="166" spans="1:8" x14ac:dyDescent="0.2">
      <c r="A166" s="3">
        <v>160</v>
      </c>
      <c r="B166" s="4"/>
      <c r="C166" s="3"/>
      <c r="D166" s="3"/>
      <c r="E166" s="4"/>
      <c r="F166" s="4" t="str">
        <f>IF(OR($C$3="",C166="",D166=""),"",IF(G166=0,"NO",IF(H166&lt;=SUMPRODUCT(('GLASS OFFCUTS LIST'!$D$2:$D$298=UPPER(TRIM(SUBSTITUTE(SUBSTITUTE($C$3,"   "," "),"  "," "))))*((('GLASS OFFCUTS LIST'!$A$2:$A$298&gt;=C166)*('GLASS OFFCUTS LIST'!$B$2:$B$298&gt;=D166))+(N(OR(E166=TRUE(),E166="Y",E166="y",E166="YES",E166="Yes"))*(('GLASS OFFCUTS LIST'!$A$2:$A$298&gt;=D166)*('GLASS OFFCUTS LIST'!$B$2:$B$298&gt;=C166)))&gt;0)),"YES","NO")))</f>
        <v/>
      </c>
      <c r="G166" t="str">
        <f>IF(OR($C$3="",C166="",D166=""),"",IF(SUMPRODUCT(('GLASS OFFCUTS LIST'!$D$2:$D$298=UPPER(TRIM(SUBSTITUTE(SUBSTITUTE($C$3,"   "," "),"  "," "))))*((('GLASS OFFCUTS LIST'!$A$2:$A$298&gt;=C166)*('GLASS OFFCUTS LIST'!$B$2:$B$298&gt;=D166))+(N(OR(E166=TRUE(),E166="Y",E166="y",E166="YES",E166="Yes"))*(('GLASS OFFCUTS LIST'!$A$2:$A$298&gt;=D166)*('GLASS OFFCUTS LIST'!$B$2:$B$298&gt;=C166)))&gt;0))&gt;0,1,0))</f>
        <v/>
      </c>
      <c r="H166" t="str">
        <f>IF(G166="","",SUM($G$7:G166))</f>
        <v/>
      </c>
    </row>
    <row r="167" spans="1:8" x14ac:dyDescent="0.2">
      <c r="A167" s="3">
        <v>161</v>
      </c>
      <c r="B167" s="4"/>
      <c r="C167" s="3"/>
      <c r="D167" s="3"/>
      <c r="E167" s="4"/>
      <c r="F167" s="4" t="str">
        <f>IF(OR($C$3="",C167="",D167=""),"",IF(G167=0,"NO",IF(H167&lt;=SUMPRODUCT(('GLASS OFFCUTS LIST'!$D$2:$D$298=UPPER(TRIM(SUBSTITUTE(SUBSTITUTE($C$3,"   "," "),"  "," "))))*((('GLASS OFFCUTS LIST'!$A$2:$A$298&gt;=C167)*('GLASS OFFCUTS LIST'!$B$2:$B$298&gt;=D167))+(N(OR(E167=TRUE(),E167="Y",E167="y",E167="YES",E167="Yes"))*(('GLASS OFFCUTS LIST'!$A$2:$A$298&gt;=D167)*('GLASS OFFCUTS LIST'!$B$2:$B$298&gt;=C167)))&gt;0)),"YES","NO")))</f>
        <v/>
      </c>
      <c r="G167" t="str">
        <f>IF(OR($C$3="",C167="",D167=""),"",IF(SUMPRODUCT(('GLASS OFFCUTS LIST'!$D$2:$D$298=UPPER(TRIM(SUBSTITUTE(SUBSTITUTE($C$3,"   "," "),"  "," "))))*((('GLASS OFFCUTS LIST'!$A$2:$A$298&gt;=C167)*('GLASS OFFCUTS LIST'!$B$2:$B$298&gt;=D167))+(N(OR(E167=TRUE(),E167="Y",E167="y",E167="YES",E167="Yes"))*(('GLASS OFFCUTS LIST'!$A$2:$A$298&gt;=D167)*('GLASS OFFCUTS LIST'!$B$2:$B$298&gt;=C167)))&gt;0))&gt;0,1,0))</f>
        <v/>
      </c>
      <c r="H167" t="str">
        <f>IF(G167="","",SUM($G$7:G167))</f>
        <v/>
      </c>
    </row>
    <row r="168" spans="1:8" x14ac:dyDescent="0.2">
      <c r="A168" s="3">
        <v>162</v>
      </c>
      <c r="B168" s="4"/>
      <c r="C168" s="3"/>
      <c r="D168" s="3"/>
      <c r="E168" s="4"/>
      <c r="F168" s="4" t="str">
        <f>IF(OR($C$3="",C168="",D168=""),"",IF(G168=0,"NO",IF(H168&lt;=SUMPRODUCT(('GLASS OFFCUTS LIST'!$D$2:$D$298=UPPER(TRIM(SUBSTITUTE(SUBSTITUTE($C$3,"   "," "),"  "," "))))*((('GLASS OFFCUTS LIST'!$A$2:$A$298&gt;=C168)*('GLASS OFFCUTS LIST'!$B$2:$B$298&gt;=D168))+(N(OR(E168=TRUE(),E168="Y",E168="y",E168="YES",E168="Yes"))*(('GLASS OFFCUTS LIST'!$A$2:$A$298&gt;=D168)*('GLASS OFFCUTS LIST'!$B$2:$B$298&gt;=C168)))&gt;0)),"YES","NO")))</f>
        <v/>
      </c>
      <c r="G168" t="str">
        <f>IF(OR($C$3="",C168="",D168=""),"",IF(SUMPRODUCT(('GLASS OFFCUTS LIST'!$D$2:$D$298=UPPER(TRIM(SUBSTITUTE(SUBSTITUTE($C$3,"   "," "),"  "," "))))*((('GLASS OFFCUTS LIST'!$A$2:$A$298&gt;=C168)*('GLASS OFFCUTS LIST'!$B$2:$B$298&gt;=D168))+(N(OR(E168=TRUE(),E168="Y",E168="y",E168="YES",E168="Yes"))*(('GLASS OFFCUTS LIST'!$A$2:$A$298&gt;=D168)*('GLASS OFFCUTS LIST'!$B$2:$B$298&gt;=C168)))&gt;0))&gt;0,1,0))</f>
        <v/>
      </c>
      <c r="H168" t="str">
        <f>IF(G168="","",SUM($G$7:G168))</f>
        <v/>
      </c>
    </row>
    <row r="169" spans="1:8" x14ac:dyDescent="0.2">
      <c r="A169" s="3">
        <v>163</v>
      </c>
      <c r="B169" s="4"/>
      <c r="C169" s="3"/>
      <c r="D169" s="3"/>
      <c r="E169" s="4"/>
      <c r="F169" s="4" t="str">
        <f>IF(OR($C$3="",C169="",D169=""),"",IF(G169=0,"NO",IF(H169&lt;=SUMPRODUCT(('GLASS OFFCUTS LIST'!$D$2:$D$298=UPPER(TRIM(SUBSTITUTE(SUBSTITUTE($C$3,"   "," "),"  "," "))))*((('GLASS OFFCUTS LIST'!$A$2:$A$298&gt;=C169)*('GLASS OFFCUTS LIST'!$B$2:$B$298&gt;=D169))+(N(OR(E169=TRUE(),E169="Y",E169="y",E169="YES",E169="Yes"))*(('GLASS OFFCUTS LIST'!$A$2:$A$298&gt;=D169)*('GLASS OFFCUTS LIST'!$B$2:$B$298&gt;=C169)))&gt;0)),"YES","NO")))</f>
        <v/>
      </c>
      <c r="G169" t="str">
        <f>IF(OR($C$3="",C169="",D169=""),"",IF(SUMPRODUCT(('GLASS OFFCUTS LIST'!$D$2:$D$298=UPPER(TRIM(SUBSTITUTE(SUBSTITUTE($C$3,"   "," "),"  "," "))))*((('GLASS OFFCUTS LIST'!$A$2:$A$298&gt;=C169)*('GLASS OFFCUTS LIST'!$B$2:$B$298&gt;=D169))+(N(OR(E169=TRUE(),E169="Y",E169="y",E169="YES",E169="Yes"))*(('GLASS OFFCUTS LIST'!$A$2:$A$298&gt;=D169)*('GLASS OFFCUTS LIST'!$B$2:$B$298&gt;=C169)))&gt;0))&gt;0,1,0))</f>
        <v/>
      </c>
      <c r="H169" t="str">
        <f>IF(G169="","",SUM($G$7:G169))</f>
        <v/>
      </c>
    </row>
    <row r="170" spans="1:8" x14ac:dyDescent="0.2">
      <c r="A170" s="3">
        <v>164</v>
      </c>
      <c r="B170" s="4"/>
      <c r="C170" s="3"/>
      <c r="D170" s="3"/>
      <c r="E170" s="4"/>
      <c r="F170" s="4" t="str">
        <f>IF(OR($C$3="",C170="",D170=""),"",IF(G170=0,"NO",IF(H170&lt;=SUMPRODUCT(('GLASS OFFCUTS LIST'!$D$2:$D$298=UPPER(TRIM(SUBSTITUTE(SUBSTITUTE($C$3,"   "," "),"  "," "))))*((('GLASS OFFCUTS LIST'!$A$2:$A$298&gt;=C170)*('GLASS OFFCUTS LIST'!$B$2:$B$298&gt;=D170))+(N(OR(E170=TRUE(),E170="Y",E170="y",E170="YES",E170="Yes"))*(('GLASS OFFCUTS LIST'!$A$2:$A$298&gt;=D170)*('GLASS OFFCUTS LIST'!$B$2:$B$298&gt;=C170)))&gt;0)),"YES","NO")))</f>
        <v/>
      </c>
      <c r="G170" t="str">
        <f>IF(OR($C$3="",C170="",D170=""),"",IF(SUMPRODUCT(('GLASS OFFCUTS LIST'!$D$2:$D$298=UPPER(TRIM(SUBSTITUTE(SUBSTITUTE($C$3,"   "," "),"  "," "))))*((('GLASS OFFCUTS LIST'!$A$2:$A$298&gt;=C170)*('GLASS OFFCUTS LIST'!$B$2:$B$298&gt;=D170))+(N(OR(E170=TRUE(),E170="Y",E170="y",E170="YES",E170="Yes"))*(('GLASS OFFCUTS LIST'!$A$2:$A$298&gt;=D170)*('GLASS OFFCUTS LIST'!$B$2:$B$298&gt;=C170)))&gt;0))&gt;0,1,0))</f>
        <v/>
      </c>
      <c r="H170" t="str">
        <f>IF(G170="","",SUM($G$7:G170))</f>
        <v/>
      </c>
    </row>
    <row r="171" spans="1:8" x14ac:dyDescent="0.2">
      <c r="A171" s="3">
        <v>165</v>
      </c>
      <c r="B171" s="4"/>
      <c r="C171" s="3"/>
      <c r="D171" s="3"/>
      <c r="E171" s="4"/>
      <c r="F171" s="4" t="str">
        <f>IF(OR($C$3="",C171="",D171=""),"",IF(G171=0,"NO",IF(H171&lt;=SUMPRODUCT(('GLASS OFFCUTS LIST'!$D$2:$D$298=UPPER(TRIM(SUBSTITUTE(SUBSTITUTE($C$3,"   "," "),"  "," "))))*((('GLASS OFFCUTS LIST'!$A$2:$A$298&gt;=C171)*('GLASS OFFCUTS LIST'!$B$2:$B$298&gt;=D171))+(N(OR(E171=TRUE(),E171="Y",E171="y",E171="YES",E171="Yes"))*(('GLASS OFFCUTS LIST'!$A$2:$A$298&gt;=D171)*('GLASS OFFCUTS LIST'!$B$2:$B$298&gt;=C171)))&gt;0)),"YES","NO")))</f>
        <v/>
      </c>
      <c r="G171" t="str">
        <f>IF(OR($C$3="",C171="",D171=""),"",IF(SUMPRODUCT(('GLASS OFFCUTS LIST'!$D$2:$D$298=UPPER(TRIM(SUBSTITUTE(SUBSTITUTE($C$3,"   "," "),"  "," "))))*((('GLASS OFFCUTS LIST'!$A$2:$A$298&gt;=C171)*('GLASS OFFCUTS LIST'!$B$2:$B$298&gt;=D171))+(N(OR(E171=TRUE(),E171="Y",E171="y",E171="YES",E171="Yes"))*(('GLASS OFFCUTS LIST'!$A$2:$A$298&gt;=D171)*('GLASS OFFCUTS LIST'!$B$2:$B$298&gt;=C171)))&gt;0))&gt;0,1,0))</f>
        <v/>
      </c>
      <c r="H171" t="str">
        <f>IF(G171="","",SUM($G$7:G171))</f>
        <v/>
      </c>
    </row>
    <row r="172" spans="1:8" x14ac:dyDescent="0.2">
      <c r="A172" s="3">
        <v>166</v>
      </c>
      <c r="B172" s="4"/>
      <c r="C172" s="3"/>
      <c r="D172" s="3"/>
      <c r="E172" s="4"/>
      <c r="F172" s="4" t="str">
        <f>IF(OR($C$3="",C172="",D172=""),"",IF(G172=0,"NO",IF(H172&lt;=SUMPRODUCT(('GLASS OFFCUTS LIST'!$D$2:$D$298=UPPER(TRIM(SUBSTITUTE(SUBSTITUTE($C$3,"   "," "),"  "," "))))*((('GLASS OFFCUTS LIST'!$A$2:$A$298&gt;=C172)*('GLASS OFFCUTS LIST'!$B$2:$B$298&gt;=D172))+(N(OR(E172=TRUE(),E172="Y",E172="y",E172="YES",E172="Yes"))*(('GLASS OFFCUTS LIST'!$A$2:$A$298&gt;=D172)*('GLASS OFFCUTS LIST'!$B$2:$B$298&gt;=C172)))&gt;0)),"YES","NO")))</f>
        <v/>
      </c>
      <c r="G172" t="str">
        <f>IF(OR($C$3="",C172="",D172=""),"",IF(SUMPRODUCT(('GLASS OFFCUTS LIST'!$D$2:$D$298=UPPER(TRIM(SUBSTITUTE(SUBSTITUTE($C$3,"   "," "),"  "," "))))*((('GLASS OFFCUTS LIST'!$A$2:$A$298&gt;=C172)*('GLASS OFFCUTS LIST'!$B$2:$B$298&gt;=D172))+(N(OR(E172=TRUE(),E172="Y",E172="y",E172="YES",E172="Yes"))*(('GLASS OFFCUTS LIST'!$A$2:$A$298&gt;=D172)*('GLASS OFFCUTS LIST'!$B$2:$B$298&gt;=C172)))&gt;0))&gt;0,1,0))</f>
        <v/>
      </c>
      <c r="H172" t="str">
        <f>IF(G172="","",SUM($G$7:G172))</f>
        <v/>
      </c>
    </row>
    <row r="173" spans="1:8" x14ac:dyDescent="0.2">
      <c r="A173" s="3">
        <v>167</v>
      </c>
      <c r="B173" s="4"/>
      <c r="C173" s="3"/>
      <c r="D173" s="3"/>
      <c r="E173" s="4"/>
      <c r="F173" s="4" t="str">
        <f>IF(OR($C$3="",C173="",D173=""),"",IF(G173=0,"NO",IF(H173&lt;=SUMPRODUCT(('GLASS OFFCUTS LIST'!$D$2:$D$298=UPPER(TRIM(SUBSTITUTE(SUBSTITUTE($C$3,"   "," "),"  "," "))))*((('GLASS OFFCUTS LIST'!$A$2:$A$298&gt;=C173)*('GLASS OFFCUTS LIST'!$B$2:$B$298&gt;=D173))+(N(OR(E173=TRUE(),E173="Y",E173="y",E173="YES",E173="Yes"))*(('GLASS OFFCUTS LIST'!$A$2:$A$298&gt;=D173)*('GLASS OFFCUTS LIST'!$B$2:$B$298&gt;=C173)))&gt;0)),"YES","NO")))</f>
        <v/>
      </c>
      <c r="G173" t="str">
        <f>IF(OR($C$3="",C173="",D173=""),"",IF(SUMPRODUCT(('GLASS OFFCUTS LIST'!$D$2:$D$298=UPPER(TRIM(SUBSTITUTE(SUBSTITUTE($C$3,"   "," "),"  "," "))))*((('GLASS OFFCUTS LIST'!$A$2:$A$298&gt;=C173)*('GLASS OFFCUTS LIST'!$B$2:$B$298&gt;=D173))+(N(OR(E173=TRUE(),E173="Y",E173="y",E173="YES",E173="Yes"))*(('GLASS OFFCUTS LIST'!$A$2:$A$298&gt;=D173)*('GLASS OFFCUTS LIST'!$B$2:$B$298&gt;=C173)))&gt;0))&gt;0,1,0))</f>
        <v/>
      </c>
      <c r="H173" t="str">
        <f>IF(G173="","",SUM($G$7:G173))</f>
        <v/>
      </c>
    </row>
    <row r="174" spans="1:8" x14ac:dyDescent="0.2">
      <c r="A174" s="3">
        <v>168</v>
      </c>
      <c r="B174" s="4"/>
      <c r="C174" s="3"/>
      <c r="D174" s="3"/>
      <c r="E174" s="4"/>
      <c r="F174" s="4" t="str">
        <f>IF(OR($C$3="",C174="",D174=""),"",IF(G174=0,"NO",IF(H174&lt;=SUMPRODUCT(('GLASS OFFCUTS LIST'!$D$2:$D$298=UPPER(TRIM(SUBSTITUTE(SUBSTITUTE($C$3,"   "," "),"  "," "))))*((('GLASS OFFCUTS LIST'!$A$2:$A$298&gt;=C174)*('GLASS OFFCUTS LIST'!$B$2:$B$298&gt;=D174))+(N(OR(E174=TRUE(),E174="Y",E174="y",E174="YES",E174="Yes"))*(('GLASS OFFCUTS LIST'!$A$2:$A$298&gt;=D174)*('GLASS OFFCUTS LIST'!$B$2:$B$298&gt;=C174)))&gt;0)),"YES","NO")))</f>
        <v/>
      </c>
      <c r="G174" t="str">
        <f>IF(OR($C$3="",C174="",D174=""),"",IF(SUMPRODUCT(('GLASS OFFCUTS LIST'!$D$2:$D$298=UPPER(TRIM(SUBSTITUTE(SUBSTITUTE($C$3,"   "," "),"  "," "))))*((('GLASS OFFCUTS LIST'!$A$2:$A$298&gt;=C174)*('GLASS OFFCUTS LIST'!$B$2:$B$298&gt;=D174))+(N(OR(E174=TRUE(),E174="Y",E174="y",E174="YES",E174="Yes"))*(('GLASS OFFCUTS LIST'!$A$2:$A$298&gt;=D174)*('GLASS OFFCUTS LIST'!$B$2:$B$298&gt;=C174)))&gt;0))&gt;0,1,0))</f>
        <v/>
      </c>
      <c r="H174" t="str">
        <f>IF(G174="","",SUM($G$7:G174))</f>
        <v/>
      </c>
    </row>
    <row r="175" spans="1:8" x14ac:dyDescent="0.2">
      <c r="A175" s="3">
        <v>169</v>
      </c>
      <c r="B175" s="4"/>
      <c r="C175" s="3"/>
      <c r="D175" s="3"/>
      <c r="E175" s="4"/>
      <c r="F175" s="4" t="str">
        <f>IF(OR($C$3="",C175="",D175=""),"",IF(G175=0,"NO",IF(H175&lt;=SUMPRODUCT(('GLASS OFFCUTS LIST'!$D$2:$D$298=UPPER(TRIM(SUBSTITUTE(SUBSTITUTE($C$3,"   "," "),"  "," "))))*((('GLASS OFFCUTS LIST'!$A$2:$A$298&gt;=C175)*('GLASS OFFCUTS LIST'!$B$2:$B$298&gt;=D175))+(N(OR(E175=TRUE(),E175="Y",E175="y",E175="YES",E175="Yes"))*(('GLASS OFFCUTS LIST'!$A$2:$A$298&gt;=D175)*('GLASS OFFCUTS LIST'!$B$2:$B$298&gt;=C175)))&gt;0)),"YES","NO")))</f>
        <v/>
      </c>
      <c r="G175" t="str">
        <f>IF(OR($C$3="",C175="",D175=""),"",IF(SUMPRODUCT(('GLASS OFFCUTS LIST'!$D$2:$D$298=UPPER(TRIM(SUBSTITUTE(SUBSTITUTE($C$3,"   "," "),"  "," "))))*((('GLASS OFFCUTS LIST'!$A$2:$A$298&gt;=C175)*('GLASS OFFCUTS LIST'!$B$2:$B$298&gt;=D175))+(N(OR(E175=TRUE(),E175="Y",E175="y",E175="YES",E175="Yes"))*(('GLASS OFFCUTS LIST'!$A$2:$A$298&gt;=D175)*('GLASS OFFCUTS LIST'!$B$2:$B$298&gt;=C175)))&gt;0))&gt;0,1,0))</f>
        <v/>
      </c>
      <c r="H175" t="str">
        <f>IF(G175="","",SUM($G$7:G175))</f>
        <v/>
      </c>
    </row>
    <row r="176" spans="1:8" x14ac:dyDescent="0.2">
      <c r="A176" s="3">
        <v>170</v>
      </c>
      <c r="B176" s="4"/>
      <c r="C176" s="3"/>
      <c r="D176" s="3"/>
      <c r="E176" s="4"/>
      <c r="F176" s="4" t="str">
        <f>IF(OR($C$3="",C176="",D176=""),"",IF(G176=0,"NO",IF(H176&lt;=SUMPRODUCT(('GLASS OFFCUTS LIST'!$D$2:$D$298=UPPER(TRIM(SUBSTITUTE(SUBSTITUTE($C$3,"   "," "),"  "," "))))*((('GLASS OFFCUTS LIST'!$A$2:$A$298&gt;=C176)*('GLASS OFFCUTS LIST'!$B$2:$B$298&gt;=D176))+(N(OR(E176=TRUE(),E176="Y",E176="y",E176="YES",E176="Yes"))*(('GLASS OFFCUTS LIST'!$A$2:$A$298&gt;=D176)*('GLASS OFFCUTS LIST'!$B$2:$B$298&gt;=C176)))&gt;0)),"YES","NO")))</f>
        <v/>
      </c>
      <c r="G176" t="str">
        <f>IF(OR($C$3="",C176="",D176=""),"",IF(SUMPRODUCT(('GLASS OFFCUTS LIST'!$D$2:$D$298=UPPER(TRIM(SUBSTITUTE(SUBSTITUTE($C$3,"   "," "),"  "," "))))*((('GLASS OFFCUTS LIST'!$A$2:$A$298&gt;=C176)*('GLASS OFFCUTS LIST'!$B$2:$B$298&gt;=D176))+(N(OR(E176=TRUE(),E176="Y",E176="y",E176="YES",E176="Yes"))*(('GLASS OFFCUTS LIST'!$A$2:$A$298&gt;=D176)*('GLASS OFFCUTS LIST'!$B$2:$B$298&gt;=C176)))&gt;0))&gt;0,1,0))</f>
        <v/>
      </c>
      <c r="H176" t="str">
        <f>IF(G176="","",SUM($G$7:G176))</f>
        <v/>
      </c>
    </row>
    <row r="177" spans="1:8" x14ac:dyDescent="0.2">
      <c r="A177" s="3">
        <v>171</v>
      </c>
      <c r="B177" s="4"/>
      <c r="C177" s="3"/>
      <c r="D177" s="3"/>
      <c r="E177" s="4"/>
      <c r="F177" s="4" t="str">
        <f>IF(OR($C$3="",C177="",D177=""),"",IF(G177=0,"NO",IF(H177&lt;=SUMPRODUCT(('GLASS OFFCUTS LIST'!$D$2:$D$298=UPPER(TRIM(SUBSTITUTE(SUBSTITUTE($C$3,"   "," "),"  "," "))))*((('GLASS OFFCUTS LIST'!$A$2:$A$298&gt;=C177)*('GLASS OFFCUTS LIST'!$B$2:$B$298&gt;=D177))+(N(OR(E177=TRUE(),E177="Y",E177="y",E177="YES",E177="Yes"))*(('GLASS OFFCUTS LIST'!$A$2:$A$298&gt;=D177)*('GLASS OFFCUTS LIST'!$B$2:$B$298&gt;=C177)))&gt;0)),"YES","NO")))</f>
        <v/>
      </c>
      <c r="G177" t="str">
        <f>IF(OR($C$3="",C177="",D177=""),"",IF(SUMPRODUCT(('GLASS OFFCUTS LIST'!$D$2:$D$298=UPPER(TRIM(SUBSTITUTE(SUBSTITUTE($C$3,"   "," "),"  "," "))))*((('GLASS OFFCUTS LIST'!$A$2:$A$298&gt;=C177)*('GLASS OFFCUTS LIST'!$B$2:$B$298&gt;=D177))+(N(OR(E177=TRUE(),E177="Y",E177="y",E177="YES",E177="Yes"))*(('GLASS OFFCUTS LIST'!$A$2:$A$298&gt;=D177)*('GLASS OFFCUTS LIST'!$B$2:$B$298&gt;=C177)))&gt;0))&gt;0,1,0))</f>
        <v/>
      </c>
      <c r="H177" t="str">
        <f>IF(G177="","",SUM($G$7:G177))</f>
        <v/>
      </c>
    </row>
    <row r="178" spans="1:8" x14ac:dyDescent="0.2">
      <c r="A178" s="3">
        <v>172</v>
      </c>
      <c r="B178" s="4"/>
      <c r="C178" s="3"/>
      <c r="D178" s="3"/>
      <c r="E178" s="4"/>
      <c r="F178" s="4" t="str">
        <f>IF(OR($C$3="",C178="",D178=""),"",IF(G178=0,"NO",IF(H178&lt;=SUMPRODUCT(('GLASS OFFCUTS LIST'!$D$2:$D$298=UPPER(TRIM(SUBSTITUTE(SUBSTITUTE($C$3,"   "," "),"  "," "))))*((('GLASS OFFCUTS LIST'!$A$2:$A$298&gt;=C178)*('GLASS OFFCUTS LIST'!$B$2:$B$298&gt;=D178))+(N(OR(E178=TRUE(),E178="Y",E178="y",E178="YES",E178="Yes"))*(('GLASS OFFCUTS LIST'!$A$2:$A$298&gt;=D178)*('GLASS OFFCUTS LIST'!$B$2:$B$298&gt;=C178)))&gt;0)),"YES","NO")))</f>
        <v/>
      </c>
      <c r="G178" t="str">
        <f>IF(OR($C$3="",C178="",D178=""),"",IF(SUMPRODUCT(('GLASS OFFCUTS LIST'!$D$2:$D$298=UPPER(TRIM(SUBSTITUTE(SUBSTITUTE($C$3,"   "," "),"  "," "))))*((('GLASS OFFCUTS LIST'!$A$2:$A$298&gt;=C178)*('GLASS OFFCUTS LIST'!$B$2:$B$298&gt;=D178))+(N(OR(E178=TRUE(),E178="Y",E178="y",E178="YES",E178="Yes"))*(('GLASS OFFCUTS LIST'!$A$2:$A$298&gt;=D178)*('GLASS OFFCUTS LIST'!$B$2:$B$298&gt;=C178)))&gt;0))&gt;0,1,0))</f>
        <v/>
      </c>
      <c r="H178" t="str">
        <f>IF(G178="","",SUM($G$7:G178))</f>
        <v/>
      </c>
    </row>
    <row r="179" spans="1:8" x14ac:dyDescent="0.2">
      <c r="A179" s="3">
        <v>173</v>
      </c>
      <c r="B179" s="4"/>
      <c r="C179" s="3"/>
      <c r="D179" s="3"/>
      <c r="E179" s="4"/>
      <c r="F179" s="4" t="str">
        <f>IF(OR($C$3="",C179="",D179=""),"",IF(G179=0,"NO",IF(H179&lt;=SUMPRODUCT(('GLASS OFFCUTS LIST'!$D$2:$D$298=UPPER(TRIM(SUBSTITUTE(SUBSTITUTE($C$3,"   "," "),"  "," "))))*((('GLASS OFFCUTS LIST'!$A$2:$A$298&gt;=C179)*('GLASS OFFCUTS LIST'!$B$2:$B$298&gt;=D179))+(N(OR(E179=TRUE(),E179="Y",E179="y",E179="YES",E179="Yes"))*(('GLASS OFFCUTS LIST'!$A$2:$A$298&gt;=D179)*('GLASS OFFCUTS LIST'!$B$2:$B$298&gt;=C179)))&gt;0)),"YES","NO")))</f>
        <v/>
      </c>
      <c r="G179" t="str">
        <f>IF(OR($C$3="",C179="",D179=""),"",IF(SUMPRODUCT(('GLASS OFFCUTS LIST'!$D$2:$D$298=UPPER(TRIM(SUBSTITUTE(SUBSTITUTE($C$3,"   "," "),"  "," "))))*((('GLASS OFFCUTS LIST'!$A$2:$A$298&gt;=C179)*('GLASS OFFCUTS LIST'!$B$2:$B$298&gt;=D179))+(N(OR(E179=TRUE(),E179="Y",E179="y",E179="YES",E179="Yes"))*(('GLASS OFFCUTS LIST'!$A$2:$A$298&gt;=D179)*('GLASS OFFCUTS LIST'!$B$2:$B$298&gt;=C179)))&gt;0))&gt;0,1,0))</f>
        <v/>
      </c>
      <c r="H179" t="str">
        <f>IF(G179="","",SUM($G$7:G179))</f>
        <v/>
      </c>
    </row>
    <row r="180" spans="1:8" x14ac:dyDescent="0.2">
      <c r="A180" s="3">
        <v>174</v>
      </c>
      <c r="B180" s="4"/>
      <c r="C180" s="3"/>
      <c r="D180" s="3"/>
      <c r="E180" s="4"/>
      <c r="F180" s="4" t="str">
        <f>IF(OR($C$3="",C180="",D180=""),"",IF(G180=0,"NO",IF(H180&lt;=SUMPRODUCT(('GLASS OFFCUTS LIST'!$D$2:$D$298=UPPER(TRIM(SUBSTITUTE(SUBSTITUTE($C$3,"   "," "),"  "," "))))*((('GLASS OFFCUTS LIST'!$A$2:$A$298&gt;=C180)*('GLASS OFFCUTS LIST'!$B$2:$B$298&gt;=D180))+(N(OR(E180=TRUE(),E180="Y",E180="y",E180="YES",E180="Yes"))*(('GLASS OFFCUTS LIST'!$A$2:$A$298&gt;=D180)*('GLASS OFFCUTS LIST'!$B$2:$B$298&gt;=C180)))&gt;0)),"YES","NO")))</f>
        <v/>
      </c>
      <c r="G180" t="str">
        <f>IF(OR($C$3="",C180="",D180=""),"",IF(SUMPRODUCT(('GLASS OFFCUTS LIST'!$D$2:$D$298=UPPER(TRIM(SUBSTITUTE(SUBSTITUTE($C$3,"   "," "),"  "," "))))*((('GLASS OFFCUTS LIST'!$A$2:$A$298&gt;=C180)*('GLASS OFFCUTS LIST'!$B$2:$B$298&gt;=D180))+(N(OR(E180=TRUE(),E180="Y",E180="y",E180="YES",E180="Yes"))*(('GLASS OFFCUTS LIST'!$A$2:$A$298&gt;=D180)*('GLASS OFFCUTS LIST'!$B$2:$B$298&gt;=C180)))&gt;0))&gt;0,1,0))</f>
        <v/>
      </c>
      <c r="H180" t="str">
        <f>IF(G180="","",SUM($G$7:G180))</f>
        <v/>
      </c>
    </row>
    <row r="181" spans="1:8" x14ac:dyDescent="0.2">
      <c r="A181" s="3">
        <v>175</v>
      </c>
      <c r="B181" s="4"/>
      <c r="C181" s="3"/>
      <c r="D181" s="3"/>
      <c r="E181" s="4"/>
      <c r="F181" s="4" t="str">
        <f>IF(OR($C$3="",C181="",D181=""),"",IF(G181=0,"NO",IF(H181&lt;=SUMPRODUCT(('GLASS OFFCUTS LIST'!$D$2:$D$298=UPPER(TRIM(SUBSTITUTE(SUBSTITUTE($C$3,"   "," "),"  "," "))))*((('GLASS OFFCUTS LIST'!$A$2:$A$298&gt;=C181)*('GLASS OFFCUTS LIST'!$B$2:$B$298&gt;=D181))+(N(OR(E181=TRUE(),E181="Y",E181="y",E181="YES",E181="Yes"))*(('GLASS OFFCUTS LIST'!$A$2:$A$298&gt;=D181)*('GLASS OFFCUTS LIST'!$B$2:$B$298&gt;=C181)))&gt;0)),"YES","NO")))</f>
        <v/>
      </c>
      <c r="G181" t="str">
        <f>IF(OR($C$3="",C181="",D181=""),"",IF(SUMPRODUCT(('GLASS OFFCUTS LIST'!$D$2:$D$298=UPPER(TRIM(SUBSTITUTE(SUBSTITUTE($C$3,"   "," "),"  "," "))))*((('GLASS OFFCUTS LIST'!$A$2:$A$298&gt;=C181)*('GLASS OFFCUTS LIST'!$B$2:$B$298&gt;=D181))+(N(OR(E181=TRUE(),E181="Y",E181="y",E181="YES",E181="Yes"))*(('GLASS OFFCUTS LIST'!$A$2:$A$298&gt;=D181)*('GLASS OFFCUTS LIST'!$B$2:$B$298&gt;=C181)))&gt;0))&gt;0,1,0))</f>
        <v/>
      </c>
      <c r="H181" t="str">
        <f>IF(G181="","",SUM($G$7:G181))</f>
        <v/>
      </c>
    </row>
    <row r="182" spans="1:8" x14ac:dyDescent="0.2">
      <c r="A182" s="3">
        <v>176</v>
      </c>
      <c r="B182" s="4"/>
      <c r="C182" s="3"/>
      <c r="D182" s="3"/>
      <c r="E182" s="4"/>
      <c r="F182" s="4" t="str">
        <f>IF(OR($C$3="",C182="",D182=""),"",IF(G182=0,"NO",IF(H182&lt;=SUMPRODUCT(('GLASS OFFCUTS LIST'!$D$2:$D$298=UPPER(TRIM(SUBSTITUTE(SUBSTITUTE($C$3,"   "," "),"  "," "))))*((('GLASS OFFCUTS LIST'!$A$2:$A$298&gt;=C182)*('GLASS OFFCUTS LIST'!$B$2:$B$298&gt;=D182))+(N(OR(E182=TRUE(),E182="Y",E182="y",E182="YES",E182="Yes"))*(('GLASS OFFCUTS LIST'!$A$2:$A$298&gt;=D182)*('GLASS OFFCUTS LIST'!$B$2:$B$298&gt;=C182)))&gt;0)),"YES","NO")))</f>
        <v/>
      </c>
      <c r="G182" t="str">
        <f>IF(OR($C$3="",C182="",D182=""),"",IF(SUMPRODUCT(('GLASS OFFCUTS LIST'!$D$2:$D$298=UPPER(TRIM(SUBSTITUTE(SUBSTITUTE($C$3,"   "," "),"  "," "))))*((('GLASS OFFCUTS LIST'!$A$2:$A$298&gt;=C182)*('GLASS OFFCUTS LIST'!$B$2:$B$298&gt;=D182))+(N(OR(E182=TRUE(),E182="Y",E182="y",E182="YES",E182="Yes"))*(('GLASS OFFCUTS LIST'!$A$2:$A$298&gt;=D182)*('GLASS OFFCUTS LIST'!$B$2:$B$298&gt;=C182)))&gt;0))&gt;0,1,0))</f>
        <v/>
      </c>
      <c r="H182" t="str">
        <f>IF(G182="","",SUM($G$7:G182))</f>
        <v/>
      </c>
    </row>
    <row r="183" spans="1:8" x14ac:dyDescent="0.2">
      <c r="A183" s="3">
        <v>177</v>
      </c>
      <c r="B183" s="4"/>
      <c r="C183" s="3"/>
      <c r="D183" s="3"/>
      <c r="E183" s="4"/>
      <c r="F183" s="4" t="str">
        <f>IF(OR($C$3="",C183="",D183=""),"",IF(G183=0,"NO",IF(H183&lt;=SUMPRODUCT(('GLASS OFFCUTS LIST'!$D$2:$D$298=UPPER(TRIM(SUBSTITUTE(SUBSTITUTE($C$3,"   "," "),"  "," "))))*((('GLASS OFFCUTS LIST'!$A$2:$A$298&gt;=C183)*('GLASS OFFCUTS LIST'!$B$2:$B$298&gt;=D183))+(N(OR(E183=TRUE(),E183="Y",E183="y",E183="YES",E183="Yes"))*(('GLASS OFFCUTS LIST'!$A$2:$A$298&gt;=D183)*('GLASS OFFCUTS LIST'!$B$2:$B$298&gt;=C183)))&gt;0)),"YES","NO")))</f>
        <v/>
      </c>
      <c r="G183" t="str">
        <f>IF(OR($C$3="",C183="",D183=""),"",IF(SUMPRODUCT(('GLASS OFFCUTS LIST'!$D$2:$D$298=UPPER(TRIM(SUBSTITUTE(SUBSTITUTE($C$3,"   "," "),"  "," "))))*((('GLASS OFFCUTS LIST'!$A$2:$A$298&gt;=C183)*('GLASS OFFCUTS LIST'!$B$2:$B$298&gt;=D183))+(N(OR(E183=TRUE(),E183="Y",E183="y",E183="YES",E183="Yes"))*(('GLASS OFFCUTS LIST'!$A$2:$A$298&gt;=D183)*('GLASS OFFCUTS LIST'!$B$2:$B$298&gt;=C183)))&gt;0))&gt;0,1,0))</f>
        <v/>
      </c>
      <c r="H183" t="str">
        <f>IF(G183="","",SUM($G$7:G183))</f>
        <v/>
      </c>
    </row>
    <row r="184" spans="1:8" x14ac:dyDescent="0.2">
      <c r="A184" s="3">
        <v>178</v>
      </c>
      <c r="B184" s="4"/>
      <c r="C184" s="3"/>
      <c r="D184" s="3"/>
      <c r="E184" s="4"/>
      <c r="F184" s="4" t="str">
        <f>IF(OR($C$3="",C184="",D184=""),"",IF(G184=0,"NO",IF(H184&lt;=SUMPRODUCT(('GLASS OFFCUTS LIST'!$D$2:$D$298=UPPER(TRIM(SUBSTITUTE(SUBSTITUTE($C$3,"   "," "),"  "," "))))*((('GLASS OFFCUTS LIST'!$A$2:$A$298&gt;=C184)*('GLASS OFFCUTS LIST'!$B$2:$B$298&gt;=D184))+(N(OR(E184=TRUE(),E184="Y",E184="y",E184="YES",E184="Yes"))*(('GLASS OFFCUTS LIST'!$A$2:$A$298&gt;=D184)*('GLASS OFFCUTS LIST'!$B$2:$B$298&gt;=C184)))&gt;0)),"YES","NO")))</f>
        <v/>
      </c>
      <c r="G184" t="str">
        <f>IF(OR($C$3="",C184="",D184=""),"",IF(SUMPRODUCT(('GLASS OFFCUTS LIST'!$D$2:$D$298=UPPER(TRIM(SUBSTITUTE(SUBSTITUTE($C$3,"   "," "),"  "," "))))*((('GLASS OFFCUTS LIST'!$A$2:$A$298&gt;=C184)*('GLASS OFFCUTS LIST'!$B$2:$B$298&gt;=D184))+(N(OR(E184=TRUE(),E184="Y",E184="y",E184="YES",E184="Yes"))*(('GLASS OFFCUTS LIST'!$A$2:$A$298&gt;=D184)*('GLASS OFFCUTS LIST'!$B$2:$B$298&gt;=C184)))&gt;0))&gt;0,1,0))</f>
        <v/>
      </c>
      <c r="H184" t="str">
        <f>IF(G184="","",SUM($G$7:G184))</f>
        <v/>
      </c>
    </row>
    <row r="185" spans="1:8" x14ac:dyDescent="0.2">
      <c r="A185" s="3">
        <v>179</v>
      </c>
      <c r="B185" s="4"/>
      <c r="C185" s="3"/>
      <c r="D185" s="3"/>
      <c r="E185" s="4"/>
      <c r="F185" s="4" t="str">
        <f>IF(OR($C$3="",C185="",D185=""),"",IF(G185=0,"NO",IF(H185&lt;=SUMPRODUCT(('GLASS OFFCUTS LIST'!$D$2:$D$298=UPPER(TRIM(SUBSTITUTE(SUBSTITUTE($C$3,"   "," "),"  "," "))))*((('GLASS OFFCUTS LIST'!$A$2:$A$298&gt;=C185)*('GLASS OFFCUTS LIST'!$B$2:$B$298&gt;=D185))+(N(OR(E185=TRUE(),E185="Y",E185="y",E185="YES",E185="Yes"))*(('GLASS OFFCUTS LIST'!$A$2:$A$298&gt;=D185)*('GLASS OFFCUTS LIST'!$B$2:$B$298&gt;=C185)))&gt;0)),"YES","NO")))</f>
        <v/>
      </c>
      <c r="G185" t="str">
        <f>IF(OR($C$3="",C185="",D185=""),"",IF(SUMPRODUCT(('GLASS OFFCUTS LIST'!$D$2:$D$298=UPPER(TRIM(SUBSTITUTE(SUBSTITUTE($C$3,"   "," "),"  "," "))))*((('GLASS OFFCUTS LIST'!$A$2:$A$298&gt;=C185)*('GLASS OFFCUTS LIST'!$B$2:$B$298&gt;=D185))+(N(OR(E185=TRUE(),E185="Y",E185="y",E185="YES",E185="Yes"))*(('GLASS OFFCUTS LIST'!$A$2:$A$298&gt;=D185)*('GLASS OFFCUTS LIST'!$B$2:$B$298&gt;=C185)))&gt;0))&gt;0,1,0))</f>
        <v/>
      </c>
      <c r="H185" t="str">
        <f>IF(G185="","",SUM($G$7:G185))</f>
        <v/>
      </c>
    </row>
    <row r="186" spans="1:8" x14ac:dyDescent="0.2">
      <c r="A186" s="3">
        <v>180</v>
      </c>
      <c r="B186" s="4"/>
      <c r="C186" s="3"/>
      <c r="D186" s="3"/>
      <c r="E186" s="4"/>
      <c r="F186" s="4" t="str">
        <f>IF(OR($C$3="",C186="",D186=""),"",IF(G186=0,"NO",IF(H186&lt;=SUMPRODUCT(('GLASS OFFCUTS LIST'!$D$2:$D$298=UPPER(TRIM(SUBSTITUTE(SUBSTITUTE($C$3,"   "," "),"  "," "))))*((('GLASS OFFCUTS LIST'!$A$2:$A$298&gt;=C186)*('GLASS OFFCUTS LIST'!$B$2:$B$298&gt;=D186))+(N(OR(E186=TRUE(),E186="Y",E186="y",E186="YES",E186="Yes"))*(('GLASS OFFCUTS LIST'!$A$2:$A$298&gt;=D186)*('GLASS OFFCUTS LIST'!$B$2:$B$298&gt;=C186)))&gt;0)),"YES","NO")))</f>
        <v/>
      </c>
      <c r="G186" t="str">
        <f>IF(OR($C$3="",C186="",D186=""),"",IF(SUMPRODUCT(('GLASS OFFCUTS LIST'!$D$2:$D$298=UPPER(TRIM(SUBSTITUTE(SUBSTITUTE($C$3,"   "," "),"  "," "))))*((('GLASS OFFCUTS LIST'!$A$2:$A$298&gt;=C186)*('GLASS OFFCUTS LIST'!$B$2:$B$298&gt;=D186))+(N(OR(E186=TRUE(),E186="Y",E186="y",E186="YES",E186="Yes"))*(('GLASS OFFCUTS LIST'!$A$2:$A$298&gt;=D186)*('GLASS OFFCUTS LIST'!$B$2:$B$298&gt;=C186)))&gt;0))&gt;0,1,0))</f>
        <v/>
      </c>
      <c r="H186" t="str">
        <f>IF(G186="","",SUM($G$7:G186))</f>
        <v/>
      </c>
    </row>
    <row r="187" spans="1:8" x14ac:dyDescent="0.2">
      <c r="A187" s="3">
        <v>181</v>
      </c>
      <c r="B187" s="4"/>
      <c r="C187" s="3"/>
      <c r="D187" s="3"/>
      <c r="E187" s="4"/>
      <c r="F187" s="4" t="str">
        <f>IF(OR($C$3="",C187="",D187=""),"",IF(G187=0,"NO",IF(H187&lt;=SUMPRODUCT(('GLASS OFFCUTS LIST'!$D$2:$D$298=UPPER(TRIM(SUBSTITUTE(SUBSTITUTE($C$3,"   "," "),"  "," "))))*((('GLASS OFFCUTS LIST'!$A$2:$A$298&gt;=C187)*('GLASS OFFCUTS LIST'!$B$2:$B$298&gt;=D187))+(N(OR(E187=TRUE(),E187="Y",E187="y",E187="YES",E187="Yes"))*(('GLASS OFFCUTS LIST'!$A$2:$A$298&gt;=D187)*('GLASS OFFCUTS LIST'!$B$2:$B$298&gt;=C187)))&gt;0)),"YES","NO")))</f>
        <v/>
      </c>
      <c r="G187" t="str">
        <f>IF(OR($C$3="",C187="",D187=""),"",IF(SUMPRODUCT(('GLASS OFFCUTS LIST'!$D$2:$D$298=UPPER(TRIM(SUBSTITUTE(SUBSTITUTE($C$3,"   "," "),"  "," "))))*((('GLASS OFFCUTS LIST'!$A$2:$A$298&gt;=C187)*('GLASS OFFCUTS LIST'!$B$2:$B$298&gt;=D187))+(N(OR(E187=TRUE(),E187="Y",E187="y",E187="YES",E187="Yes"))*(('GLASS OFFCUTS LIST'!$A$2:$A$298&gt;=D187)*('GLASS OFFCUTS LIST'!$B$2:$B$298&gt;=C187)))&gt;0))&gt;0,1,0))</f>
        <v/>
      </c>
      <c r="H187" t="str">
        <f>IF(G187="","",SUM($G$7:G187))</f>
        <v/>
      </c>
    </row>
    <row r="188" spans="1:8" x14ac:dyDescent="0.2">
      <c r="A188" s="3">
        <v>182</v>
      </c>
      <c r="B188" s="4"/>
      <c r="C188" s="3"/>
      <c r="D188" s="3"/>
      <c r="E188" s="4"/>
      <c r="F188" s="4" t="str">
        <f>IF(OR($C$3="",C188="",D188=""),"",IF(G188=0,"NO",IF(H188&lt;=SUMPRODUCT(('GLASS OFFCUTS LIST'!$D$2:$D$298=UPPER(TRIM(SUBSTITUTE(SUBSTITUTE($C$3,"   "," "),"  "," "))))*((('GLASS OFFCUTS LIST'!$A$2:$A$298&gt;=C188)*('GLASS OFFCUTS LIST'!$B$2:$B$298&gt;=D188))+(N(OR(E188=TRUE(),E188="Y",E188="y",E188="YES",E188="Yes"))*(('GLASS OFFCUTS LIST'!$A$2:$A$298&gt;=D188)*('GLASS OFFCUTS LIST'!$B$2:$B$298&gt;=C188)))&gt;0)),"YES","NO")))</f>
        <v/>
      </c>
      <c r="G188" t="str">
        <f>IF(OR($C$3="",C188="",D188=""),"",IF(SUMPRODUCT(('GLASS OFFCUTS LIST'!$D$2:$D$298=UPPER(TRIM(SUBSTITUTE(SUBSTITUTE($C$3,"   "," "),"  "," "))))*((('GLASS OFFCUTS LIST'!$A$2:$A$298&gt;=C188)*('GLASS OFFCUTS LIST'!$B$2:$B$298&gt;=D188))+(N(OR(E188=TRUE(),E188="Y",E188="y",E188="YES",E188="Yes"))*(('GLASS OFFCUTS LIST'!$A$2:$A$298&gt;=D188)*('GLASS OFFCUTS LIST'!$B$2:$B$298&gt;=C188)))&gt;0))&gt;0,1,0))</f>
        <v/>
      </c>
      <c r="H188" t="str">
        <f>IF(G188="","",SUM($G$7:G188))</f>
        <v/>
      </c>
    </row>
    <row r="189" spans="1:8" x14ac:dyDescent="0.2">
      <c r="A189" s="3">
        <v>183</v>
      </c>
      <c r="B189" s="4"/>
      <c r="C189" s="3"/>
      <c r="D189" s="3"/>
      <c r="E189" s="4"/>
      <c r="F189" s="4" t="str">
        <f>IF(OR($C$3="",C189="",D189=""),"",IF(G189=0,"NO",IF(H189&lt;=SUMPRODUCT(('GLASS OFFCUTS LIST'!$D$2:$D$298=UPPER(TRIM(SUBSTITUTE(SUBSTITUTE($C$3,"   "," "),"  "," "))))*((('GLASS OFFCUTS LIST'!$A$2:$A$298&gt;=C189)*('GLASS OFFCUTS LIST'!$B$2:$B$298&gt;=D189))+(N(OR(E189=TRUE(),E189="Y",E189="y",E189="YES",E189="Yes"))*(('GLASS OFFCUTS LIST'!$A$2:$A$298&gt;=D189)*('GLASS OFFCUTS LIST'!$B$2:$B$298&gt;=C189)))&gt;0)),"YES","NO")))</f>
        <v/>
      </c>
      <c r="G189" t="str">
        <f>IF(OR($C$3="",C189="",D189=""),"",IF(SUMPRODUCT(('GLASS OFFCUTS LIST'!$D$2:$D$298=UPPER(TRIM(SUBSTITUTE(SUBSTITUTE($C$3,"   "," "),"  "," "))))*((('GLASS OFFCUTS LIST'!$A$2:$A$298&gt;=C189)*('GLASS OFFCUTS LIST'!$B$2:$B$298&gt;=D189))+(N(OR(E189=TRUE(),E189="Y",E189="y",E189="YES",E189="Yes"))*(('GLASS OFFCUTS LIST'!$A$2:$A$298&gt;=D189)*('GLASS OFFCUTS LIST'!$B$2:$B$298&gt;=C189)))&gt;0))&gt;0,1,0))</f>
        <v/>
      </c>
      <c r="H189" t="str">
        <f>IF(G189="","",SUM($G$7:G189))</f>
        <v/>
      </c>
    </row>
    <row r="190" spans="1:8" x14ac:dyDescent="0.2">
      <c r="A190" s="3">
        <v>184</v>
      </c>
      <c r="B190" s="4"/>
      <c r="C190" s="3"/>
      <c r="D190" s="3"/>
      <c r="E190" s="4"/>
      <c r="F190" s="4" t="str">
        <f>IF(OR($C$3="",C190="",D190=""),"",IF(G190=0,"NO",IF(H190&lt;=SUMPRODUCT(('GLASS OFFCUTS LIST'!$D$2:$D$298=UPPER(TRIM(SUBSTITUTE(SUBSTITUTE($C$3,"   "," "),"  "," "))))*((('GLASS OFFCUTS LIST'!$A$2:$A$298&gt;=C190)*('GLASS OFFCUTS LIST'!$B$2:$B$298&gt;=D190))+(N(OR(E190=TRUE(),E190="Y",E190="y",E190="YES",E190="Yes"))*(('GLASS OFFCUTS LIST'!$A$2:$A$298&gt;=D190)*('GLASS OFFCUTS LIST'!$B$2:$B$298&gt;=C190)))&gt;0)),"YES","NO")))</f>
        <v/>
      </c>
      <c r="G190" t="str">
        <f>IF(OR($C$3="",C190="",D190=""),"",IF(SUMPRODUCT(('GLASS OFFCUTS LIST'!$D$2:$D$298=UPPER(TRIM(SUBSTITUTE(SUBSTITUTE($C$3,"   "," "),"  "," "))))*((('GLASS OFFCUTS LIST'!$A$2:$A$298&gt;=C190)*('GLASS OFFCUTS LIST'!$B$2:$B$298&gt;=D190))+(N(OR(E190=TRUE(),E190="Y",E190="y",E190="YES",E190="Yes"))*(('GLASS OFFCUTS LIST'!$A$2:$A$298&gt;=D190)*('GLASS OFFCUTS LIST'!$B$2:$B$298&gt;=C190)))&gt;0))&gt;0,1,0))</f>
        <v/>
      </c>
      <c r="H190" t="str">
        <f>IF(G190="","",SUM($G$7:G190))</f>
        <v/>
      </c>
    </row>
    <row r="191" spans="1:8" x14ac:dyDescent="0.2">
      <c r="A191" s="3">
        <v>185</v>
      </c>
      <c r="B191" s="4"/>
      <c r="C191" s="3"/>
      <c r="D191" s="3"/>
      <c r="E191" s="4"/>
      <c r="F191" s="4" t="str">
        <f>IF(OR($C$3="",C191="",D191=""),"",IF(G191=0,"NO",IF(H191&lt;=SUMPRODUCT(('GLASS OFFCUTS LIST'!$D$2:$D$298=UPPER(TRIM(SUBSTITUTE(SUBSTITUTE($C$3,"   "," "),"  "," "))))*((('GLASS OFFCUTS LIST'!$A$2:$A$298&gt;=C191)*('GLASS OFFCUTS LIST'!$B$2:$B$298&gt;=D191))+(N(OR(E191=TRUE(),E191="Y",E191="y",E191="YES",E191="Yes"))*(('GLASS OFFCUTS LIST'!$A$2:$A$298&gt;=D191)*('GLASS OFFCUTS LIST'!$B$2:$B$298&gt;=C191)))&gt;0)),"YES","NO")))</f>
        <v/>
      </c>
      <c r="G191" t="str">
        <f>IF(OR($C$3="",C191="",D191=""),"",IF(SUMPRODUCT(('GLASS OFFCUTS LIST'!$D$2:$D$298=UPPER(TRIM(SUBSTITUTE(SUBSTITUTE($C$3,"   "," "),"  "," "))))*((('GLASS OFFCUTS LIST'!$A$2:$A$298&gt;=C191)*('GLASS OFFCUTS LIST'!$B$2:$B$298&gt;=D191))+(N(OR(E191=TRUE(),E191="Y",E191="y",E191="YES",E191="Yes"))*(('GLASS OFFCUTS LIST'!$A$2:$A$298&gt;=D191)*('GLASS OFFCUTS LIST'!$B$2:$B$298&gt;=C191)))&gt;0))&gt;0,1,0))</f>
        <v/>
      </c>
      <c r="H191" t="str">
        <f>IF(G191="","",SUM($G$7:G191))</f>
        <v/>
      </c>
    </row>
    <row r="192" spans="1:8" x14ac:dyDescent="0.2">
      <c r="A192" s="3">
        <v>186</v>
      </c>
      <c r="B192" s="4"/>
      <c r="C192" s="3"/>
      <c r="D192" s="3"/>
      <c r="E192" s="4"/>
      <c r="F192" s="4" t="str">
        <f>IF(OR($C$3="",C192="",D192=""),"",IF(G192=0,"NO",IF(H192&lt;=SUMPRODUCT(('GLASS OFFCUTS LIST'!$D$2:$D$298=UPPER(TRIM(SUBSTITUTE(SUBSTITUTE($C$3,"   "," "),"  "," "))))*((('GLASS OFFCUTS LIST'!$A$2:$A$298&gt;=C192)*('GLASS OFFCUTS LIST'!$B$2:$B$298&gt;=D192))+(N(OR(E192=TRUE(),E192="Y",E192="y",E192="YES",E192="Yes"))*(('GLASS OFFCUTS LIST'!$A$2:$A$298&gt;=D192)*('GLASS OFFCUTS LIST'!$B$2:$B$298&gt;=C192)))&gt;0)),"YES","NO")))</f>
        <v/>
      </c>
      <c r="G192" t="str">
        <f>IF(OR($C$3="",C192="",D192=""),"",IF(SUMPRODUCT(('GLASS OFFCUTS LIST'!$D$2:$D$298=UPPER(TRIM(SUBSTITUTE(SUBSTITUTE($C$3,"   "," "),"  "," "))))*((('GLASS OFFCUTS LIST'!$A$2:$A$298&gt;=C192)*('GLASS OFFCUTS LIST'!$B$2:$B$298&gt;=D192))+(N(OR(E192=TRUE(),E192="Y",E192="y",E192="YES",E192="Yes"))*(('GLASS OFFCUTS LIST'!$A$2:$A$298&gt;=D192)*('GLASS OFFCUTS LIST'!$B$2:$B$298&gt;=C192)))&gt;0))&gt;0,1,0))</f>
        <v/>
      </c>
      <c r="H192" t="str">
        <f>IF(G192="","",SUM($G$7:G192))</f>
        <v/>
      </c>
    </row>
    <row r="193" spans="1:8" x14ac:dyDescent="0.2">
      <c r="A193" s="3">
        <v>187</v>
      </c>
      <c r="B193" s="4"/>
      <c r="C193" s="3"/>
      <c r="D193" s="3"/>
      <c r="E193" s="4"/>
      <c r="F193" s="4" t="str">
        <f>IF(OR($C$3="",C193="",D193=""),"",IF(G193=0,"NO",IF(H193&lt;=SUMPRODUCT(('GLASS OFFCUTS LIST'!$D$2:$D$298=UPPER(TRIM(SUBSTITUTE(SUBSTITUTE($C$3,"   "," "),"  "," "))))*((('GLASS OFFCUTS LIST'!$A$2:$A$298&gt;=C193)*('GLASS OFFCUTS LIST'!$B$2:$B$298&gt;=D193))+(N(OR(E193=TRUE(),E193="Y",E193="y",E193="YES",E193="Yes"))*(('GLASS OFFCUTS LIST'!$A$2:$A$298&gt;=D193)*('GLASS OFFCUTS LIST'!$B$2:$B$298&gt;=C193)))&gt;0)),"YES","NO")))</f>
        <v/>
      </c>
      <c r="G193" t="str">
        <f>IF(OR($C$3="",C193="",D193=""),"",IF(SUMPRODUCT(('GLASS OFFCUTS LIST'!$D$2:$D$298=UPPER(TRIM(SUBSTITUTE(SUBSTITUTE($C$3,"   "," "),"  "," "))))*((('GLASS OFFCUTS LIST'!$A$2:$A$298&gt;=C193)*('GLASS OFFCUTS LIST'!$B$2:$B$298&gt;=D193))+(N(OR(E193=TRUE(),E193="Y",E193="y",E193="YES",E193="Yes"))*(('GLASS OFFCUTS LIST'!$A$2:$A$298&gt;=D193)*('GLASS OFFCUTS LIST'!$B$2:$B$298&gt;=C193)))&gt;0))&gt;0,1,0))</f>
        <v/>
      </c>
      <c r="H193" t="str">
        <f>IF(G193="","",SUM($G$7:G193))</f>
        <v/>
      </c>
    </row>
    <row r="194" spans="1:8" x14ac:dyDescent="0.2">
      <c r="A194" s="3">
        <v>188</v>
      </c>
      <c r="B194" s="4"/>
      <c r="C194" s="3"/>
      <c r="D194" s="3"/>
      <c r="E194" s="4"/>
      <c r="F194" s="4" t="str">
        <f>IF(OR($C$3="",C194="",D194=""),"",IF(G194=0,"NO",IF(H194&lt;=SUMPRODUCT(('GLASS OFFCUTS LIST'!$D$2:$D$298=UPPER(TRIM(SUBSTITUTE(SUBSTITUTE($C$3,"   "," "),"  "," "))))*((('GLASS OFFCUTS LIST'!$A$2:$A$298&gt;=C194)*('GLASS OFFCUTS LIST'!$B$2:$B$298&gt;=D194))+(N(OR(E194=TRUE(),E194="Y",E194="y",E194="YES",E194="Yes"))*(('GLASS OFFCUTS LIST'!$A$2:$A$298&gt;=D194)*('GLASS OFFCUTS LIST'!$B$2:$B$298&gt;=C194)))&gt;0)),"YES","NO")))</f>
        <v/>
      </c>
      <c r="G194" t="str">
        <f>IF(OR($C$3="",C194="",D194=""),"",IF(SUMPRODUCT(('GLASS OFFCUTS LIST'!$D$2:$D$298=UPPER(TRIM(SUBSTITUTE(SUBSTITUTE($C$3,"   "," "),"  "," "))))*((('GLASS OFFCUTS LIST'!$A$2:$A$298&gt;=C194)*('GLASS OFFCUTS LIST'!$B$2:$B$298&gt;=D194))+(N(OR(E194=TRUE(),E194="Y",E194="y",E194="YES",E194="Yes"))*(('GLASS OFFCUTS LIST'!$A$2:$A$298&gt;=D194)*('GLASS OFFCUTS LIST'!$B$2:$B$298&gt;=C194)))&gt;0))&gt;0,1,0))</f>
        <v/>
      </c>
      <c r="H194" t="str">
        <f>IF(G194="","",SUM($G$7:G194))</f>
        <v/>
      </c>
    </row>
    <row r="195" spans="1:8" x14ac:dyDescent="0.2">
      <c r="A195" s="3">
        <v>189</v>
      </c>
      <c r="B195" s="4"/>
      <c r="C195" s="3"/>
      <c r="D195" s="3"/>
      <c r="E195" s="4"/>
      <c r="F195" s="4" t="str">
        <f>IF(OR($C$3="",C195="",D195=""),"",IF(G195=0,"NO",IF(H195&lt;=SUMPRODUCT(('GLASS OFFCUTS LIST'!$D$2:$D$298=UPPER(TRIM(SUBSTITUTE(SUBSTITUTE($C$3,"   "," "),"  "," "))))*((('GLASS OFFCUTS LIST'!$A$2:$A$298&gt;=C195)*('GLASS OFFCUTS LIST'!$B$2:$B$298&gt;=D195))+(N(OR(E195=TRUE(),E195="Y",E195="y",E195="YES",E195="Yes"))*(('GLASS OFFCUTS LIST'!$A$2:$A$298&gt;=D195)*('GLASS OFFCUTS LIST'!$B$2:$B$298&gt;=C195)))&gt;0)),"YES","NO")))</f>
        <v/>
      </c>
      <c r="G195" t="str">
        <f>IF(OR($C$3="",C195="",D195=""),"",IF(SUMPRODUCT(('GLASS OFFCUTS LIST'!$D$2:$D$298=UPPER(TRIM(SUBSTITUTE(SUBSTITUTE($C$3,"   "," "),"  "," "))))*((('GLASS OFFCUTS LIST'!$A$2:$A$298&gt;=C195)*('GLASS OFFCUTS LIST'!$B$2:$B$298&gt;=D195))+(N(OR(E195=TRUE(),E195="Y",E195="y",E195="YES",E195="Yes"))*(('GLASS OFFCUTS LIST'!$A$2:$A$298&gt;=D195)*('GLASS OFFCUTS LIST'!$B$2:$B$298&gt;=C195)))&gt;0))&gt;0,1,0))</f>
        <v/>
      </c>
      <c r="H195" t="str">
        <f>IF(G195="","",SUM($G$7:G195))</f>
        <v/>
      </c>
    </row>
    <row r="196" spans="1:8" x14ac:dyDescent="0.2">
      <c r="A196" s="3">
        <v>190</v>
      </c>
      <c r="B196" s="4"/>
      <c r="C196" s="3"/>
      <c r="D196" s="3"/>
      <c r="E196" s="4"/>
      <c r="F196" s="4" t="str">
        <f>IF(OR($C$3="",C196="",D196=""),"",IF(G196=0,"NO",IF(H196&lt;=SUMPRODUCT(('GLASS OFFCUTS LIST'!$D$2:$D$298=UPPER(TRIM(SUBSTITUTE(SUBSTITUTE($C$3,"   "," "),"  "," "))))*((('GLASS OFFCUTS LIST'!$A$2:$A$298&gt;=C196)*('GLASS OFFCUTS LIST'!$B$2:$B$298&gt;=D196))+(N(OR(E196=TRUE(),E196="Y",E196="y",E196="YES",E196="Yes"))*(('GLASS OFFCUTS LIST'!$A$2:$A$298&gt;=D196)*('GLASS OFFCUTS LIST'!$B$2:$B$298&gt;=C196)))&gt;0)),"YES","NO")))</f>
        <v/>
      </c>
      <c r="G196" t="str">
        <f>IF(OR($C$3="",C196="",D196=""),"",IF(SUMPRODUCT(('GLASS OFFCUTS LIST'!$D$2:$D$298=UPPER(TRIM(SUBSTITUTE(SUBSTITUTE($C$3,"   "," "),"  "," "))))*((('GLASS OFFCUTS LIST'!$A$2:$A$298&gt;=C196)*('GLASS OFFCUTS LIST'!$B$2:$B$298&gt;=D196))+(N(OR(E196=TRUE(),E196="Y",E196="y",E196="YES",E196="Yes"))*(('GLASS OFFCUTS LIST'!$A$2:$A$298&gt;=D196)*('GLASS OFFCUTS LIST'!$B$2:$B$298&gt;=C196)))&gt;0))&gt;0,1,0))</f>
        <v/>
      </c>
      <c r="H196" t="str">
        <f>IF(G196="","",SUM($G$7:G196))</f>
        <v/>
      </c>
    </row>
    <row r="197" spans="1:8" x14ac:dyDescent="0.2">
      <c r="A197" s="3">
        <v>191</v>
      </c>
      <c r="B197" s="4"/>
      <c r="C197" s="3"/>
      <c r="D197" s="3"/>
      <c r="E197" s="4"/>
      <c r="F197" s="4" t="str">
        <f>IF(OR($C$3="",C197="",D197=""),"",IF(G197=0,"NO",IF(H197&lt;=SUMPRODUCT(('GLASS OFFCUTS LIST'!$D$2:$D$298=UPPER(TRIM(SUBSTITUTE(SUBSTITUTE($C$3,"   "," "),"  "," "))))*((('GLASS OFFCUTS LIST'!$A$2:$A$298&gt;=C197)*('GLASS OFFCUTS LIST'!$B$2:$B$298&gt;=D197))+(N(OR(E197=TRUE(),E197="Y",E197="y",E197="YES",E197="Yes"))*(('GLASS OFFCUTS LIST'!$A$2:$A$298&gt;=D197)*('GLASS OFFCUTS LIST'!$B$2:$B$298&gt;=C197)))&gt;0)),"YES","NO")))</f>
        <v/>
      </c>
      <c r="G197" t="str">
        <f>IF(OR($C$3="",C197="",D197=""),"",IF(SUMPRODUCT(('GLASS OFFCUTS LIST'!$D$2:$D$298=UPPER(TRIM(SUBSTITUTE(SUBSTITUTE($C$3,"   "," "),"  "," "))))*((('GLASS OFFCUTS LIST'!$A$2:$A$298&gt;=C197)*('GLASS OFFCUTS LIST'!$B$2:$B$298&gt;=D197))+(N(OR(E197=TRUE(),E197="Y",E197="y",E197="YES",E197="Yes"))*(('GLASS OFFCUTS LIST'!$A$2:$A$298&gt;=D197)*('GLASS OFFCUTS LIST'!$B$2:$B$298&gt;=C197)))&gt;0))&gt;0,1,0))</f>
        <v/>
      </c>
      <c r="H197" t="str">
        <f>IF(G197="","",SUM($G$7:G197))</f>
        <v/>
      </c>
    </row>
    <row r="198" spans="1:8" x14ac:dyDescent="0.2">
      <c r="A198" s="3">
        <v>192</v>
      </c>
      <c r="B198" s="4"/>
      <c r="C198" s="3"/>
      <c r="D198" s="3"/>
      <c r="E198" s="4"/>
      <c r="F198" s="4" t="str">
        <f>IF(OR($C$3="",C198="",D198=""),"",IF(G198=0,"NO",IF(H198&lt;=SUMPRODUCT(('GLASS OFFCUTS LIST'!$D$2:$D$298=UPPER(TRIM(SUBSTITUTE(SUBSTITUTE($C$3,"   "," "),"  "," "))))*((('GLASS OFFCUTS LIST'!$A$2:$A$298&gt;=C198)*('GLASS OFFCUTS LIST'!$B$2:$B$298&gt;=D198))+(N(OR(E198=TRUE(),E198="Y",E198="y",E198="YES",E198="Yes"))*(('GLASS OFFCUTS LIST'!$A$2:$A$298&gt;=D198)*('GLASS OFFCUTS LIST'!$B$2:$B$298&gt;=C198)))&gt;0)),"YES","NO")))</f>
        <v/>
      </c>
      <c r="G198" t="str">
        <f>IF(OR($C$3="",C198="",D198=""),"",IF(SUMPRODUCT(('GLASS OFFCUTS LIST'!$D$2:$D$298=UPPER(TRIM(SUBSTITUTE(SUBSTITUTE($C$3,"   "," "),"  "," "))))*((('GLASS OFFCUTS LIST'!$A$2:$A$298&gt;=C198)*('GLASS OFFCUTS LIST'!$B$2:$B$298&gt;=D198))+(N(OR(E198=TRUE(),E198="Y",E198="y",E198="YES",E198="Yes"))*(('GLASS OFFCUTS LIST'!$A$2:$A$298&gt;=D198)*('GLASS OFFCUTS LIST'!$B$2:$B$298&gt;=C198)))&gt;0))&gt;0,1,0))</f>
        <v/>
      </c>
      <c r="H198" t="str">
        <f>IF(G198="","",SUM($G$7:G198))</f>
        <v/>
      </c>
    </row>
    <row r="199" spans="1:8" x14ac:dyDescent="0.2">
      <c r="A199" s="3">
        <v>193</v>
      </c>
      <c r="B199" s="4"/>
      <c r="C199" s="3"/>
      <c r="D199" s="3"/>
      <c r="E199" s="4"/>
      <c r="F199" s="4" t="str">
        <f>IF(OR($C$3="",C199="",D199=""),"",IF(G199=0,"NO",IF(H199&lt;=SUMPRODUCT(('GLASS OFFCUTS LIST'!$D$2:$D$298=UPPER(TRIM(SUBSTITUTE(SUBSTITUTE($C$3,"   "," "),"  "," "))))*((('GLASS OFFCUTS LIST'!$A$2:$A$298&gt;=C199)*('GLASS OFFCUTS LIST'!$B$2:$B$298&gt;=D199))+(N(OR(E199=TRUE(),E199="Y",E199="y",E199="YES",E199="Yes"))*(('GLASS OFFCUTS LIST'!$A$2:$A$298&gt;=D199)*('GLASS OFFCUTS LIST'!$B$2:$B$298&gt;=C199)))&gt;0)),"YES","NO")))</f>
        <v/>
      </c>
      <c r="G199" t="str">
        <f>IF(OR($C$3="",C199="",D199=""),"",IF(SUMPRODUCT(('GLASS OFFCUTS LIST'!$D$2:$D$298=UPPER(TRIM(SUBSTITUTE(SUBSTITUTE($C$3,"   "," "),"  "," "))))*((('GLASS OFFCUTS LIST'!$A$2:$A$298&gt;=C199)*('GLASS OFFCUTS LIST'!$B$2:$B$298&gt;=D199))+(N(OR(E199=TRUE(),E199="Y",E199="y",E199="YES",E199="Yes"))*(('GLASS OFFCUTS LIST'!$A$2:$A$298&gt;=D199)*('GLASS OFFCUTS LIST'!$B$2:$B$298&gt;=C199)))&gt;0))&gt;0,1,0))</f>
        <v/>
      </c>
      <c r="H199" t="str">
        <f>IF(G199="","",SUM($G$7:G199))</f>
        <v/>
      </c>
    </row>
    <row r="200" spans="1:8" x14ac:dyDescent="0.2">
      <c r="A200" s="3">
        <v>194</v>
      </c>
      <c r="B200" s="4"/>
      <c r="C200" s="3"/>
      <c r="D200" s="3"/>
      <c r="E200" s="4"/>
      <c r="F200" s="4" t="str">
        <f>IF(OR($C$3="",C200="",D200=""),"",IF(G200=0,"NO",IF(H200&lt;=SUMPRODUCT(('GLASS OFFCUTS LIST'!$D$2:$D$298=UPPER(TRIM(SUBSTITUTE(SUBSTITUTE($C$3,"   "," "),"  "," "))))*((('GLASS OFFCUTS LIST'!$A$2:$A$298&gt;=C200)*('GLASS OFFCUTS LIST'!$B$2:$B$298&gt;=D200))+(N(OR(E200=TRUE(),E200="Y",E200="y",E200="YES",E200="Yes"))*(('GLASS OFFCUTS LIST'!$A$2:$A$298&gt;=D200)*('GLASS OFFCUTS LIST'!$B$2:$B$298&gt;=C200)))&gt;0)),"YES","NO")))</f>
        <v/>
      </c>
      <c r="G200" t="str">
        <f>IF(OR($C$3="",C200="",D200=""),"",IF(SUMPRODUCT(('GLASS OFFCUTS LIST'!$D$2:$D$298=UPPER(TRIM(SUBSTITUTE(SUBSTITUTE($C$3,"   "," "),"  "," "))))*((('GLASS OFFCUTS LIST'!$A$2:$A$298&gt;=C200)*('GLASS OFFCUTS LIST'!$B$2:$B$298&gt;=D200))+(N(OR(E200=TRUE(),E200="Y",E200="y",E200="YES",E200="Yes"))*(('GLASS OFFCUTS LIST'!$A$2:$A$298&gt;=D200)*('GLASS OFFCUTS LIST'!$B$2:$B$298&gt;=C200)))&gt;0))&gt;0,1,0))</f>
        <v/>
      </c>
      <c r="H200" t="str">
        <f>IF(G200="","",SUM($G$7:G200))</f>
        <v/>
      </c>
    </row>
    <row r="201" spans="1:8" x14ac:dyDescent="0.2">
      <c r="A201" s="3">
        <v>195</v>
      </c>
      <c r="B201" s="4"/>
      <c r="C201" s="3"/>
      <c r="D201" s="3"/>
      <c r="E201" s="4"/>
      <c r="F201" s="4" t="str">
        <f>IF(OR($C$3="",C201="",D201=""),"",IF(G201=0,"NO",IF(H201&lt;=SUMPRODUCT(('GLASS OFFCUTS LIST'!$D$2:$D$298=UPPER(TRIM(SUBSTITUTE(SUBSTITUTE($C$3,"   "," "),"  "," "))))*((('GLASS OFFCUTS LIST'!$A$2:$A$298&gt;=C201)*('GLASS OFFCUTS LIST'!$B$2:$B$298&gt;=D201))+(N(OR(E201=TRUE(),E201="Y",E201="y",E201="YES",E201="Yes"))*(('GLASS OFFCUTS LIST'!$A$2:$A$298&gt;=D201)*('GLASS OFFCUTS LIST'!$B$2:$B$298&gt;=C201)))&gt;0)),"YES","NO")))</f>
        <v/>
      </c>
      <c r="G201" t="str">
        <f>IF(OR($C$3="",C201="",D201=""),"",IF(SUMPRODUCT(('GLASS OFFCUTS LIST'!$D$2:$D$298=UPPER(TRIM(SUBSTITUTE(SUBSTITUTE($C$3,"   "," "),"  "," "))))*((('GLASS OFFCUTS LIST'!$A$2:$A$298&gt;=C201)*('GLASS OFFCUTS LIST'!$B$2:$B$298&gt;=D201))+(N(OR(E201=TRUE(),E201="Y",E201="y",E201="YES",E201="Yes"))*(('GLASS OFFCUTS LIST'!$A$2:$A$298&gt;=D201)*('GLASS OFFCUTS LIST'!$B$2:$B$298&gt;=C201)))&gt;0))&gt;0,1,0))</f>
        <v/>
      </c>
      <c r="H201" t="str">
        <f>IF(G201="","",SUM($G$7:G201))</f>
        <v/>
      </c>
    </row>
    <row r="202" spans="1:8" x14ac:dyDescent="0.2">
      <c r="A202" s="3">
        <v>196</v>
      </c>
      <c r="B202" s="4"/>
      <c r="C202" s="3"/>
      <c r="D202" s="3"/>
      <c r="E202" s="4"/>
      <c r="F202" s="4" t="str">
        <f>IF(OR($C$3="",C202="",D202=""),"",IF(G202=0,"NO",IF(H202&lt;=SUMPRODUCT(('GLASS OFFCUTS LIST'!$D$2:$D$298=UPPER(TRIM(SUBSTITUTE(SUBSTITUTE($C$3,"   "," "),"  "," "))))*((('GLASS OFFCUTS LIST'!$A$2:$A$298&gt;=C202)*('GLASS OFFCUTS LIST'!$B$2:$B$298&gt;=D202))+(N(OR(E202=TRUE(),E202="Y",E202="y",E202="YES",E202="Yes"))*(('GLASS OFFCUTS LIST'!$A$2:$A$298&gt;=D202)*('GLASS OFFCUTS LIST'!$B$2:$B$298&gt;=C202)))&gt;0)),"YES","NO")))</f>
        <v/>
      </c>
      <c r="G202" t="str">
        <f>IF(OR($C$3="",C202="",D202=""),"",IF(SUMPRODUCT(('GLASS OFFCUTS LIST'!$D$2:$D$298=UPPER(TRIM(SUBSTITUTE(SUBSTITUTE($C$3,"   "," "),"  "," "))))*((('GLASS OFFCUTS LIST'!$A$2:$A$298&gt;=C202)*('GLASS OFFCUTS LIST'!$B$2:$B$298&gt;=D202))+(N(OR(E202=TRUE(),E202="Y",E202="y",E202="YES",E202="Yes"))*(('GLASS OFFCUTS LIST'!$A$2:$A$298&gt;=D202)*('GLASS OFFCUTS LIST'!$B$2:$B$298&gt;=C202)))&gt;0))&gt;0,1,0))</f>
        <v/>
      </c>
      <c r="H202" t="str">
        <f>IF(G202="","",SUM($G$7:G202))</f>
        <v/>
      </c>
    </row>
    <row r="203" spans="1:8" x14ac:dyDescent="0.2">
      <c r="A203" s="3">
        <v>197</v>
      </c>
      <c r="B203" s="4"/>
      <c r="C203" s="3"/>
      <c r="D203" s="3"/>
      <c r="E203" s="4"/>
      <c r="F203" s="4" t="str">
        <f>IF(OR($C$3="",C203="",D203=""),"",IF(G203=0,"NO",IF(H203&lt;=SUMPRODUCT(('GLASS OFFCUTS LIST'!$D$2:$D$298=UPPER(TRIM(SUBSTITUTE(SUBSTITUTE($C$3,"   "," "),"  "," "))))*((('GLASS OFFCUTS LIST'!$A$2:$A$298&gt;=C203)*('GLASS OFFCUTS LIST'!$B$2:$B$298&gt;=D203))+(N(OR(E203=TRUE(),E203="Y",E203="y",E203="YES",E203="Yes"))*(('GLASS OFFCUTS LIST'!$A$2:$A$298&gt;=D203)*('GLASS OFFCUTS LIST'!$B$2:$B$298&gt;=C203)))&gt;0)),"YES","NO")))</f>
        <v/>
      </c>
      <c r="G203" t="str">
        <f>IF(OR($C$3="",C203="",D203=""),"",IF(SUMPRODUCT(('GLASS OFFCUTS LIST'!$D$2:$D$298=UPPER(TRIM(SUBSTITUTE(SUBSTITUTE($C$3,"   "," "),"  "," "))))*((('GLASS OFFCUTS LIST'!$A$2:$A$298&gt;=C203)*('GLASS OFFCUTS LIST'!$B$2:$B$298&gt;=D203))+(N(OR(E203=TRUE(),E203="Y",E203="y",E203="YES",E203="Yes"))*(('GLASS OFFCUTS LIST'!$A$2:$A$298&gt;=D203)*('GLASS OFFCUTS LIST'!$B$2:$B$298&gt;=C203)))&gt;0))&gt;0,1,0))</f>
        <v/>
      </c>
      <c r="H203" t="str">
        <f>IF(G203="","",SUM($G$7:G203))</f>
        <v/>
      </c>
    </row>
    <row r="204" spans="1:8" x14ac:dyDescent="0.2">
      <c r="A204" s="3">
        <v>198</v>
      </c>
      <c r="B204" s="4"/>
      <c r="C204" s="3"/>
      <c r="D204" s="3"/>
      <c r="E204" s="4"/>
      <c r="F204" s="4" t="str">
        <f>IF(OR($C$3="",C204="",D204=""),"",IF(G204=0,"NO",IF(H204&lt;=SUMPRODUCT(('GLASS OFFCUTS LIST'!$D$2:$D$298=UPPER(TRIM(SUBSTITUTE(SUBSTITUTE($C$3,"   "," "),"  "," "))))*((('GLASS OFFCUTS LIST'!$A$2:$A$298&gt;=C204)*('GLASS OFFCUTS LIST'!$B$2:$B$298&gt;=D204))+(N(OR(E204=TRUE(),E204="Y",E204="y",E204="YES",E204="Yes"))*(('GLASS OFFCUTS LIST'!$A$2:$A$298&gt;=D204)*('GLASS OFFCUTS LIST'!$B$2:$B$298&gt;=C204)))&gt;0)),"YES","NO")))</f>
        <v/>
      </c>
      <c r="G204" t="str">
        <f>IF(OR($C$3="",C204="",D204=""),"",IF(SUMPRODUCT(('GLASS OFFCUTS LIST'!$D$2:$D$298=UPPER(TRIM(SUBSTITUTE(SUBSTITUTE($C$3,"   "," "),"  "," "))))*((('GLASS OFFCUTS LIST'!$A$2:$A$298&gt;=C204)*('GLASS OFFCUTS LIST'!$B$2:$B$298&gt;=D204))+(N(OR(E204=TRUE(),E204="Y",E204="y",E204="YES",E204="Yes"))*(('GLASS OFFCUTS LIST'!$A$2:$A$298&gt;=D204)*('GLASS OFFCUTS LIST'!$B$2:$B$298&gt;=C204)))&gt;0))&gt;0,1,0))</f>
        <v/>
      </c>
      <c r="H204" t="str">
        <f>IF(G204="","",SUM($G$7:G204))</f>
        <v/>
      </c>
    </row>
    <row r="205" spans="1:8" x14ac:dyDescent="0.2">
      <c r="A205" s="3">
        <v>199</v>
      </c>
      <c r="B205" s="4"/>
      <c r="C205" s="3"/>
      <c r="D205" s="3"/>
      <c r="E205" s="4"/>
      <c r="F205" s="4" t="str">
        <f>IF(OR($C$3="",C205="",D205=""),"",IF(G205=0,"NO",IF(H205&lt;=SUMPRODUCT(('GLASS OFFCUTS LIST'!$D$2:$D$298=UPPER(TRIM(SUBSTITUTE(SUBSTITUTE($C$3,"   "," "),"  "," "))))*((('GLASS OFFCUTS LIST'!$A$2:$A$298&gt;=C205)*('GLASS OFFCUTS LIST'!$B$2:$B$298&gt;=D205))+(N(OR(E205=TRUE(),E205="Y",E205="y",E205="YES",E205="Yes"))*(('GLASS OFFCUTS LIST'!$A$2:$A$298&gt;=D205)*('GLASS OFFCUTS LIST'!$B$2:$B$298&gt;=C205)))&gt;0)),"YES","NO")))</f>
        <v/>
      </c>
      <c r="G205" t="str">
        <f>IF(OR($C$3="",C205="",D205=""),"",IF(SUMPRODUCT(('GLASS OFFCUTS LIST'!$D$2:$D$298=UPPER(TRIM(SUBSTITUTE(SUBSTITUTE($C$3,"   "," "),"  "," "))))*((('GLASS OFFCUTS LIST'!$A$2:$A$298&gt;=C205)*('GLASS OFFCUTS LIST'!$B$2:$B$298&gt;=D205))+(N(OR(E205=TRUE(),E205="Y",E205="y",E205="YES",E205="Yes"))*(('GLASS OFFCUTS LIST'!$A$2:$A$298&gt;=D205)*('GLASS OFFCUTS LIST'!$B$2:$B$298&gt;=C205)))&gt;0))&gt;0,1,0))</f>
        <v/>
      </c>
      <c r="H205" t="str">
        <f>IF(G205="","",SUM($G$7:G205))</f>
        <v/>
      </c>
    </row>
    <row r="206" spans="1:8" x14ac:dyDescent="0.2">
      <c r="A206" s="3">
        <v>200</v>
      </c>
      <c r="B206" s="4"/>
      <c r="C206" s="3"/>
      <c r="D206" s="3"/>
      <c r="E206" s="4"/>
      <c r="F206" s="4" t="str">
        <f>IF(OR($C$3="",C206="",D206=""),"",IF(G206=0,"NO",IF(H206&lt;=SUMPRODUCT(('GLASS OFFCUTS LIST'!$D$2:$D$298=UPPER(TRIM(SUBSTITUTE(SUBSTITUTE($C$3,"   "," "),"  "," "))))*((('GLASS OFFCUTS LIST'!$A$2:$A$298&gt;=C206)*('GLASS OFFCUTS LIST'!$B$2:$B$298&gt;=D206))+(N(OR(E206=TRUE(),E206="Y",E206="y",E206="YES",E206="Yes"))*(('GLASS OFFCUTS LIST'!$A$2:$A$298&gt;=D206)*('GLASS OFFCUTS LIST'!$B$2:$B$298&gt;=C206)))&gt;0)),"YES","NO")))</f>
        <v/>
      </c>
      <c r="G206" t="str">
        <f>IF(OR($C$3="",C206="",D206=""),"",IF(SUMPRODUCT(('GLASS OFFCUTS LIST'!$D$2:$D$298=UPPER(TRIM(SUBSTITUTE(SUBSTITUTE($C$3,"   "," "),"  "," "))))*((('GLASS OFFCUTS LIST'!$A$2:$A$298&gt;=C206)*('GLASS OFFCUTS LIST'!$B$2:$B$298&gt;=D206))+(N(OR(E206=TRUE(),E206="Y",E206="y",E206="YES",E206="Yes"))*(('GLASS OFFCUTS LIST'!$A$2:$A$298&gt;=D206)*('GLASS OFFCUTS LIST'!$B$2:$B$298&gt;=C206)))&gt;0))&gt;0,1,0))</f>
        <v/>
      </c>
      <c r="H206" t="str">
        <f>IF(G206="","",SUM($G$7:G206))</f>
        <v/>
      </c>
    </row>
    <row r="207" spans="1:8" x14ac:dyDescent="0.2">
      <c r="A207" s="3">
        <v>201</v>
      </c>
      <c r="B207" s="4"/>
      <c r="C207" s="3"/>
      <c r="D207" s="3"/>
      <c r="E207" s="4"/>
      <c r="F207" s="4" t="str">
        <f>IF(OR($C$3="",C207="",D207=""),"",IF(G207=0,"NO",IF(H207&lt;=SUMPRODUCT(('GLASS OFFCUTS LIST'!$D$2:$D$298=UPPER(TRIM(SUBSTITUTE(SUBSTITUTE($C$3,"   "," "),"  "," "))))*((('GLASS OFFCUTS LIST'!$A$2:$A$298&gt;=C207)*('GLASS OFFCUTS LIST'!$B$2:$B$298&gt;=D207))+(N(OR(E207=TRUE(),E207="Y",E207="y",E207="YES",E207="Yes"))*(('GLASS OFFCUTS LIST'!$A$2:$A$298&gt;=D207)*('GLASS OFFCUTS LIST'!$B$2:$B$298&gt;=C207)))&gt;0)),"YES","NO")))</f>
        <v/>
      </c>
      <c r="G207" t="str">
        <f>IF(OR($C$3="",C207="",D207=""),"",IF(SUMPRODUCT(('GLASS OFFCUTS LIST'!$D$2:$D$298=UPPER(TRIM(SUBSTITUTE(SUBSTITUTE($C$3,"   "," "),"  "," "))))*((('GLASS OFFCUTS LIST'!$A$2:$A$298&gt;=C207)*('GLASS OFFCUTS LIST'!$B$2:$B$298&gt;=D207))+(N(OR(E207=TRUE(),E207="Y",E207="y",E207="YES",E207="Yes"))*(('GLASS OFFCUTS LIST'!$A$2:$A$298&gt;=D207)*('GLASS OFFCUTS LIST'!$B$2:$B$298&gt;=C207)))&gt;0))&gt;0,1,0))</f>
        <v/>
      </c>
      <c r="H207" t="str">
        <f>IF(G207="","",SUM($G$7:G207))</f>
        <v/>
      </c>
    </row>
    <row r="208" spans="1:8" x14ac:dyDescent="0.2">
      <c r="A208" s="3">
        <v>202</v>
      </c>
      <c r="B208" s="4"/>
      <c r="C208" s="3"/>
      <c r="D208" s="3"/>
      <c r="E208" s="4"/>
      <c r="F208" s="4" t="str">
        <f>IF(OR($C$3="",C208="",D208=""),"",IF(G208=0,"NO",IF(H208&lt;=SUMPRODUCT(('GLASS OFFCUTS LIST'!$D$2:$D$298=UPPER(TRIM(SUBSTITUTE(SUBSTITUTE($C$3,"   "," "),"  "," "))))*((('GLASS OFFCUTS LIST'!$A$2:$A$298&gt;=C208)*('GLASS OFFCUTS LIST'!$B$2:$B$298&gt;=D208))+(N(OR(E208=TRUE(),E208="Y",E208="y",E208="YES",E208="Yes"))*(('GLASS OFFCUTS LIST'!$A$2:$A$298&gt;=D208)*('GLASS OFFCUTS LIST'!$B$2:$B$298&gt;=C208)))&gt;0)),"YES","NO")))</f>
        <v/>
      </c>
      <c r="G208" t="str">
        <f>IF(OR($C$3="",C208="",D208=""),"",IF(SUMPRODUCT(('GLASS OFFCUTS LIST'!$D$2:$D$298=UPPER(TRIM(SUBSTITUTE(SUBSTITUTE($C$3,"   "," "),"  "," "))))*((('GLASS OFFCUTS LIST'!$A$2:$A$298&gt;=C208)*('GLASS OFFCUTS LIST'!$B$2:$B$298&gt;=D208))+(N(OR(E208=TRUE(),E208="Y",E208="y",E208="YES",E208="Yes"))*(('GLASS OFFCUTS LIST'!$A$2:$A$298&gt;=D208)*('GLASS OFFCUTS LIST'!$B$2:$B$298&gt;=C208)))&gt;0))&gt;0,1,0))</f>
        <v/>
      </c>
      <c r="H208" t="str">
        <f>IF(G208="","",SUM($G$7:G208))</f>
        <v/>
      </c>
    </row>
    <row r="209" spans="1:8" x14ac:dyDescent="0.2">
      <c r="A209" s="3">
        <v>203</v>
      </c>
      <c r="B209" s="4"/>
      <c r="C209" s="3"/>
      <c r="D209" s="3"/>
      <c r="E209" s="4"/>
      <c r="F209" s="4" t="str">
        <f>IF(OR($C$3="",C209="",D209=""),"",IF(G209=0,"NO",IF(H209&lt;=SUMPRODUCT(('GLASS OFFCUTS LIST'!$D$2:$D$298=UPPER(TRIM(SUBSTITUTE(SUBSTITUTE($C$3,"   "," "),"  "," "))))*((('GLASS OFFCUTS LIST'!$A$2:$A$298&gt;=C209)*('GLASS OFFCUTS LIST'!$B$2:$B$298&gt;=D209))+(N(OR(E209=TRUE(),E209="Y",E209="y",E209="YES",E209="Yes"))*(('GLASS OFFCUTS LIST'!$A$2:$A$298&gt;=D209)*('GLASS OFFCUTS LIST'!$B$2:$B$298&gt;=C209)))&gt;0)),"YES","NO")))</f>
        <v/>
      </c>
      <c r="G209" t="str">
        <f>IF(OR($C$3="",C209="",D209=""),"",IF(SUMPRODUCT(('GLASS OFFCUTS LIST'!$D$2:$D$298=UPPER(TRIM(SUBSTITUTE(SUBSTITUTE($C$3,"   "," "),"  "," "))))*((('GLASS OFFCUTS LIST'!$A$2:$A$298&gt;=C209)*('GLASS OFFCUTS LIST'!$B$2:$B$298&gt;=D209))+(N(OR(E209=TRUE(),E209="Y",E209="y",E209="YES",E209="Yes"))*(('GLASS OFFCUTS LIST'!$A$2:$A$298&gt;=D209)*('GLASS OFFCUTS LIST'!$B$2:$B$298&gt;=C209)))&gt;0))&gt;0,1,0))</f>
        <v/>
      </c>
      <c r="H209" t="str">
        <f>IF(G209="","",SUM($G$7:G209))</f>
        <v/>
      </c>
    </row>
    <row r="210" spans="1:8" x14ac:dyDescent="0.2">
      <c r="A210" s="3">
        <v>204</v>
      </c>
      <c r="B210" s="4"/>
      <c r="C210" s="3"/>
      <c r="D210" s="3"/>
      <c r="E210" s="4"/>
      <c r="F210" s="4" t="str">
        <f>IF(OR($C$3="",C210="",D210=""),"",IF(G210=0,"NO",IF(H210&lt;=SUMPRODUCT(('GLASS OFFCUTS LIST'!$D$2:$D$298=UPPER(TRIM(SUBSTITUTE(SUBSTITUTE($C$3,"   "," "),"  "," "))))*((('GLASS OFFCUTS LIST'!$A$2:$A$298&gt;=C210)*('GLASS OFFCUTS LIST'!$B$2:$B$298&gt;=D210))+(N(OR(E210=TRUE(),E210="Y",E210="y",E210="YES",E210="Yes"))*(('GLASS OFFCUTS LIST'!$A$2:$A$298&gt;=D210)*('GLASS OFFCUTS LIST'!$B$2:$B$298&gt;=C210)))&gt;0)),"YES","NO")))</f>
        <v/>
      </c>
      <c r="G210" t="str">
        <f>IF(OR($C$3="",C210="",D210=""),"",IF(SUMPRODUCT(('GLASS OFFCUTS LIST'!$D$2:$D$298=UPPER(TRIM(SUBSTITUTE(SUBSTITUTE($C$3,"   "," "),"  "," "))))*((('GLASS OFFCUTS LIST'!$A$2:$A$298&gt;=C210)*('GLASS OFFCUTS LIST'!$B$2:$B$298&gt;=D210))+(N(OR(E210=TRUE(),E210="Y",E210="y",E210="YES",E210="Yes"))*(('GLASS OFFCUTS LIST'!$A$2:$A$298&gt;=D210)*('GLASS OFFCUTS LIST'!$B$2:$B$298&gt;=C210)))&gt;0))&gt;0,1,0))</f>
        <v/>
      </c>
      <c r="H210" t="str">
        <f>IF(G210="","",SUM($G$7:G210))</f>
        <v/>
      </c>
    </row>
    <row r="211" spans="1:8" x14ac:dyDescent="0.2">
      <c r="A211" s="3">
        <v>205</v>
      </c>
      <c r="B211" s="4"/>
      <c r="C211" s="3"/>
      <c r="D211" s="3"/>
      <c r="E211" s="4"/>
      <c r="F211" s="4" t="str">
        <f>IF(OR($C$3="",C211="",D211=""),"",IF(G211=0,"NO",IF(H211&lt;=SUMPRODUCT(('GLASS OFFCUTS LIST'!$D$2:$D$298=UPPER(TRIM(SUBSTITUTE(SUBSTITUTE($C$3,"   "," "),"  "," "))))*((('GLASS OFFCUTS LIST'!$A$2:$A$298&gt;=C211)*('GLASS OFFCUTS LIST'!$B$2:$B$298&gt;=D211))+(N(OR(E211=TRUE(),E211="Y",E211="y",E211="YES",E211="Yes"))*(('GLASS OFFCUTS LIST'!$A$2:$A$298&gt;=D211)*('GLASS OFFCUTS LIST'!$B$2:$B$298&gt;=C211)))&gt;0)),"YES","NO")))</f>
        <v/>
      </c>
      <c r="G211" t="str">
        <f>IF(OR($C$3="",C211="",D211=""),"",IF(SUMPRODUCT(('GLASS OFFCUTS LIST'!$D$2:$D$298=UPPER(TRIM(SUBSTITUTE(SUBSTITUTE($C$3,"   "," "),"  "," "))))*((('GLASS OFFCUTS LIST'!$A$2:$A$298&gt;=C211)*('GLASS OFFCUTS LIST'!$B$2:$B$298&gt;=D211))+(N(OR(E211=TRUE(),E211="Y",E211="y",E211="YES",E211="Yes"))*(('GLASS OFFCUTS LIST'!$A$2:$A$298&gt;=D211)*('GLASS OFFCUTS LIST'!$B$2:$B$298&gt;=C211)))&gt;0))&gt;0,1,0))</f>
        <v/>
      </c>
      <c r="H211" t="str">
        <f>IF(G211="","",SUM($G$7:G211))</f>
        <v/>
      </c>
    </row>
    <row r="212" spans="1:8" x14ac:dyDescent="0.2">
      <c r="A212" s="3">
        <v>206</v>
      </c>
      <c r="B212" s="4"/>
      <c r="C212" s="3"/>
      <c r="D212" s="3"/>
      <c r="E212" s="4"/>
      <c r="F212" s="4" t="str">
        <f>IF(OR($C$3="",C212="",D212=""),"",IF(G212=0,"NO",IF(H212&lt;=SUMPRODUCT(('GLASS OFFCUTS LIST'!$D$2:$D$298=UPPER(TRIM(SUBSTITUTE(SUBSTITUTE($C$3,"   "," "),"  "," "))))*((('GLASS OFFCUTS LIST'!$A$2:$A$298&gt;=C212)*('GLASS OFFCUTS LIST'!$B$2:$B$298&gt;=D212))+(N(OR(E212=TRUE(),E212="Y",E212="y",E212="YES",E212="Yes"))*(('GLASS OFFCUTS LIST'!$A$2:$A$298&gt;=D212)*('GLASS OFFCUTS LIST'!$B$2:$B$298&gt;=C212)))&gt;0)),"YES","NO")))</f>
        <v/>
      </c>
      <c r="G212" t="str">
        <f>IF(OR($C$3="",C212="",D212=""),"",IF(SUMPRODUCT(('GLASS OFFCUTS LIST'!$D$2:$D$298=UPPER(TRIM(SUBSTITUTE(SUBSTITUTE($C$3,"   "," "),"  "," "))))*((('GLASS OFFCUTS LIST'!$A$2:$A$298&gt;=C212)*('GLASS OFFCUTS LIST'!$B$2:$B$298&gt;=D212))+(N(OR(E212=TRUE(),E212="Y",E212="y",E212="YES",E212="Yes"))*(('GLASS OFFCUTS LIST'!$A$2:$A$298&gt;=D212)*('GLASS OFFCUTS LIST'!$B$2:$B$298&gt;=C212)))&gt;0))&gt;0,1,0))</f>
        <v/>
      </c>
      <c r="H212" t="str">
        <f>IF(G212="","",SUM($G$7:G212))</f>
        <v/>
      </c>
    </row>
    <row r="213" spans="1:8" x14ac:dyDescent="0.2">
      <c r="A213" s="3">
        <v>207</v>
      </c>
      <c r="B213" s="4"/>
      <c r="C213" s="3"/>
      <c r="D213" s="3"/>
      <c r="E213" s="4"/>
      <c r="F213" s="4" t="str">
        <f>IF(OR($C$3="",C213="",D213=""),"",IF(G213=0,"NO",IF(H213&lt;=SUMPRODUCT(('GLASS OFFCUTS LIST'!$D$2:$D$298=UPPER(TRIM(SUBSTITUTE(SUBSTITUTE($C$3,"   "," "),"  "," "))))*((('GLASS OFFCUTS LIST'!$A$2:$A$298&gt;=C213)*('GLASS OFFCUTS LIST'!$B$2:$B$298&gt;=D213))+(N(OR(E213=TRUE(),E213="Y",E213="y",E213="YES",E213="Yes"))*(('GLASS OFFCUTS LIST'!$A$2:$A$298&gt;=D213)*('GLASS OFFCUTS LIST'!$B$2:$B$298&gt;=C213)))&gt;0)),"YES","NO")))</f>
        <v/>
      </c>
      <c r="G213" t="str">
        <f>IF(OR($C$3="",C213="",D213=""),"",IF(SUMPRODUCT(('GLASS OFFCUTS LIST'!$D$2:$D$298=UPPER(TRIM(SUBSTITUTE(SUBSTITUTE($C$3,"   "," "),"  "," "))))*((('GLASS OFFCUTS LIST'!$A$2:$A$298&gt;=C213)*('GLASS OFFCUTS LIST'!$B$2:$B$298&gt;=D213))+(N(OR(E213=TRUE(),E213="Y",E213="y",E213="YES",E213="Yes"))*(('GLASS OFFCUTS LIST'!$A$2:$A$298&gt;=D213)*('GLASS OFFCUTS LIST'!$B$2:$B$298&gt;=C213)))&gt;0))&gt;0,1,0))</f>
        <v/>
      </c>
      <c r="H213" t="str">
        <f>IF(G213="","",SUM($G$7:G213))</f>
        <v/>
      </c>
    </row>
    <row r="214" spans="1:8" x14ac:dyDescent="0.2">
      <c r="A214" s="3">
        <v>208</v>
      </c>
      <c r="B214" s="4"/>
      <c r="C214" s="3"/>
      <c r="D214" s="3"/>
      <c r="E214" s="4"/>
      <c r="F214" s="4" t="str">
        <f>IF(OR($C$3="",C214="",D214=""),"",IF(G214=0,"NO",IF(H214&lt;=SUMPRODUCT(('GLASS OFFCUTS LIST'!$D$2:$D$298=UPPER(TRIM(SUBSTITUTE(SUBSTITUTE($C$3,"   "," "),"  "," "))))*((('GLASS OFFCUTS LIST'!$A$2:$A$298&gt;=C214)*('GLASS OFFCUTS LIST'!$B$2:$B$298&gt;=D214))+(N(OR(E214=TRUE(),E214="Y",E214="y",E214="YES",E214="Yes"))*(('GLASS OFFCUTS LIST'!$A$2:$A$298&gt;=D214)*('GLASS OFFCUTS LIST'!$B$2:$B$298&gt;=C214)))&gt;0)),"YES","NO")))</f>
        <v/>
      </c>
      <c r="G214" t="str">
        <f>IF(OR($C$3="",C214="",D214=""),"",IF(SUMPRODUCT(('GLASS OFFCUTS LIST'!$D$2:$D$298=UPPER(TRIM(SUBSTITUTE(SUBSTITUTE($C$3,"   "," "),"  "," "))))*((('GLASS OFFCUTS LIST'!$A$2:$A$298&gt;=C214)*('GLASS OFFCUTS LIST'!$B$2:$B$298&gt;=D214))+(N(OR(E214=TRUE(),E214="Y",E214="y",E214="YES",E214="Yes"))*(('GLASS OFFCUTS LIST'!$A$2:$A$298&gt;=D214)*('GLASS OFFCUTS LIST'!$B$2:$B$298&gt;=C214)))&gt;0))&gt;0,1,0))</f>
        <v/>
      </c>
      <c r="H214" t="str">
        <f>IF(G214="","",SUM($G$7:G214))</f>
        <v/>
      </c>
    </row>
    <row r="215" spans="1:8" x14ac:dyDescent="0.2">
      <c r="A215" s="3">
        <v>209</v>
      </c>
      <c r="B215" s="4"/>
      <c r="C215" s="3"/>
      <c r="D215" s="3"/>
      <c r="E215" s="4"/>
      <c r="F215" s="4" t="str">
        <f>IF(OR($C$3="",C215="",D215=""),"",IF(G215=0,"NO",IF(H215&lt;=SUMPRODUCT(('GLASS OFFCUTS LIST'!$D$2:$D$298=UPPER(TRIM(SUBSTITUTE(SUBSTITUTE($C$3,"   "," "),"  "," "))))*((('GLASS OFFCUTS LIST'!$A$2:$A$298&gt;=C215)*('GLASS OFFCUTS LIST'!$B$2:$B$298&gt;=D215))+(N(OR(E215=TRUE(),E215="Y",E215="y",E215="YES",E215="Yes"))*(('GLASS OFFCUTS LIST'!$A$2:$A$298&gt;=D215)*('GLASS OFFCUTS LIST'!$B$2:$B$298&gt;=C215)))&gt;0)),"YES","NO")))</f>
        <v/>
      </c>
      <c r="G215" t="str">
        <f>IF(OR($C$3="",C215="",D215=""),"",IF(SUMPRODUCT(('GLASS OFFCUTS LIST'!$D$2:$D$298=UPPER(TRIM(SUBSTITUTE(SUBSTITUTE($C$3,"   "," "),"  "," "))))*((('GLASS OFFCUTS LIST'!$A$2:$A$298&gt;=C215)*('GLASS OFFCUTS LIST'!$B$2:$B$298&gt;=D215))+(N(OR(E215=TRUE(),E215="Y",E215="y",E215="YES",E215="Yes"))*(('GLASS OFFCUTS LIST'!$A$2:$A$298&gt;=D215)*('GLASS OFFCUTS LIST'!$B$2:$B$298&gt;=C215)))&gt;0))&gt;0,1,0))</f>
        <v/>
      </c>
      <c r="H215" t="str">
        <f>IF(G215="","",SUM($G$7:G215))</f>
        <v/>
      </c>
    </row>
    <row r="216" spans="1:8" x14ac:dyDescent="0.2">
      <c r="A216" s="3">
        <v>210</v>
      </c>
      <c r="B216" s="4"/>
      <c r="C216" s="3"/>
      <c r="D216" s="3"/>
      <c r="E216" s="4"/>
      <c r="F216" s="4" t="str">
        <f>IF(OR($C$3="",C216="",D216=""),"",IF(G216=0,"NO",IF(H216&lt;=SUMPRODUCT(('GLASS OFFCUTS LIST'!$D$2:$D$298=UPPER(TRIM(SUBSTITUTE(SUBSTITUTE($C$3,"   "," "),"  "," "))))*((('GLASS OFFCUTS LIST'!$A$2:$A$298&gt;=C216)*('GLASS OFFCUTS LIST'!$B$2:$B$298&gt;=D216))+(N(OR(E216=TRUE(),E216="Y",E216="y",E216="YES",E216="Yes"))*(('GLASS OFFCUTS LIST'!$A$2:$A$298&gt;=D216)*('GLASS OFFCUTS LIST'!$B$2:$B$298&gt;=C216)))&gt;0)),"YES","NO")))</f>
        <v/>
      </c>
      <c r="G216" t="str">
        <f>IF(OR($C$3="",C216="",D216=""),"",IF(SUMPRODUCT(('GLASS OFFCUTS LIST'!$D$2:$D$298=UPPER(TRIM(SUBSTITUTE(SUBSTITUTE($C$3,"   "," "),"  "," "))))*((('GLASS OFFCUTS LIST'!$A$2:$A$298&gt;=C216)*('GLASS OFFCUTS LIST'!$B$2:$B$298&gt;=D216))+(N(OR(E216=TRUE(),E216="Y",E216="y",E216="YES",E216="Yes"))*(('GLASS OFFCUTS LIST'!$A$2:$A$298&gt;=D216)*('GLASS OFFCUTS LIST'!$B$2:$B$298&gt;=C216)))&gt;0))&gt;0,1,0))</f>
        <v/>
      </c>
      <c r="H216" t="str">
        <f>IF(G216="","",SUM($G$7:G216))</f>
        <v/>
      </c>
    </row>
    <row r="217" spans="1:8" x14ac:dyDescent="0.2">
      <c r="A217" s="3">
        <v>211</v>
      </c>
      <c r="B217" s="4"/>
      <c r="C217" s="3"/>
      <c r="D217" s="3"/>
      <c r="E217" s="4"/>
      <c r="F217" s="4" t="str">
        <f>IF(OR($C$3="",C217="",D217=""),"",IF(G217=0,"NO",IF(H217&lt;=SUMPRODUCT(('GLASS OFFCUTS LIST'!$D$2:$D$298=UPPER(TRIM(SUBSTITUTE(SUBSTITUTE($C$3,"   "," "),"  "," "))))*((('GLASS OFFCUTS LIST'!$A$2:$A$298&gt;=C217)*('GLASS OFFCUTS LIST'!$B$2:$B$298&gt;=D217))+(N(OR(E217=TRUE(),E217="Y",E217="y",E217="YES",E217="Yes"))*(('GLASS OFFCUTS LIST'!$A$2:$A$298&gt;=D217)*('GLASS OFFCUTS LIST'!$B$2:$B$298&gt;=C217)))&gt;0)),"YES","NO")))</f>
        <v/>
      </c>
      <c r="G217" t="str">
        <f>IF(OR($C$3="",C217="",D217=""),"",IF(SUMPRODUCT(('GLASS OFFCUTS LIST'!$D$2:$D$298=UPPER(TRIM(SUBSTITUTE(SUBSTITUTE($C$3,"   "," "),"  "," "))))*((('GLASS OFFCUTS LIST'!$A$2:$A$298&gt;=C217)*('GLASS OFFCUTS LIST'!$B$2:$B$298&gt;=D217))+(N(OR(E217=TRUE(),E217="Y",E217="y",E217="YES",E217="Yes"))*(('GLASS OFFCUTS LIST'!$A$2:$A$298&gt;=D217)*('GLASS OFFCUTS LIST'!$B$2:$B$298&gt;=C217)))&gt;0))&gt;0,1,0))</f>
        <v/>
      </c>
      <c r="H217" t="str">
        <f>IF(G217="","",SUM($G$7:G217))</f>
        <v/>
      </c>
    </row>
    <row r="218" spans="1:8" x14ac:dyDescent="0.2">
      <c r="A218" s="3">
        <v>212</v>
      </c>
      <c r="B218" s="4"/>
      <c r="C218" s="3"/>
      <c r="D218" s="3"/>
      <c r="E218" s="4"/>
      <c r="F218" s="4" t="str">
        <f>IF(OR($C$3="",C218="",D218=""),"",IF(G218=0,"NO",IF(H218&lt;=SUMPRODUCT(('GLASS OFFCUTS LIST'!$D$2:$D$298=UPPER(TRIM(SUBSTITUTE(SUBSTITUTE($C$3,"   "," "),"  "," "))))*((('GLASS OFFCUTS LIST'!$A$2:$A$298&gt;=C218)*('GLASS OFFCUTS LIST'!$B$2:$B$298&gt;=D218))+(N(OR(E218=TRUE(),E218="Y",E218="y",E218="YES",E218="Yes"))*(('GLASS OFFCUTS LIST'!$A$2:$A$298&gt;=D218)*('GLASS OFFCUTS LIST'!$B$2:$B$298&gt;=C218)))&gt;0)),"YES","NO")))</f>
        <v/>
      </c>
      <c r="G218" t="str">
        <f>IF(OR($C$3="",C218="",D218=""),"",IF(SUMPRODUCT(('GLASS OFFCUTS LIST'!$D$2:$D$298=UPPER(TRIM(SUBSTITUTE(SUBSTITUTE($C$3,"   "," "),"  "," "))))*((('GLASS OFFCUTS LIST'!$A$2:$A$298&gt;=C218)*('GLASS OFFCUTS LIST'!$B$2:$B$298&gt;=D218))+(N(OR(E218=TRUE(),E218="Y",E218="y",E218="YES",E218="Yes"))*(('GLASS OFFCUTS LIST'!$A$2:$A$298&gt;=D218)*('GLASS OFFCUTS LIST'!$B$2:$B$298&gt;=C218)))&gt;0))&gt;0,1,0))</f>
        <v/>
      </c>
      <c r="H218" t="str">
        <f>IF(G218="","",SUM($G$7:G218))</f>
        <v/>
      </c>
    </row>
    <row r="219" spans="1:8" x14ac:dyDescent="0.2">
      <c r="A219" s="3">
        <v>213</v>
      </c>
      <c r="B219" s="4"/>
      <c r="C219" s="3"/>
      <c r="D219" s="3"/>
      <c r="E219" s="4"/>
      <c r="F219" s="4" t="str">
        <f>IF(OR($C$3="",C219="",D219=""),"",IF(G219=0,"NO",IF(H219&lt;=SUMPRODUCT(('GLASS OFFCUTS LIST'!$D$2:$D$298=UPPER(TRIM(SUBSTITUTE(SUBSTITUTE($C$3,"   "," "),"  "," "))))*((('GLASS OFFCUTS LIST'!$A$2:$A$298&gt;=C219)*('GLASS OFFCUTS LIST'!$B$2:$B$298&gt;=D219))+(N(OR(E219=TRUE(),E219="Y",E219="y",E219="YES",E219="Yes"))*(('GLASS OFFCUTS LIST'!$A$2:$A$298&gt;=D219)*('GLASS OFFCUTS LIST'!$B$2:$B$298&gt;=C219)))&gt;0)),"YES","NO")))</f>
        <v/>
      </c>
      <c r="G219" t="str">
        <f>IF(OR($C$3="",C219="",D219=""),"",IF(SUMPRODUCT(('GLASS OFFCUTS LIST'!$D$2:$D$298=UPPER(TRIM(SUBSTITUTE(SUBSTITUTE($C$3,"   "," "),"  "," "))))*((('GLASS OFFCUTS LIST'!$A$2:$A$298&gt;=C219)*('GLASS OFFCUTS LIST'!$B$2:$B$298&gt;=D219))+(N(OR(E219=TRUE(),E219="Y",E219="y",E219="YES",E219="Yes"))*(('GLASS OFFCUTS LIST'!$A$2:$A$298&gt;=D219)*('GLASS OFFCUTS LIST'!$B$2:$B$298&gt;=C219)))&gt;0))&gt;0,1,0))</f>
        <v/>
      </c>
      <c r="H219" t="str">
        <f>IF(G219="","",SUM($G$7:G219))</f>
        <v/>
      </c>
    </row>
    <row r="220" spans="1:8" x14ac:dyDescent="0.2">
      <c r="A220" s="3">
        <v>214</v>
      </c>
      <c r="B220" s="4"/>
      <c r="C220" s="3"/>
      <c r="D220" s="3"/>
      <c r="E220" s="4"/>
      <c r="F220" s="4" t="str">
        <f>IF(OR($C$3="",C220="",D220=""),"",IF(G220=0,"NO",IF(H220&lt;=SUMPRODUCT(('GLASS OFFCUTS LIST'!$D$2:$D$298=UPPER(TRIM(SUBSTITUTE(SUBSTITUTE($C$3,"   "," "),"  "," "))))*((('GLASS OFFCUTS LIST'!$A$2:$A$298&gt;=C220)*('GLASS OFFCUTS LIST'!$B$2:$B$298&gt;=D220))+(N(OR(E220=TRUE(),E220="Y",E220="y",E220="YES",E220="Yes"))*(('GLASS OFFCUTS LIST'!$A$2:$A$298&gt;=D220)*('GLASS OFFCUTS LIST'!$B$2:$B$298&gt;=C220)))&gt;0)),"YES","NO")))</f>
        <v/>
      </c>
      <c r="G220" t="str">
        <f>IF(OR($C$3="",C220="",D220=""),"",IF(SUMPRODUCT(('GLASS OFFCUTS LIST'!$D$2:$D$298=UPPER(TRIM(SUBSTITUTE(SUBSTITUTE($C$3,"   "," "),"  "," "))))*((('GLASS OFFCUTS LIST'!$A$2:$A$298&gt;=C220)*('GLASS OFFCUTS LIST'!$B$2:$B$298&gt;=D220))+(N(OR(E220=TRUE(),E220="Y",E220="y",E220="YES",E220="Yes"))*(('GLASS OFFCUTS LIST'!$A$2:$A$298&gt;=D220)*('GLASS OFFCUTS LIST'!$B$2:$B$298&gt;=C220)))&gt;0))&gt;0,1,0))</f>
        <v/>
      </c>
      <c r="H220" t="str">
        <f>IF(G220="","",SUM($G$7:G220))</f>
        <v/>
      </c>
    </row>
    <row r="221" spans="1:8" x14ac:dyDescent="0.2">
      <c r="A221" s="3">
        <v>215</v>
      </c>
      <c r="B221" s="4"/>
      <c r="C221" s="3"/>
      <c r="D221" s="3"/>
      <c r="E221" s="4"/>
      <c r="F221" s="4" t="str">
        <f>IF(OR($C$3="",C221="",D221=""),"",IF(G221=0,"NO",IF(H221&lt;=SUMPRODUCT(('GLASS OFFCUTS LIST'!$D$2:$D$298=UPPER(TRIM(SUBSTITUTE(SUBSTITUTE($C$3,"   "," "),"  "," "))))*((('GLASS OFFCUTS LIST'!$A$2:$A$298&gt;=C221)*('GLASS OFFCUTS LIST'!$B$2:$B$298&gt;=D221))+(N(OR(E221=TRUE(),E221="Y",E221="y",E221="YES",E221="Yes"))*(('GLASS OFFCUTS LIST'!$A$2:$A$298&gt;=D221)*('GLASS OFFCUTS LIST'!$B$2:$B$298&gt;=C221)))&gt;0)),"YES","NO")))</f>
        <v/>
      </c>
      <c r="G221" t="str">
        <f>IF(OR($C$3="",C221="",D221=""),"",IF(SUMPRODUCT(('GLASS OFFCUTS LIST'!$D$2:$D$298=UPPER(TRIM(SUBSTITUTE(SUBSTITUTE($C$3,"   "," "),"  "," "))))*((('GLASS OFFCUTS LIST'!$A$2:$A$298&gt;=C221)*('GLASS OFFCUTS LIST'!$B$2:$B$298&gt;=D221))+(N(OR(E221=TRUE(),E221="Y",E221="y",E221="YES",E221="Yes"))*(('GLASS OFFCUTS LIST'!$A$2:$A$298&gt;=D221)*('GLASS OFFCUTS LIST'!$B$2:$B$298&gt;=C221)))&gt;0))&gt;0,1,0))</f>
        <v/>
      </c>
      <c r="H221" t="str">
        <f>IF(G221="","",SUM($G$7:G221))</f>
        <v/>
      </c>
    </row>
    <row r="222" spans="1:8" x14ac:dyDescent="0.2">
      <c r="A222" s="3">
        <v>216</v>
      </c>
      <c r="B222" s="4"/>
      <c r="C222" s="3"/>
      <c r="D222" s="3"/>
      <c r="E222" s="4"/>
      <c r="F222" s="4" t="str">
        <f>IF(OR($C$3="",C222="",D222=""),"",IF(G222=0,"NO",IF(H222&lt;=SUMPRODUCT(('GLASS OFFCUTS LIST'!$D$2:$D$298=UPPER(TRIM(SUBSTITUTE(SUBSTITUTE($C$3,"   "," "),"  "," "))))*((('GLASS OFFCUTS LIST'!$A$2:$A$298&gt;=C222)*('GLASS OFFCUTS LIST'!$B$2:$B$298&gt;=D222))+(N(OR(E222=TRUE(),E222="Y",E222="y",E222="YES",E222="Yes"))*(('GLASS OFFCUTS LIST'!$A$2:$A$298&gt;=D222)*('GLASS OFFCUTS LIST'!$B$2:$B$298&gt;=C222)))&gt;0)),"YES","NO")))</f>
        <v/>
      </c>
      <c r="G222" t="str">
        <f>IF(OR($C$3="",C222="",D222=""),"",IF(SUMPRODUCT(('GLASS OFFCUTS LIST'!$D$2:$D$298=UPPER(TRIM(SUBSTITUTE(SUBSTITUTE($C$3,"   "," "),"  "," "))))*((('GLASS OFFCUTS LIST'!$A$2:$A$298&gt;=C222)*('GLASS OFFCUTS LIST'!$B$2:$B$298&gt;=D222))+(N(OR(E222=TRUE(),E222="Y",E222="y",E222="YES",E222="Yes"))*(('GLASS OFFCUTS LIST'!$A$2:$A$298&gt;=D222)*('GLASS OFFCUTS LIST'!$B$2:$B$298&gt;=C222)))&gt;0))&gt;0,1,0))</f>
        <v/>
      </c>
      <c r="H222" t="str">
        <f>IF(G222="","",SUM($G$7:G222))</f>
        <v/>
      </c>
    </row>
    <row r="223" spans="1:8" x14ac:dyDescent="0.2">
      <c r="A223" s="3">
        <v>217</v>
      </c>
      <c r="B223" s="4"/>
      <c r="C223" s="3"/>
      <c r="D223" s="3"/>
      <c r="E223" s="4"/>
      <c r="F223" s="4" t="str">
        <f>IF(OR($C$3="",C223="",D223=""),"",IF(G223=0,"NO",IF(H223&lt;=SUMPRODUCT(('GLASS OFFCUTS LIST'!$D$2:$D$298=UPPER(TRIM(SUBSTITUTE(SUBSTITUTE($C$3,"   "," "),"  "," "))))*((('GLASS OFFCUTS LIST'!$A$2:$A$298&gt;=C223)*('GLASS OFFCUTS LIST'!$B$2:$B$298&gt;=D223))+(N(OR(E223=TRUE(),E223="Y",E223="y",E223="YES",E223="Yes"))*(('GLASS OFFCUTS LIST'!$A$2:$A$298&gt;=D223)*('GLASS OFFCUTS LIST'!$B$2:$B$298&gt;=C223)))&gt;0)),"YES","NO")))</f>
        <v/>
      </c>
      <c r="G223" t="str">
        <f>IF(OR($C$3="",C223="",D223=""),"",IF(SUMPRODUCT(('GLASS OFFCUTS LIST'!$D$2:$D$298=UPPER(TRIM(SUBSTITUTE(SUBSTITUTE($C$3,"   "," "),"  "," "))))*((('GLASS OFFCUTS LIST'!$A$2:$A$298&gt;=C223)*('GLASS OFFCUTS LIST'!$B$2:$B$298&gt;=D223))+(N(OR(E223=TRUE(),E223="Y",E223="y",E223="YES",E223="Yes"))*(('GLASS OFFCUTS LIST'!$A$2:$A$298&gt;=D223)*('GLASS OFFCUTS LIST'!$B$2:$B$298&gt;=C223)))&gt;0))&gt;0,1,0))</f>
        <v/>
      </c>
      <c r="H223" t="str">
        <f>IF(G223="","",SUM($G$7:G223))</f>
        <v/>
      </c>
    </row>
    <row r="224" spans="1:8" x14ac:dyDescent="0.2">
      <c r="A224" s="3">
        <v>218</v>
      </c>
      <c r="B224" s="4"/>
      <c r="C224" s="3"/>
      <c r="D224" s="3"/>
      <c r="E224" s="4"/>
      <c r="F224" s="4" t="str">
        <f>IF(OR($C$3="",C224="",D224=""),"",IF(G224=0,"NO",IF(H224&lt;=SUMPRODUCT(('GLASS OFFCUTS LIST'!$D$2:$D$298=UPPER(TRIM(SUBSTITUTE(SUBSTITUTE($C$3,"   "," "),"  "," "))))*((('GLASS OFFCUTS LIST'!$A$2:$A$298&gt;=C224)*('GLASS OFFCUTS LIST'!$B$2:$B$298&gt;=D224))+(N(OR(E224=TRUE(),E224="Y",E224="y",E224="YES",E224="Yes"))*(('GLASS OFFCUTS LIST'!$A$2:$A$298&gt;=D224)*('GLASS OFFCUTS LIST'!$B$2:$B$298&gt;=C224)))&gt;0)),"YES","NO")))</f>
        <v/>
      </c>
      <c r="G224" t="str">
        <f>IF(OR($C$3="",C224="",D224=""),"",IF(SUMPRODUCT(('GLASS OFFCUTS LIST'!$D$2:$D$298=UPPER(TRIM(SUBSTITUTE(SUBSTITUTE($C$3,"   "," "),"  "," "))))*((('GLASS OFFCUTS LIST'!$A$2:$A$298&gt;=C224)*('GLASS OFFCUTS LIST'!$B$2:$B$298&gt;=D224))+(N(OR(E224=TRUE(),E224="Y",E224="y",E224="YES",E224="Yes"))*(('GLASS OFFCUTS LIST'!$A$2:$A$298&gt;=D224)*('GLASS OFFCUTS LIST'!$B$2:$B$298&gt;=C224)))&gt;0))&gt;0,1,0))</f>
        <v/>
      </c>
      <c r="H224" t="str">
        <f>IF(G224="","",SUM($G$7:G224))</f>
        <v/>
      </c>
    </row>
    <row r="225" spans="1:8" x14ac:dyDescent="0.2">
      <c r="A225" s="3">
        <v>219</v>
      </c>
      <c r="B225" s="4"/>
      <c r="C225" s="3"/>
      <c r="D225" s="3"/>
      <c r="E225" s="4"/>
      <c r="F225" s="4" t="str">
        <f>IF(OR($C$3="",C225="",D225=""),"",IF(G225=0,"NO",IF(H225&lt;=SUMPRODUCT(('GLASS OFFCUTS LIST'!$D$2:$D$298=UPPER(TRIM(SUBSTITUTE(SUBSTITUTE($C$3,"   "," "),"  "," "))))*((('GLASS OFFCUTS LIST'!$A$2:$A$298&gt;=C225)*('GLASS OFFCUTS LIST'!$B$2:$B$298&gt;=D225))+(N(OR(E225=TRUE(),E225="Y",E225="y",E225="YES",E225="Yes"))*(('GLASS OFFCUTS LIST'!$A$2:$A$298&gt;=D225)*('GLASS OFFCUTS LIST'!$B$2:$B$298&gt;=C225)))&gt;0)),"YES","NO")))</f>
        <v/>
      </c>
      <c r="G225" t="str">
        <f>IF(OR($C$3="",C225="",D225=""),"",IF(SUMPRODUCT(('GLASS OFFCUTS LIST'!$D$2:$D$298=UPPER(TRIM(SUBSTITUTE(SUBSTITUTE($C$3,"   "," "),"  "," "))))*((('GLASS OFFCUTS LIST'!$A$2:$A$298&gt;=C225)*('GLASS OFFCUTS LIST'!$B$2:$B$298&gt;=D225))+(N(OR(E225=TRUE(),E225="Y",E225="y",E225="YES",E225="Yes"))*(('GLASS OFFCUTS LIST'!$A$2:$A$298&gt;=D225)*('GLASS OFFCUTS LIST'!$B$2:$B$298&gt;=C225)))&gt;0))&gt;0,1,0))</f>
        <v/>
      </c>
      <c r="H225" t="str">
        <f>IF(G225="","",SUM($G$7:G225))</f>
        <v/>
      </c>
    </row>
    <row r="226" spans="1:8" x14ac:dyDescent="0.2">
      <c r="A226" s="3">
        <v>220</v>
      </c>
      <c r="B226" s="4"/>
      <c r="C226" s="3"/>
      <c r="D226" s="3"/>
      <c r="E226" s="4"/>
      <c r="F226" s="4" t="str">
        <f>IF(OR($C$3="",C226="",D226=""),"",IF(G226=0,"NO",IF(H226&lt;=SUMPRODUCT(('GLASS OFFCUTS LIST'!$D$2:$D$298=UPPER(TRIM(SUBSTITUTE(SUBSTITUTE($C$3,"   "," "),"  "," "))))*((('GLASS OFFCUTS LIST'!$A$2:$A$298&gt;=C226)*('GLASS OFFCUTS LIST'!$B$2:$B$298&gt;=D226))+(N(OR(E226=TRUE(),E226="Y",E226="y",E226="YES",E226="Yes"))*(('GLASS OFFCUTS LIST'!$A$2:$A$298&gt;=D226)*('GLASS OFFCUTS LIST'!$B$2:$B$298&gt;=C226)))&gt;0)),"YES","NO")))</f>
        <v/>
      </c>
      <c r="G226" t="str">
        <f>IF(OR($C$3="",C226="",D226=""),"",IF(SUMPRODUCT(('GLASS OFFCUTS LIST'!$D$2:$D$298=UPPER(TRIM(SUBSTITUTE(SUBSTITUTE($C$3,"   "," "),"  "," "))))*((('GLASS OFFCUTS LIST'!$A$2:$A$298&gt;=C226)*('GLASS OFFCUTS LIST'!$B$2:$B$298&gt;=D226))+(N(OR(E226=TRUE(),E226="Y",E226="y",E226="YES",E226="Yes"))*(('GLASS OFFCUTS LIST'!$A$2:$A$298&gt;=D226)*('GLASS OFFCUTS LIST'!$B$2:$B$298&gt;=C226)))&gt;0))&gt;0,1,0))</f>
        <v/>
      </c>
      <c r="H226" t="str">
        <f>IF(G226="","",SUM($G$7:G226))</f>
        <v/>
      </c>
    </row>
    <row r="227" spans="1:8" x14ac:dyDescent="0.2">
      <c r="A227" s="3">
        <v>221</v>
      </c>
      <c r="B227" s="4"/>
      <c r="C227" s="3"/>
      <c r="D227" s="3"/>
      <c r="E227" s="4"/>
      <c r="F227" s="4" t="str">
        <f>IF(OR($C$3="",C227="",D227=""),"",IF(G227=0,"NO",IF(H227&lt;=SUMPRODUCT(('GLASS OFFCUTS LIST'!$D$2:$D$298=UPPER(TRIM(SUBSTITUTE(SUBSTITUTE($C$3,"   "," "),"  "," "))))*((('GLASS OFFCUTS LIST'!$A$2:$A$298&gt;=C227)*('GLASS OFFCUTS LIST'!$B$2:$B$298&gt;=D227))+(N(OR(E227=TRUE(),E227="Y",E227="y",E227="YES",E227="Yes"))*(('GLASS OFFCUTS LIST'!$A$2:$A$298&gt;=D227)*('GLASS OFFCUTS LIST'!$B$2:$B$298&gt;=C227)))&gt;0)),"YES","NO")))</f>
        <v/>
      </c>
      <c r="G227" t="str">
        <f>IF(OR($C$3="",C227="",D227=""),"",IF(SUMPRODUCT(('GLASS OFFCUTS LIST'!$D$2:$D$298=UPPER(TRIM(SUBSTITUTE(SUBSTITUTE($C$3,"   "," "),"  "," "))))*((('GLASS OFFCUTS LIST'!$A$2:$A$298&gt;=C227)*('GLASS OFFCUTS LIST'!$B$2:$B$298&gt;=D227))+(N(OR(E227=TRUE(),E227="Y",E227="y",E227="YES",E227="Yes"))*(('GLASS OFFCUTS LIST'!$A$2:$A$298&gt;=D227)*('GLASS OFFCUTS LIST'!$B$2:$B$298&gt;=C227)))&gt;0))&gt;0,1,0))</f>
        <v/>
      </c>
      <c r="H227" t="str">
        <f>IF(G227="","",SUM($G$7:G227))</f>
        <v/>
      </c>
    </row>
    <row r="228" spans="1:8" x14ac:dyDescent="0.2">
      <c r="A228" s="3">
        <v>222</v>
      </c>
      <c r="B228" s="4"/>
      <c r="C228" s="3"/>
      <c r="D228" s="3"/>
      <c r="E228" s="4"/>
      <c r="F228" s="4" t="str">
        <f>IF(OR($C$3="",C228="",D228=""),"",IF(G228=0,"NO",IF(H228&lt;=SUMPRODUCT(('GLASS OFFCUTS LIST'!$D$2:$D$298=UPPER(TRIM(SUBSTITUTE(SUBSTITUTE($C$3,"   "," "),"  "," "))))*((('GLASS OFFCUTS LIST'!$A$2:$A$298&gt;=C228)*('GLASS OFFCUTS LIST'!$B$2:$B$298&gt;=D228))+(N(OR(E228=TRUE(),E228="Y",E228="y",E228="YES",E228="Yes"))*(('GLASS OFFCUTS LIST'!$A$2:$A$298&gt;=D228)*('GLASS OFFCUTS LIST'!$B$2:$B$298&gt;=C228)))&gt;0)),"YES","NO")))</f>
        <v/>
      </c>
      <c r="G228" t="str">
        <f>IF(OR($C$3="",C228="",D228=""),"",IF(SUMPRODUCT(('GLASS OFFCUTS LIST'!$D$2:$D$298=UPPER(TRIM(SUBSTITUTE(SUBSTITUTE($C$3,"   "," "),"  "," "))))*((('GLASS OFFCUTS LIST'!$A$2:$A$298&gt;=C228)*('GLASS OFFCUTS LIST'!$B$2:$B$298&gt;=D228))+(N(OR(E228=TRUE(),E228="Y",E228="y",E228="YES",E228="Yes"))*(('GLASS OFFCUTS LIST'!$A$2:$A$298&gt;=D228)*('GLASS OFFCUTS LIST'!$B$2:$B$298&gt;=C228)))&gt;0))&gt;0,1,0))</f>
        <v/>
      </c>
      <c r="H228" t="str">
        <f>IF(G228="","",SUM($G$7:G228))</f>
        <v/>
      </c>
    </row>
    <row r="229" spans="1:8" x14ac:dyDescent="0.2">
      <c r="A229" s="3">
        <v>223</v>
      </c>
      <c r="B229" s="4"/>
      <c r="C229" s="3"/>
      <c r="D229" s="3"/>
      <c r="E229" s="4"/>
      <c r="F229" s="4" t="str">
        <f>IF(OR($C$3="",C229="",D229=""),"",IF(G229=0,"NO",IF(H229&lt;=SUMPRODUCT(('GLASS OFFCUTS LIST'!$D$2:$D$298=UPPER(TRIM(SUBSTITUTE(SUBSTITUTE($C$3,"   "," "),"  "," "))))*((('GLASS OFFCUTS LIST'!$A$2:$A$298&gt;=C229)*('GLASS OFFCUTS LIST'!$B$2:$B$298&gt;=D229))+(N(OR(E229=TRUE(),E229="Y",E229="y",E229="YES",E229="Yes"))*(('GLASS OFFCUTS LIST'!$A$2:$A$298&gt;=D229)*('GLASS OFFCUTS LIST'!$B$2:$B$298&gt;=C229)))&gt;0)),"YES","NO")))</f>
        <v/>
      </c>
      <c r="G229" t="str">
        <f>IF(OR($C$3="",C229="",D229=""),"",IF(SUMPRODUCT(('GLASS OFFCUTS LIST'!$D$2:$D$298=UPPER(TRIM(SUBSTITUTE(SUBSTITUTE($C$3,"   "," "),"  "," "))))*((('GLASS OFFCUTS LIST'!$A$2:$A$298&gt;=C229)*('GLASS OFFCUTS LIST'!$B$2:$B$298&gt;=D229))+(N(OR(E229=TRUE(),E229="Y",E229="y",E229="YES",E229="Yes"))*(('GLASS OFFCUTS LIST'!$A$2:$A$298&gt;=D229)*('GLASS OFFCUTS LIST'!$B$2:$B$298&gt;=C229)))&gt;0))&gt;0,1,0))</f>
        <v/>
      </c>
      <c r="H229" t="str">
        <f>IF(G229="","",SUM($G$7:G229))</f>
        <v/>
      </c>
    </row>
    <row r="230" spans="1:8" x14ac:dyDescent="0.2">
      <c r="A230" s="3">
        <v>224</v>
      </c>
      <c r="B230" s="4"/>
      <c r="C230" s="3"/>
      <c r="D230" s="3"/>
      <c r="E230" s="4"/>
      <c r="F230" s="4" t="str">
        <f>IF(OR($C$3="",C230="",D230=""),"",IF(G230=0,"NO",IF(H230&lt;=SUMPRODUCT(('GLASS OFFCUTS LIST'!$D$2:$D$298=UPPER(TRIM(SUBSTITUTE(SUBSTITUTE($C$3,"   "," "),"  "," "))))*((('GLASS OFFCUTS LIST'!$A$2:$A$298&gt;=C230)*('GLASS OFFCUTS LIST'!$B$2:$B$298&gt;=D230))+(N(OR(E230=TRUE(),E230="Y",E230="y",E230="YES",E230="Yes"))*(('GLASS OFFCUTS LIST'!$A$2:$A$298&gt;=D230)*('GLASS OFFCUTS LIST'!$B$2:$B$298&gt;=C230)))&gt;0)),"YES","NO")))</f>
        <v/>
      </c>
      <c r="G230" t="str">
        <f>IF(OR($C$3="",C230="",D230=""),"",IF(SUMPRODUCT(('GLASS OFFCUTS LIST'!$D$2:$D$298=UPPER(TRIM(SUBSTITUTE(SUBSTITUTE($C$3,"   "," "),"  "," "))))*((('GLASS OFFCUTS LIST'!$A$2:$A$298&gt;=C230)*('GLASS OFFCUTS LIST'!$B$2:$B$298&gt;=D230))+(N(OR(E230=TRUE(),E230="Y",E230="y",E230="YES",E230="Yes"))*(('GLASS OFFCUTS LIST'!$A$2:$A$298&gt;=D230)*('GLASS OFFCUTS LIST'!$B$2:$B$298&gt;=C230)))&gt;0))&gt;0,1,0))</f>
        <v/>
      </c>
      <c r="H230" t="str">
        <f>IF(G230="","",SUM($G$7:G230))</f>
        <v/>
      </c>
    </row>
    <row r="231" spans="1:8" x14ac:dyDescent="0.2">
      <c r="A231" s="3">
        <v>225</v>
      </c>
      <c r="B231" s="4"/>
      <c r="C231" s="3"/>
      <c r="D231" s="3"/>
      <c r="E231" s="4"/>
      <c r="F231" s="4" t="str">
        <f>IF(OR($C$3="",C231="",D231=""),"",IF(G231=0,"NO",IF(H231&lt;=SUMPRODUCT(('GLASS OFFCUTS LIST'!$D$2:$D$298=UPPER(TRIM(SUBSTITUTE(SUBSTITUTE($C$3,"   "," "),"  "," "))))*((('GLASS OFFCUTS LIST'!$A$2:$A$298&gt;=C231)*('GLASS OFFCUTS LIST'!$B$2:$B$298&gt;=D231))+(N(OR(E231=TRUE(),E231="Y",E231="y",E231="YES",E231="Yes"))*(('GLASS OFFCUTS LIST'!$A$2:$A$298&gt;=D231)*('GLASS OFFCUTS LIST'!$B$2:$B$298&gt;=C231)))&gt;0)),"YES","NO")))</f>
        <v/>
      </c>
      <c r="G231" t="str">
        <f>IF(OR($C$3="",C231="",D231=""),"",IF(SUMPRODUCT(('GLASS OFFCUTS LIST'!$D$2:$D$298=UPPER(TRIM(SUBSTITUTE(SUBSTITUTE($C$3,"   "," "),"  "," "))))*((('GLASS OFFCUTS LIST'!$A$2:$A$298&gt;=C231)*('GLASS OFFCUTS LIST'!$B$2:$B$298&gt;=D231))+(N(OR(E231=TRUE(),E231="Y",E231="y",E231="YES",E231="Yes"))*(('GLASS OFFCUTS LIST'!$A$2:$A$298&gt;=D231)*('GLASS OFFCUTS LIST'!$B$2:$B$298&gt;=C231)))&gt;0))&gt;0,1,0))</f>
        <v/>
      </c>
      <c r="H231" t="str">
        <f>IF(G231="","",SUM($G$7:G231))</f>
        <v/>
      </c>
    </row>
    <row r="232" spans="1:8" x14ac:dyDescent="0.2">
      <c r="A232" s="3">
        <v>226</v>
      </c>
      <c r="B232" s="4"/>
      <c r="C232" s="3"/>
      <c r="D232" s="3"/>
      <c r="E232" s="4"/>
      <c r="F232" s="4" t="str">
        <f>IF(OR($C$3="",C232="",D232=""),"",IF(G232=0,"NO",IF(H232&lt;=SUMPRODUCT(('GLASS OFFCUTS LIST'!$D$2:$D$298=UPPER(TRIM(SUBSTITUTE(SUBSTITUTE($C$3,"   "," "),"  "," "))))*((('GLASS OFFCUTS LIST'!$A$2:$A$298&gt;=C232)*('GLASS OFFCUTS LIST'!$B$2:$B$298&gt;=D232))+(N(OR(E232=TRUE(),E232="Y",E232="y",E232="YES",E232="Yes"))*(('GLASS OFFCUTS LIST'!$A$2:$A$298&gt;=D232)*('GLASS OFFCUTS LIST'!$B$2:$B$298&gt;=C232)))&gt;0)),"YES","NO")))</f>
        <v/>
      </c>
      <c r="G232" t="str">
        <f>IF(OR($C$3="",C232="",D232=""),"",IF(SUMPRODUCT(('GLASS OFFCUTS LIST'!$D$2:$D$298=UPPER(TRIM(SUBSTITUTE(SUBSTITUTE($C$3,"   "," "),"  "," "))))*((('GLASS OFFCUTS LIST'!$A$2:$A$298&gt;=C232)*('GLASS OFFCUTS LIST'!$B$2:$B$298&gt;=D232))+(N(OR(E232=TRUE(),E232="Y",E232="y",E232="YES",E232="Yes"))*(('GLASS OFFCUTS LIST'!$A$2:$A$298&gt;=D232)*('GLASS OFFCUTS LIST'!$B$2:$B$298&gt;=C232)))&gt;0))&gt;0,1,0))</f>
        <v/>
      </c>
      <c r="H232" t="str">
        <f>IF(G232="","",SUM($G$7:G232))</f>
        <v/>
      </c>
    </row>
    <row r="233" spans="1:8" x14ac:dyDescent="0.2">
      <c r="A233" s="3">
        <v>227</v>
      </c>
      <c r="B233" s="4"/>
      <c r="C233" s="3"/>
      <c r="D233" s="3"/>
      <c r="E233" s="4"/>
      <c r="F233" s="4" t="str">
        <f>IF(OR($C$3="",C233="",D233=""),"",IF(G233=0,"NO",IF(H233&lt;=SUMPRODUCT(('GLASS OFFCUTS LIST'!$D$2:$D$298=UPPER(TRIM(SUBSTITUTE(SUBSTITUTE($C$3,"   "," "),"  "," "))))*((('GLASS OFFCUTS LIST'!$A$2:$A$298&gt;=C233)*('GLASS OFFCUTS LIST'!$B$2:$B$298&gt;=D233))+(N(OR(E233=TRUE(),E233="Y",E233="y",E233="YES",E233="Yes"))*(('GLASS OFFCUTS LIST'!$A$2:$A$298&gt;=D233)*('GLASS OFFCUTS LIST'!$B$2:$B$298&gt;=C233)))&gt;0)),"YES","NO")))</f>
        <v/>
      </c>
      <c r="G233" t="str">
        <f>IF(OR($C$3="",C233="",D233=""),"",IF(SUMPRODUCT(('GLASS OFFCUTS LIST'!$D$2:$D$298=UPPER(TRIM(SUBSTITUTE(SUBSTITUTE($C$3,"   "," "),"  "," "))))*((('GLASS OFFCUTS LIST'!$A$2:$A$298&gt;=C233)*('GLASS OFFCUTS LIST'!$B$2:$B$298&gt;=D233))+(N(OR(E233=TRUE(),E233="Y",E233="y",E233="YES",E233="Yes"))*(('GLASS OFFCUTS LIST'!$A$2:$A$298&gt;=D233)*('GLASS OFFCUTS LIST'!$B$2:$B$298&gt;=C233)))&gt;0))&gt;0,1,0))</f>
        <v/>
      </c>
      <c r="H233" t="str">
        <f>IF(G233="","",SUM($G$7:G233))</f>
        <v/>
      </c>
    </row>
    <row r="234" spans="1:8" x14ac:dyDescent="0.2">
      <c r="A234" s="3">
        <v>228</v>
      </c>
      <c r="B234" s="4"/>
      <c r="C234" s="3"/>
      <c r="D234" s="3"/>
      <c r="E234" s="4"/>
      <c r="F234" s="4" t="str">
        <f>IF(OR($C$3="",C234="",D234=""),"",IF(G234=0,"NO",IF(H234&lt;=SUMPRODUCT(('GLASS OFFCUTS LIST'!$D$2:$D$298=UPPER(TRIM(SUBSTITUTE(SUBSTITUTE($C$3,"   "," "),"  "," "))))*((('GLASS OFFCUTS LIST'!$A$2:$A$298&gt;=C234)*('GLASS OFFCUTS LIST'!$B$2:$B$298&gt;=D234))+(N(OR(E234=TRUE(),E234="Y",E234="y",E234="YES",E234="Yes"))*(('GLASS OFFCUTS LIST'!$A$2:$A$298&gt;=D234)*('GLASS OFFCUTS LIST'!$B$2:$B$298&gt;=C234)))&gt;0)),"YES","NO")))</f>
        <v/>
      </c>
      <c r="G234" t="str">
        <f>IF(OR($C$3="",C234="",D234=""),"",IF(SUMPRODUCT(('GLASS OFFCUTS LIST'!$D$2:$D$298=UPPER(TRIM(SUBSTITUTE(SUBSTITUTE($C$3,"   "," "),"  "," "))))*((('GLASS OFFCUTS LIST'!$A$2:$A$298&gt;=C234)*('GLASS OFFCUTS LIST'!$B$2:$B$298&gt;=D234))+(N(OR(E234=TRUE(),E234="Y",E234="y",E234="YES",E234="Yes"))*(('GLASS OFFCUTS LIST'!$A$2:$A$298&gt;=D234)*('GLASS OFFCUTS LIST'!$B$2:$B$298&gt;=C234)))&gt;0))&gt;0,1,0))</f>
        <v/>
      </c>
      <c r="H234" t="str">
        <f>IF(G234="","",SUM($G$7:G234))</f>
        <v/>
      </c>
    </row>
    <row r="235" spans="1:8" x14ac:dyDescent="0.2">
      <c r="A235" s="3">
        <v>229</v>
      </c>
      <c r="B235" s="4"/>
      <c r="C235" s="3"/>
      <c r="D235" s="3"/>
      <c r="E235" s="4"/>
      <c r="F235" s="4" t="str">
        <f>IF(OR($C$3="",C235="",D235=""),"",IF(G235=0,"NO",IF(H235&lt;=SUMPRODUCT(('GLASS OFFCUTS LIST'!$D$2:$D$298=UPPER(TRIM(SUBSTITUTE(SUBSTITUTE($C$3,"   "," "),"  "," "))))*((('GLASS OFFCUTS LIST'!$A$2:$A$298&gt;=C235)*('GLASS OFFCUTS LIST'!$B$2:$B$298&gt;=D235))+(N(OR(E235=TRUE(),E235="Y",E235="y",E235="YES",E235="Yes"))*(('GLASS OFFCUTS LIST'!$A$2:$A$298&gt;=D235)*('GLASS OFFCUTS LIST'!$B$2:$B$298&gt;=C235)))&gt;0)),"YES","NO")))</f>
        <v/>
      </c>
      <c r="G235" t="str">
        <f>IF(OR($C$3="",C235="",D235=""),"",IF(SUMPRODUCT(('GLASS OFFCUTS LIST'!$D$2:$D$298=UPPER(TRIM(SUBSTITUTE(SUBSTITUTE($C$3,"   "," "),"  "," "))))*((('GLASS OFFCUTS LIST'!$A$2:$A$298&gt;=C235)*('GLASS OFFCUTS LIST'!$B$2:$B$298&gt;=D235))+(N(OR(E235=TRUE(),E235="Y",E235="y",E235="YES",E235="Yes"))*(('GLASS OFFCUTS LIST'!$A$2:$A$298&gt;=D235)*('GLASS OFFCUTS LIST'!$B$2:$B$298&gt;=C235)))&gt;0))&gt;0,1,0))</f>
        <v/>
      </c>
      <c r="H235" t="str">
        <f>IF(G235="","",SUM($G$7:G235))</f>
        <v/>
      </c>
    </row>
    <row r="236" spans="1:8" x14ac:dyDescent="0.2">
      <c r="A236" s="3">
        <v>230</v>
      </c>
      <c r="B236" s="4"/>
      <c r="C236" s="3"/>
      <c r="D236" s="3"/>
      <c r="E236" s="4"/>
      <c r="F236" s="4" t="str">
        <f>IF(OR($C$3="",C236="",D236=""),"",IF(G236=0,"NO",IF(H236&lt;=SUMPRODUCT(('GLASS OFFCUTS LIST'!$D$2:$D$298=UPPER(TRIM(SUBSTITUTE(SUBSTITUTE($C$3,"   "," "),"  "," "))))*((('GLASS OFFCUTS LIST'!$A$2:$A$298&gt;=C236)*('GLASS OFFCUTS LIST'!$B$2:$B$298&gt;=D236))+(N(OR(E236=TRUE(),E236="Y",E236="y",E236="YES",E236="Yes"))*(('GLASS OFFCUTS LIST'!$A$2:$A$298&gt;=D236)*('GLASS OFFCUTS LIST'!$B$2:$B$298&gt;=C236)))&gt;0)),"YES","NO")))</f>
        <v/>
      </c>
      <c r="G236" t="str">
        <f>IF(OR($C$3="",C236="",D236=""),"",IF(SUMPRODUCT(('GLASS OFFCUTS LIST'!$D$2:$D$298=UPPER(TRIM(SUBSTITUTE(SUBSTITUTE($C$3,"   "," "),"  "," "))))*((('GLASS OFFCUTS LIST'!$A$2:$A$298&gt;=C236)*('GLASS OFFCUTS LIST'!$B$2:$B$298&gt;=D236))+(N(OR(E236=TRUE(),E236="Y",E236="y",E236="YES",E236="Yes"))*(('GLASS OFFCUTS LIST'!$A$2:$A$298&gt;=D236)*('GLASS OFFCUTS LIST'!$B$2:$B$298&gt;=C236)))&gt;0))&gt;0,1,0))</f>
        <v/>
      </c>
      <c r="H236" t="str">
        <f>IF(G236="","",SUM($G$7:G236))</f>
        <v/>
      </c>
    </row>
    <row r="237" spans="1:8" x14ac:dyDescent="0.2">
      <c r="A237" s="3">
        <v>231</v>
      </c>
      <c r="B237" s="4"/>
      <c r="C237" s="3"/>
      <c r="D237" s="3"/>
      <c r="E237" s="4"/>
      <c r="F237" s="4" t="str">
        <f>IF(OR($C$3="",C237="",D237=""),"",IF(G237=0,"NO",IF(H237&lt;=SUMPRODUCT(('GLASS OFFCUTS LIST'!$D$2:$D$298=UPPER(TRIM(SUBSTITUTE(SUBSTITUTE($C$3,"   "," "),"  "," "))))*((('GLASS OFFCUTS LIST'!$A$2:$A$298&gt;=C237)*('GLASS OFFCUTS LIST'!$B$2:$B$298&gt;=D237))+(N(OR(E237=TRUE(),E237="Y",E237="y",E237="YES",E237="Yes"))*(('GLASS OFFCUTS LIST'!$A$2:$A$298&gt;=D237)*('GLASS OFFCUTS LIST'!$B$2:$B$298&gt;=C237)))&gt;0)),"YES","NO")))</f>
        <v/>
      </c>
      <c r="G237" t="str">
        <f>IF(OR($C$3="",C237="",D237=""),"",IF(SUMPRODUCT(('GLASS OFFCUTS LIST'!$D$2:$D$298=UPPER(TRIM(SUBSTITUTE(SUBSTITUTE($C$3,"   "," "),"  "," "))))*((('GLASS OFFCUTS LIST'!$A$2:$A$298&gt;=C237)*('GLASS OFFCUTS LIST'!$B$2:$B$298&gt;=D237))+(N(OR(E237=TRUE(),E237="Y",E237="y",E237="YES",E237="Yes"))*(('GLASS OFFCUTS LIST'!$A$2:$A$298&gt;=D237)*('GLASS OFFCUTS LIST'!$B$2:$B$298&gt;=C237)))&gt;0))&gt;0,1,0))</f>
        <v/>
      </c>
      <c r="H237" t="str">
        <f>IF(G237="","",SUM($G$7:G237))</f>
        <v/>
      </c>
    </row>
    <row r="238" spans="1:8" x14ac:dyDescent="0.2">
      <c r="A238" s="3">
        <v>232</v>
      </c>
      <c r="B238" s="4"/>
      <c r="C238" s="3"/>
      <c r="D238" s="3"/>
      <c r="E238" s="4"/>
      <c r="F238" s="4" t="str">
        <f>IF(OR($C$3="",C238="",D238=""),"",IF(G238=0,"NO",IF(H238&lt;=SUMPRODUCT(('GLASS OFFCUTS LIST'!$D$2:$D$298=UPPER(TRIM(SUBSTITUTE(SUBSTITUTE($C$3,"   "," "),"  "," "))))*((('GLASS OFFCUTS LIST'!$A$2:$A$298&gt;=C238)*('GLASS OFFCUTS LIST'!$B$2:$B$298&gt;=D238))+(N(OR(E238=TRUE(),E238="Y",E238="y",E238="YES",E238="Yes"))*(('GLASS OFFCUTS LIST'!$A$2:$A$298&gt;=D238)*('GLASS OFFCUTS LIST'!$B$2:$B$298&gt;=C238)))&gt;0)),"YES","NO")))</f>
        <v/>
      </c>
      <c r="G238" t="str">
        <f>IF(OR($C$3="",C238="",D238=""),"",IF(SUMPRODUCT(('GLASS OFFCUTS LIST'!$D$2:$D$298=UPPER(TRIM(SUBSTITUTE(SUBSTITUTE($C$3,"   "," "),"  "," "))))*((('GLASS OFFCUTS LIST'!$A$2:$A$298&gt;=C238)*('GLASS OFFCUTS LIST'!$B$2:$B$298&gt;=D238))+(N(OR(E238=TRUE(),E238="Y",E238="y",E238="YES",E238="Yes"))*(('GLASS OFFCUTS LIST'!$A$2:$A$298&gt;=D238)*('GLASS OFFCUTS LIST'!$B$2:$B$298&gt;=C238)))&gt;0))&gt;0,1,0))</f>
        <v/>
      </c>
      <c r="H238" t="str">
        <f>IF(G238="","",SUM($G$7:G238))</f>
        <v/>
      </c>
    </row>
    <row r="239" spans="1:8" x14ac:dyDescent="0.2">
      <c r="A239" s="3">
        <v>233</v>
      </c>
      <c r="B239" s="4"/>
      <c r="C239" s="3"/>
      <c r="D239" s="3"/>
      <c r="E239" s="4"/>
      <c r="F239" s="4" t="str">
        <f>IF(OR($C$3="",C239="",D239=""),"",IF(G239=0,"NO",IF(H239&lt;=SUMPRODUCT(('GLASS OFFCUTS LIST'!$D$2:$D$298=UPPER(TRIM(SUBSTITUTE(SUBSTITUTE($C$3,"   "," "),"  "," "))))*((('GLASS OFFCUTS LIST'!$A$2:$A$298&gt;=C239)*('GLASS OFFCUTS LIST'!$B$2:$B$298&gt;=D239))+(N(OR(E239=TRUE(),E239="Y",E239="y",E239="YES",E239="Yes"))*(('GLASS OFFCUTS LIST'!$A$2:$A$298&gt;=D239)*('GLASS OFFCUTS LIST'!$B$2:$B$298&gt;=C239)))&gt;0)),"YES","NO")))</f>
        <v/>
      </c>
      <c r="G239" t="str">
        <f>IF(OR($C$3="",C239="",D239=""),"",IF(SUMPRODUCT(('GLASS OFFCUTS LIST'!$D$2:$D$298=UPPER(TRIM(SUBSTITUTE(SUBSTITUTE($C$3,"   "," "),"  "," "))))*((('GLASS OFFCUTS LIST'!$A$2:$A$298&gt;=C239)*('GLASS OFFCUTS LIST'!$B$2:$B$298&gt;=D239))+(N(OR(E239=TRUE(),E239="Y",E239="y",E239="YES",E239="Yes"))*(('GLASS OFFCUTS LIST'!$A$2:$A$298&gt;=D239)*('GLASS OFFCUTS LIST'!$B$2:$B$298&gt;=C239)))&gt;0))&gt;0,1,0))</f>
        <v/>
      </c>
      <c r="H239" t="str">
        <f>IF(G239="","",SUM($G$7:G239))</f>
        <v/>
      </c>
    </row>
    <row r="240" spans="1:8" x14ac:dyDescent="0.2">
      <c r="A240" s="3">
        <v>234</v>
      </c>
      <c r="B240" s="4"/>
      <c r="C240" s="3"/>
      <c r="D240" s="3"/>
      <c r="E240" s="4"/>
      <c r="F240" s="4" t="str">
        <f>IF(OR($C$3="",C240="",D240=""),"",IF(G240=0,"NO",IF(H240&lt;=SUMPRODUCT(('GLASS OFFCUTS LIST'!$D$2:$D$298=UPPER(TRIM(SUBSTITUTE(SUBSTITUTE($C$3,"   "," "),"  "," "))))*((('GLASS OFFCUTS LIST'!$A$2:$A$298&gt;=C240)*('GLASS OFFCUTS LIST'!$B$2:$B$298&gt;=D240))+(N(OR(E240=TRUE(),E240="Y",E240="y",E240="YES",E240="Yes"))*(('GLASS OFFCUTS LIST'!$A$2:$A$298&gt;=D240)*('GLASS OFFCUTS LIST'!$B$2:$B$298&gt;=C240)))&gt;0)),"YES","NO")))</f>
        <v/>
      </c>
      <c r="G240" t="str">
        <f>IF(OR($C$3="",C240="",D240=""),"",IF(SUMPRODUCT(('GLASS OFFCUTS LIST'!$D$2:$D$298=UPPER(TRIM(SUBSTITUTE(SUBSTITUTE($C$3,"   "," "),"  "," "))))*((('GLASS OFFCUTS LIST'!$A$2:$A$298&gt;=C240)*('GLASS OFFCUTS LIST'!$B$2:$B$298&gt;=D240))+(N(OR(E240=TRUE(),E240="Y",E240="y",E240="YES",E240="Yes"))*(('GLASS OFFCUTS LIST'!$A$2:$A$298&gt;=D240)*('GLASS OFFCUTS LIST'!$B$2:$B$298&gt;=C240)))&gt;0))&gt;0,1,0))</f>
        <v/>
      </c>
      <c r="H240" t="str">
        <f>IF(G240="","",SUM($G$7:G240))</f>
        <v/>
      </c>
    </row>
    <row r="241" spans="1:8" x14ac:dyDescent="0.2">
      <c r="A241" s="3">
        <v>235</v>
      </c>
      <c r="B241" s="4"/>
      <c r="C241" s="3"/>
      <c r="D241" s="3"/>
      <c r="E241" s="4"/>
      <c r="F241" s="4" t="str">
        <f>IF(OR($C$3="",C241="",D241=""),"",IF(G241=0,"NO",IF(H241&lt;=SUMPRODUCT(('GLASS OFFCUTS LIST'!$D$2:$D$298=UPPER(TRIM(SUBSTITUTE(SUBSTITUTE($C$3,"   "," "),"  "," "))))*((('GLASS OFFCUTS LIST'!$A$2:$A$298&gt;=C241)*('GLASS OFFCUTS LIST'!$B$2:$B$298&gt;=D241))+(N(OR(E241=TRUE(),E241="Y",E241="y",E241="YES",E241="Yes"))*(('GLASS OFFCUTS LIST'!$A$2:$A$298&gt;=D241)*('GLASS OFFCUTS LIST'!$B$2:$B$298&gt;=C241)))&gt;0)),"YES","NO")))</f>
        <v/>
      </c>
      <c r="G241" t="str">
        <f>IF(OR($C$3="",C241="",D241=""),"",IF(SUMPRODUCT(('GLASS OFFCUTS LIST'!$D$2:$D$298=UPPER(TRIM(SUBSTITUTE(SUBSTITUTE($C$3,"   "," "),"  "," "))))*((('GLASS OFFCUTS LIST'!$A$2:$A$298&gt;=C241)*('GLASS OFFCUTS LIST'!$B$2:$B$298&gt;=D241))+(N(OR(E241=TRUE(),E241="Y",E241="y",E241="YES",E241="Yes"))*(('GLASS OFFCUTS LIST'!$A$2:$A$298&gt;=D241)*('GLASS OFFCUTS LIST'!$B$2:$B$298&gt;=C241)))&gt;0))&gt;0,1,0))</f>
        <v/>
      </c>
      <c r="H241" t="str">
        <f>IF(G241="","",SUM($G$7:G241))</f>
        <v/>
      </c>
    </row>
    <row r="242" spans="1:8" x14ac:dyDescent="0.2">
      <c r="A242" s="3">
        <v>236</v>
      </c>
      <c r="B242" s="4"/>
      <c r="C242" s="3"/>
      <c r="D242" s="3"/>
      <c r="E242" s="4"/>
      <c r="F242" s="4" t="str">
        <f>IF(OR($C$3="",C242="",D242=""),"",IF(G242=0,"NO",IF(H242&lt;=SUMPRODUCT(('GLASS OFFCUTS LIST'!$D$2:$D$298=UPPER(TRIM(SUBSTITUTE(SUBSTITUTE($C$3,"   "," "),"  "," "))))*((('GLASS OFFCUTS LIST'!$A$2:$A$298&gt;=C242)*('GLASS OFFCUTS LIST'!$B$2:$B$298&gt;=D242))+(N(OR(E242=TRUE(),E242="Y",E242="y",E242="YES",E242="Yes"))*(('GLASS OFFCUTS LIST'!$A$2:$A$298&gt;=D242)*('GLASS OFFCUTS LIST'!$B$2:$B$298&gt;=C242)))&gt;0)),"YES","NO")))</f>
        <v/>
      </c>
      <c r="G242" t="str">
        <f>IF(OR($C$3="",C242="",D242=""),"",IF(SUMPRODUCT(('GLASS OFFCUTS LIST'!$D$2:$D$298=UPPER(TRIM(SUBSTITUTE(SUBSTITUTE($C$3,"   "," "),"  "," "))))*((('GLASS OFFCUTS LIST'!$A$2:$A$298&gt;=C242)*('GLASS OFFCUTS LIST'!$B$2:$B$298&gt;=D242))+(N(OR(E242=TRUE(),E242="Y",E242="y",E242="YES",E242="Yes"))*(('GLASS OFFCUTS LIST'!$A$2:$A$298&gt;=D242)*('GLASS OFFCUTS LIST'!$B$2:$B$298&gt;=C242)))&gt;0))&gt;0,1,0))</f>
        <v/>
      </c>
      <c r="H242" t="str">
        <f>IF(G242="","",SUM($G$7:G242))</f>
        <v/>
      </c>
    </row>
    <row r="243" spans="1:8" x14ac:dyDescent="0.2">
      <c r="A243" s="3">
        <v>237</v>
      </c>
      <c r="B243" s="4"/>
      <c r="C243" s="3"/>
      <c r="D243" s="3"/>
      <c r="E243" s="4"/>
      <c r="F243" s="4" t="str">
        <f>IF(OR($C$3="",C243="",D243=""),"",IF(G243=0,"NO",IF(H243&lt;=SUMPRODUCT(('GLASS OFFCUTS LIST'!$D$2:$D$298=UPPER(TRIM(SUBSTITUTE(SUBSTITUTE($C$3,"   "," "),"  "," "))))*((('GLASS OFFCUTS LIST'!$A$2:$A$298&gt;=C243)*('GLASS OFFCUTS LIST'!$B$2:$B$298&gt;=D243))+(N(OR(E243=TRUE(),E243="Y",E243="y",E243="YES",E243="Yes"))*(('GLASS OFFCUTS LIST'!$A$2:$A$298&gt;=D243)*('GLASS OFFCUTS LIST'!$B$2:$B$298&gt;=C243)))&gt;0)),"YES","NO")))</f>
        <v/>
      </c>
      <c r="G243" t="str">
        <f>IF(OR($C$3="",C243="",D243=""),"",IF(SUMPRODUCT(('GLASS OFFCUTS LIST'!$D$2:$D$298=UPPER(TRIM(SUBSTITUTE(SUBSTITUTE($C$3,"   "," "),"  "," "))))*((('GLASS OFFCUTS LIST'!$A$2:$A$298&gt;=C243)*('GLASS OFFCUTS LIST'!$B$2:$B$298&gt;=D243))+(N(OR(E243=TRUE(),E243="Y",E243="y",E243="YES",E243="Yes"))*(('GLASS OFFCUTS LIST'!$A$2:$A$298&gt;=D243)*('GLASS OFFCUTS LIST'!$B$2:$B$298&gt;=C243)))&gt;0))&gt;0,1,0))</f>
        <v/>
      </c>
      <c r="H243" t="str">
        <f>IF(G243="","",SUM($G$7:G243))</f>
        <v/>
      </c>
    </row>
    <row r="244" spans="1:8" x14ac:dyDescent="0.2">
      <c r="A244" s="3">
        <v>238</v>
      </c>
      <c r="B244" s="4"/>
      <c r="C244" s="3"/>
      <c r="D244" s="3"/>
      <c r="E244" s="4"/>
      <c r="F244" s="4" t="str">
        <f>IF(OR($C$3="",C244="",D244=""),"",IF(G244=0,"NO",IF(H244&lt;=SUMPRODUCT(('GLASS OFFCUTS LIST'!$D$2:$D$298=UPPER(TRIM(SUBSTITUTE(SUBSTITUTE($C$3,"   "," "),"  "," "))))*((('GLASS OFFCUTS LIST'!$A$2:$A$298&gt;=C244)*('GLASS OFFCUTS LIST'!$B$2:$B$298&gt;=D244))+(N(OR(E244=TRUE(),E244="Y",E244="y",E244="YES",E244="Yes"))*(('GLASS OFFCUTS LIST'!$A$2:$A$298&gt;=D244)*('GLASS OFFCUTS LIST'!$B$2:$B$298&gt;=C244)))&gt;0)),"YES","NO")))</f>
        <v/>
      </c>
      <c r="G244" t="str">
        <f>IF(OR($C$3="",C244="",D244=""),"",IF(SUMPRODUCT(('GLASS OFFCUTS LIST'!$D$2:$D$298=UPPER(TRIM(SUBSTITUTE(SUBSTITUTE($C$3,"   "," "),"  "," "))))*((('GLASS OFFCUTS LIST'!$A$2:$A$298&gt;=C244)*('GLASS OFFCUTS LIST'!$B$2:$B$298&gt;=D244))+(N(OR(E244=TRUE(),E244="Y",E244="y",E244="YES",E244="Yes"))*(('GLASS OFFCUTS LIST'!$A$2:$A$298&gt;=D244)*('GLASS OFFCUTS LIST'!$B$2:$B$298&gt;=C244)))&gt;0))&gt;0,1,0))</f>
        <v/>
      </c>
      <c r="H244" t="str">
        <f>IF(G244="","",SUM($G$7:G244))</f>
        <v/>
      </c>
    </row>
    <row r="245" spans="1:8" x14ac:dyDescent="0.2">
      <c r="A245" s="3">
        <v>239</v>
      </c>
      <c r="B245" s="4"/>
      <c r="C245" s="3"/>
      <c r="D245" s="3"/>
      <c r="E245" s="4"/>
      <c r="F245" s="4" t="str">
        <f>IF(OR($C$3="",C245="",D245=""),"",IF(G245=0,"NO",IF(H245&lt;=SUMPRODUCT(('GLASS OFFCUTS LIST'!$D$2:$D$298=UPPER(TRIM(SUBSTITUTE(SUBSTITUTE($C$3,"   "," "),"  "," "))))*((('GLASS OFFCUTS LIST'!$A$2:$A$298&gt;=C245)*('GLASS OFFCUTS LIST'!$B$2:$B$298&gt;=D245))+(N(OR(E245=TRUE(),E245="Y",E245="y",E245="YES",E245="Yes"))*(('GLASS OFFCUTS LIST'!$A$2:$A$298&gt;=D245)*('GLASS OFFCUTS LIST'!$B$2:$B$298&gt;=C245)))&gt;0)),"YES","NO")))</f>
        <v/>
      </c>
      <c r="G245" t="str">
        <f>IF(OR($C$3="",C245="",D245=""),"",IF(SUMPRODUCT(('GLASS OFFCUTS LIST'!$D$2:$D$298=UPPER(TRIM(SUBSTITUTE(SUBSTITUTE($C$3,"   "," "),"  "," "))))*((('GLASS OFFCUTS LIST'!$A$2:$A$298&gt;=C245)*('GLASS OFFCUTS LIST'!$B$2:$B$298&gt;=D245))+(N(OR(E245=TRUE(),E245="Y",E245="y",E245="YES",E245="Yes"))*(('GLASS OFFCUTS LIST'!$A$2:$A$298&gt;=D245)*('GLASS OFFCUTS LIST'!$B$2:$B$298&gt;=C245)))&gt;0))&gt;0,1,0))</f>
        <v/>
      </c>
      <c r="H245" t="str">
        <f>IF(G245="","",SUM($G$7:G245))</f>
        <v/>
      </c>
    </row>
    <row r="246" spans="1:8" x14ac:dyDescent="0.2">
      <c r="A246" s="3">
        <v>240</v>
      </c>
      <c r="B246" s="4"/>
      <c r="C246" s="3"/>
      <c r="D246" s="3"/>
      <c r="E246" s="4"/>
      <c r="F246" s="4" t="str">
        <f>IF(OR($C$3="",C246="",D246=""),"",IF(G246=0,"NO",IF(H246&lt;=SUMPRODUCT(('GLASS OFFCUTS LIST'!$D$2:$D$298=UPPER(TRIM(SUBSTITUTE(SUBSTITUTE($C$3,"   "," "),"  "," "))))*((('GLASS OFFCUTS LIST'!$A$2:$A$298&gt;=C246)*('GLASS OFFCUTS LIST'!$B$2:$B$298&gt;=D246))+(N(OR(E246=TRUE(),E246="Y",E246="y",E246="YES",E246="Yes"))*(('GLASS OFFCUTS LIST'!$A$2:$A$298&gt;=D246)*('GLASS OFFCUTS LIST'!$B$2:$B$298&gt;=C246)))&gt;0)),"YES","NO")))</f>
        <v/>
      </c>
      <c r="G246" t="str">
        <f>IF(OR($C$3="",C246="",D246=""),"",IF(SUMPRODUCT(('GLASS OFFCUTS LIST'!$D$2:$D$298=UPPER(TRIM(SUBSTITUTE(SUBSTITUTE($C$3,"   "," "),"  "," "))))*((('GLASS OFFCUTS LIST'!$A$2:$A$298&gt;=C246)*('GLASS OFFCUTS LIST'!$B$2:$B$298&gt;=D246))+(N(OR(E246=TRUE(),E246="Y",E246="y",E246="YES",E246="Yes"))*(('GLASS OFFCUTS LIST'!$A$2:$A$298&gt;=D246)*('GLASS OFFCUTS LIST'!$B$2:$B$298&gt;=C246)))&gt;0))&gt;0,1,0))</f>
        <v/>
      </c>
      <c r="H246" t="str">
        <f>IF(G246="","",SUM($G$7:G246))</f>
        <v/>
      </c>
    </row>
    <row r="247" spans="1:8" x14ac:dyDescent="0.2">
      <c r="A247" s="3">
        <v>241</v>
      </c>
      <c r="B247" s="4"/>
      <c r="C247" s="3"/>
      <c r="D247" s="3"/>
      <c r="E247" s="4"/>
      <c r="F247" s="4" t="str">
        <f>IF(OR($C$3="",C247="",D247=""),"",IF(G247=0,"NO",IF(H247&lt;=SUMPRODUCT(('GLASS OFFCUTS LIST'!$D$2:$D$298=UPPER(TRIM(SUBSTITUTE(SUBSTITUTE($C$3,"   "," "),"  "," "))))*((('GLASS OFFCUTS LIST'!$A$2:$A$298&gt;=C247)*('GLASS OFFCUTS LIST'!$B$2:$B$298&gt;=D247))+(N(OR(E247=TRUE(),E247="Y",E247="y",E247="YES",E247="Yes"))*(('GLASS OFFCUTS LIST'!$A$2:$A$298&gt;=D247)*('GLASS OFFCUTS LIST'!$B$2:$B$298&gt;=C247)))&gt;0)),"YES","NO")))</f>
        <v/>
      </c>
      <c r="G247" t="str">
        <f>IF(OR($C$3="",C247="",D247=""),"",IF(SUMPRODUCT(('GLASS OFFCUTS LIST'!$D$2:$D$298=UPPER(TRIM(SUBSTITUTE(SUBSTITUTE($C$3,"   "," "),"  "," "))))*((('GLASS OFFCUTS LIST'!$A$2:$A$298&gt;=C247)*('GLASS OFFCUTS LIST'!$B$2:$B$298&gt;=D247))+(N(OR(E247=TRUE(),E247="Y",E247="y",E247="YES",E247="Yes"))*(('GLASS OFFCUTS LIST'!$A$2:$A$298&gt;=D247)*('GLASS OFFCUTS LIST'!$B$2:$B$298&gt;=C247)))&gt;0))&gt;0,1,0))</f>
        <v/>
      </c>
      <c r="H247" t="str">
        <f>IF(G247="","",SUM($G$7:G247))</f>
        <v/>
      </c>
    </row>
    <row r="248" spans="1:8" x14ac:dyDescent="0.2">
      <c r="A248" s="3">
        <v>242</v>
      </c>
      <c r="B248" s="4"/>
      <c r="C248" s="3"/>
      <c r="D248" s="3"/>
      <c r="E248" s="4"/>
      <c r="F248" s="4" t="str">
        <f>IF(OR($C$3="",C248="",D248=""),"",IF(G248=0,"NO",IF(H248&lt;=SUMPRODUCT(('GLASS OFFCUTS LIST'!$D$2:$D$298=UPPER(TRIM(SUBSTITUTE(SUBSTITUTE($C$3,"   "," "),"  "," "))))*((('GLASS OFFCUTS LIST'!$A$2:$A$298&gt;=C248)*('GLASS OFFCUTS LIST'!$B$2:$B$298&gt;=D248))+(N(OR(E248=TRUE(),E248="Y",E248="y",E248="YES",E248="Yes"))*(('GLASS OFFCUTS LIST'!$A$2:$A$298&gt;=D248)*('GLASS OFFCUTS LIST'!$B$2:$B$298&gt;=C248)))&gt;0)),"YES","NO")))</f>
        <v/>
      </c>
      <c r="G248" t="str">
        <f>IF(OR($C$3="",C248="",D248=""),"",IF(SUMPRODUCT(('GLASS OFFCUTS LIST'!$D$2:$D$298=UPPER(TRIM(SUBSTITUTE(SUBSTITUTE($C$3,"   "," "),"  "," "))))*((('GLASS OFFCUTS LIST'!$A$2:$A$298&gt;=C248)*('GLASS OFFCUTS LIST'!$B$2:$B$298&gt;=D248))+(N(OR(E248=TRUE(),E248="Y",E248="y",E248="YES",E248="Yes"))*(('GLASS OFFCUTS LIST'!$A$2:$A$298&gt;=D248)*('GLASS OFFCUTS LIST'!$B$2:$B$298&gt;=C248)))&gt;0))&gt;0,1,0))</f>
        <v/>
      </c>
      <c r="H248" t="str">
        <f>IF(G248="","",SUM($G$7:G248))</f>
        <v/>
      </c>
    </row>
    <row r="249" spans="1:8" x14ac:dyDescent="0.2">
      <c r="A249" s="3">
        <v>243</v>
      </c>
      <c r="B249" s="4"/>
      <c r="C249" s="3"/>
      <c r="D249" s="3"/>
      <c r="E249" s="4"/>
      <c r="F249" s="4" t="str">
        <f>IF(OR($C$3="",C249="",D249=""),"",IF(G249=0,"NO",IF(H249&lt;=SUMPRODUCT(('GLASS OFFCUTS LIST'!$D$2:$D$298=UPPER(TRIM(SUBSTITUTE(SUBSTITUTE($C$3,"   "," "),"  "," "))))*((('GLASS OFFCUTS LIST'!$A$2:$A$298&gt;=C249)*('GLASS OFFCUTS LIST'!$B$2:$B$298&gt;=D249))+(N(OR(E249=TRUE(),E249="Y",E249="y",E249="YES",E249="Yes"))*(('GLASS OFFCUTS LIST'!$A$2:$A$298&gt;=D249)*('GLASS OFFCUTS LIST'!$B$2:$B$298&gt;=C249)))&gt;0)),"YES","NO")))</f>
        <v/>
      </c>
      <c r="G249" t="str">
        <f>IF(OR($C$3="",C249="",D249=""),"",IF(SUMPRODUCT(('GLASS OFFCUTS LIST'!$D$2:$D$298=UPPER(TRIM(SUBSTITUTE(SUBSTITUTE($C$3,"   "," "),"  "," "))))*((('GLASS OFFCUTS LIST'!$A$2:$A$298&gt;=C249)*('GLASS OFFCUTS LIST'!$B$2:$B$298&gt;=D249))+(N(OR(E249=TRUE(),E249="Y",E249="y",E249="YES",E249="Yes"))*(('GLASS OFFCUTS LIST'!$A$2:$A$298&gt;=D249)*('GLASS OFFCUTS LIST'!$B$2:$B$298&gt;=C249)))&gt;0))&gt;0,1,0))</f>
        <v/>
      </c>
      <c r="H249" t="str">
        <f>IF(G249="","",SUM($G$7:G249))</f>
        <v/>
      </c>
    </row>
    <row r="250" spans="1:8" x14ac:dyDescent="0.2">
      <c r="A250" s="3">
        <v>244</v>
      </c>
      <c r="B250" s="4"/>
      <c r="C250" s="3"/>
      <c r="D250" s="3"/>
      <c r="E250" s="4"/>
      <c r="F250" s="4" t="str">
        <f>IF(OR($C$3="",C250="",D250=""),"",IF(G250=0,"NO",IF(H250&lt;=SUMPRODUCT(('GLASS OFFCUTS LIST'!$D$2:$D$298=UPPER(TRIM(SUBSTITUTE(SUBSTITUTE($C$3,"   "," "),"  "," "))))*((('GLASS OFFCUTS LIST'!$A$2:$A$298&gt;=C250)*('GLASS OFFCUTS LIST'!$B$2:$B$298&gt;=D250))+(N(OR(E250=TRUE(),E250="Y",E250="y",E250="YES",E250="Yes"))*(('GLASS OFFCUTS LIST'!$A$2:$A$298&gt;=D250)*('GLASS OFFCUTS LIST'!$B$2:$B$298&gt;=C250)))&gt;0)),"YES","NO")))</f>
        <v/>
      </c>
      <c r="G250" t="str">
        <f>IF(OR($C$3="",C250="",D250=""),"",IF(SUMPRODUCT(('GLASS OFFCUTS LIST'!$D$2:$D$298=UPPER(TRIM(SUBSTITUTE(SUBSTITUTE($C$3,"   "," "),"  "," "))))*((('GLASS OFFCUTS LIST'!$A$2:$A$298&gt;=C250)*('GLASS OFFCUTS LIST'!$B$2:$B$298&gt;=D250))+(N(OR(E250=TRUE(),E250="Y",E250="y",E250="YES",E250="Yes"))*(('GLASS OFFCUTS LIST'!$A$2:$A$298&gt;=D250)*('GLASS OFFCUTS LIST'!$B$2:$B$298&gt;=C250)))&gt;0))&gt;0,1,0))</f>
        <v/>
      </c>
      <c r="H250" t="str">
        <f>IF(G250="","",SUM($G$7:G250))</f>
        <v/>
      </c>
    </row>
    <row r="251" spans="1:8" x14ac:dyDescent="0.2">
      <c r="A251" s="3">
        <v>245</v>
      </c>
      <c r="B251" s="4"/>
      <c r="C251" s="3"/>
      <c r="D251" s="3"/>
      <c r="E251" s="4"/>
      <c r="F251" s="4" t="str">
        <f>IF(OR($C$3="",C251="",D251=""),"",IF(G251=0,"NO",IF(H251&lt;=SUMPRODUCT(('GLASS OFFCUTS LIST'!$D$2:$D$298=UPPER(TRIM(SUBSTITUTE(SUBSTITUTE($C$3,"   "," "),"  "," "))))*((('GLASS OFFCUTS LIST'!$A$2:$A$298&gt;=C251)*('GLASS OFFCUTS LIST'!$B$2:$B$298&gt;=D251))+(N(OR(E251=TRUE(),E251="Y",E251="y",E251="YES",E251="Yes"))*(('GLASS OFFCUTS LIST'!$A$2:$A$298&gt;=D251)*('GLASS OFFCUTS LIST'!$B$2:$B$298&gt;=C251)))&gt;0)),"YES","NO")))</f>
        <v/>
      </c>
      <c r="G251" t="str">
        <f>IF(OR($C$3="",C251="",D251=""),"",IF(SUMPRODUCT(('GLASS OFFCUTS LIST'!$D$2:$D$298=UPPER(TRIM(SUBSTITUTE(SUBSTITUTE($C$3,"   "," "),"  "," "))))*((('GLASS OFFCUTS LIST'!$A$2:$A$298&gt;=C251)*('GLASS OFFCUTS LIST'!$B$2:$B$298&gt;=D251))+(N(OR(E251=TRUE(),E251="Y",E251="y",E251="YES",E251="Yes"))*(('GLASS OFFCUTS LIST'!$A$2:$A$298&gt;=D251)*('GLASS OFFCUTS LIST'!$B$2:$B$298&gt;=C251)))&gt;0))&gt;0,1,0))</f>
        <v/>
      </c>
      <c r="H251" t="str">
        <f>IF(G251="","",SUM($G$7:G251))</f>
        <v/>
      </c>
    </row>
    <row r="252" spans="1:8" x14ac:dyDescent="0.2">
      <c r="A252" s="3">
        <v>246</v>
      </c>
      <c r="B252" s="4"/>
      <c r="C252" s="3"/>
      <c r="D252" s="3"/>
      <c r="E252" s="4"/>
      <c r="F252" s="4" t="str">
        <f>IF(OR($C$3="",C252="",D252=""),"",IF(G252=0,"NO",IF(H252&lt;=SUMPRODUCT(('GLASS OFFCUTS LIST'!$D$2:$D$298=UPPER(TRIM(SUBSTITUTE(SUBSTITUTE($C$3,"   "," "),"  "," "))))*((('GLASS OFFCUTS LIST'!$A$2:$A$298&gt;=C252)*('GLASS OFFCUTS LIST'!$B$2:$B$298&gt;=D252))+(N(OR(E252=TRUE(),E252="Y",E252="y",E252="YES",E252="Yes"))*(('GLASS OFFCUTS LIST'!$A$2:$A$298&gt;=D252)*('GLASS OFFCUTS LIST'!$B$2:$B$298&gt;=C252)))&gt;0)),"YES","NO")))</f>
        <v/>
      </c>
      <c r="G252" t="str">
        <f>IF(OR($C$3="",C252="",D252=""),"",IF(SUMPRODUCT(('GLASS OFFCUTS LIST'!$D$2:$D$298=UPPER(TRIM(SUBSTITUTE(SUBSTITUTE($C$3,"   "," "),"  "," "))))*((('GLASS OFFCUTS LIST'!$A$2:$A$298&gt;=C252)*('GLASS OFFCUTS LIST'!$B$2:$B$298&gt;=D252))+(N(OR(E252=TRUE(),E252="Y",E252="y",E252="YES",E252="Yes"))*(('GLASS OFFCUTS LIST'!$A$2:$A$298&gt;=D252)*('GLASS OFFCUTS LIST'!$B$2:$B$298&gt;=C252)))&gt;0))&gt;0,1,0))</f>
        <v/>
      </c>
      <c r="H252" t="str">
        <f>IF(G252="","",SUM($G$7:G252))</f>
        <v/>
      </c>
    </row>
    <row r="253" spans="1:8" x14ac:dyDescent="0.2">
      <c r="A253" s="3">
        <v>247</v>
      </c>
      <c r="B253" s="4"/>
      <c r="C253" s="3"/>
      <c r="D253" s="3"/>
      <c r="E253" s="4"/>
      <c r="F253" s="4" t="str">
        <f>IF(OR($C$3="",C253="",D253=""),"",IF(G253=0,"NO",IF(H253&lt;=SUMPRODUCT(('GLASS OFFCUTS LIST'!$D$2:$D$298=UPPER(TRIM(SUBSTITUTE(SUBSTITUTE($C$3,"   "," "),"  "," "))))*((('GLASS OFFCUTS LIST'!$A$2:$A$298&gt;=C253)*('GLASS OFFCUTS LIST'!$B$2:$B$298&gt;=D253))+(N(OR(E253=TRUE(),E253="Y",E253="y",E253="YES",E253="Yes"))*(('GLASS OFFCUTS LIST'!$A$2:$A$298&gt;=D253)*('GLASS OFFCUTS LIST'!$B$2:$B$298&gt;=C253)))&gt;0)),"YES","NO")))</f>
        <v/>
      </c>
      <c r="G253" t="str">
        <f>IF(OR($C$3="",C253="",D253=""),"",IF(SUMPRODUCT(('GLASS OFFCUTS LIST'!$D$2:$D$298=UPPER(TRIM(SUBSTITUTE(SUBSTITUTE($C$3,"   "," "),"  "," "))))*((('GLASS OFFCUTS LIST'!$A$2:$A$298&gt;=C253)*('GLASS OFFCUTS LIST'!$B$2:$B$298&gt;=D253))+(N(OR(E253=TRUE(),E253="Y",E253="y",E253="YES",E253="Yes"))*(('GLASS OFFCUTS LIST'!$A$2:$A$298&gt;=D253)*('GLASS OFFCUTS LIST'!$B$2:$B$298&gt;=C253)))&gt;0))&gt;0,1,0))</f>
        <v/>
      </c>
      <c r="H253" t="str">
        <f>IF(G253="","",SUM($G$7:G253))</f>
        <v/>
      </c>
    </row>
    <row r="254" spans="1:8" x14ac:dyDescent="0.2">
      <c r="A254" s="3">
        <v>248</v>
      </c>
      <c r="B254" s="4"/>
      <c r="C254" s="3"/>
      <c r="D254" s="3"/>
      <c r="E254" s="4"/>
      <c r="F254" s="4" t="str">
        <f>IF(OR($C$3="",C254="",D254=""),"",IF(G254=0,"NO",IF(H254&lt;=SUMPRODUCT(('GLASS OFFCUTS LIST'!$D$2:$D$298=UPPER(TRIM(SUBSTITUTE(SUBSTITUTE($C$3,"   "," "),"  "," "))))*((('GLASS OFFCUTS LIST'!$A$2:$A$298&gt;=C254)*('GLASS OFFCUTS LIST'!$B$2:$B$298&gt;=D254))+(N(OR(E254=TRUE(),E254="Y",E254="y",E254="YES",E254="Yes"))*(('GLASS OFFCUTS LIST'!$A$2:$A$298&gt;=D254)*('GLASS OFFCUTS LIST'!$B$2:$B$298&gt;=C254)))&gt;0)),"YES","NO")))</f>
        <v/>
      </c>
      <c r="G254" t="str">
        <f>IF(OR($C$3="",C254="",D254=""),"",IF(SUMPRODUCT(('GLASS OFFCUTS LIST'!$D$2:$D$298=UPPER(TRIM(SUBSTITUTE(SUBSTITUTE($C$3,"   "," "),"  "," "))))*((('GLASS OFFCUTS LIST'!$A$2:$A$298&gt;=C254)*('GLASS OFFCUTS LIST'!$B$2:$B$298&gt;=D254))+(N(OR(E254=TRUE(),E254="Y",E254="y",E254="YES",E254="Yes"))*(('GLASS OFFCUTS LIST'!$A$2:$A$298&gt;=D254)*('GLASS OFFCUTS LIST'!$B$2:$B$298&gt;=C254)))&gt;0))&gt;0,1,0))</f>
        <v/>
      </c>
      <c r="H254" t="str">
        <f>IF(G254="","",SUM($G$7:G254))</f>
        <v/>
      </c>
    </row>
    <row r="255" spans="1:8" x14ac:dyDescent="0.2">
      <c r="A255" s="3">
        <v>249</v>
      </c>
      <c r="B255" s="4"/>
      <c r="C255" s="3"/>
      <c r="D255" s="3"/>
      <c r="E255" s="4"/>
      <c r="F255" s="4" t="str">
        <f>IF(OR($C$3="",C255="",D255=""),"",IF(G255=0,"NO",IF(H255&lt;=SUMPRODUCT(('GLASS OFFCUTS LIST'!$D$2:$D$298=UPPER(TRIM(SUBSTITUTE(SUBSTITUTE($C$3,"   "," "),"  "," "))))*((('GLASS OFFCUTS LIST'!$A$2:$A$298&gt;=C255)*('GLASS OFFCUTS LIST'!$B$2:$B$298&gt;=D255))+(N(OR(E255=TRUE(),E255="Y",E255="y",E255="YES",E255="Yes"))*(('GLASS OFFCUTS LIST'!$A$2:$A$298&gt;=D255)*('GLASS OFFCUTS LIST'!$B$2:$B$298&gt;=C255)))&gt;0)),"YES","NO")))</f>
        <v/>
      </c>
      <c r="G255" t="str">
        <f>IF(OR($C$3="",C255="",D255=""),"",IF(SUMPRODUCT(('GLASS OFFCUTS LIST'!$D$2:$D$298=UPPER(TRIM(SUBSTITUTE(SUBSTITUTE($C$3,"   "," "),"  "," "))))*((('GLASS OFFCUTS LIST'!$A$2:$A$298&gt;=C255)*('GLASS OFFCUTS LIST'!$B$2:$B$298&gt;=D255))+(N(OR(E255=TRUE(),E255="Y",E255="y",E255="YES",E255="Yes"))*(('GLASS OFFCUTS LIST'!$A$2:$A$298&gt;=D255)*('GLASS OFFCUTS LIST'!$B$2:$B$298&gt;=C255)))&gt;0))&gt;0,1,0))</f>
        <v/>
      </c>
      <c r="H255" t="str">
        <f>IF(G255="","",SUM($G$7:G255))</f>
        <v/>
      </c>
    </row>
    <row r="256" spans="1:8" x14ac:dyDescent="0.2">
      <c r="A256" s="3">
        <v>250</v>
      </c>
      <c r="B256" s="4"/>
      <c r="C256" s="3"/>
      <c r="D256" s="3"/>
      <c r="E256" s="4"/>
      <c r="F256" s="4" t="str">
        <f>IF(OR($C$3="",C256="",D256=""),"",IF(G256=0,"NO",IF(H256&lt;=SUMPRODUCT(('GLASS OFFCUTS LIST'!$D$2:$D$298=UPPER(TRIM(SUBSTITUTE(SUBSTITUTE($C$3,"   "," "),"  "," "))))*((('GLASS OFFCUTS LIST'!$A$2:$A$298&gt;=C256)*('GLASS OFFCUTS LIST'!$B$2:$B$298&gt;=D256))+(N(OR(E256=TRUE(),E256="Y",E256="y",E256="YES",E256="Yes"))*(('GLASS OFFCUTS LIST'!$A$2:$A$298&gt;=D256)*('GLASS OFFCUTS LIST'!$B$2:$B$298&gt;=C256)))&gt;0)),"YES","NO")))</f>
        <v/>
      </c>
      <c r="G256" t="str">
        <f>IF(OR($C$3="",C256="",D256=""),"",IF(SUMPRODUCT(('GLASS OFFCUTS LIST'!$D$2:$D$298=UPPER(TRIM(SUBSTITUTE(SUBSTITUTE($C$3,"   "," "),"  "," "))))*((('GLASS OFFCUTS LIST'!$A$2:$A$298&gt;=C256)*('GLASS OFFCUTS LIST'!$B$2:$B$298&gt;=D256))+(N(OR(E256=TRUE(),E256="Y",E256="y",E256="YES",E256="Yes"))*(('GLASS OFFCUTS LIST'!$A$2:$A$298&gt;=D256)*('GLASS OFFCUTS LIST'!$B$2:$B$298&gt;=C256)))&gt;0))&gt;0,1,0))</f>
        <v/>
      </c>
      <c r="H256" t="str">
        <f>IF(G256="","",SUM($G$7:G256))</f>
        <v/>
      </c>
    </row>
    <row r="257" spans="1:8" x14ac:dyDescent="0.2">
      <c r="A257" s="3">
        <v>251</v>
      </c>
      <c r="B257" s="4"/>
      <c r="C257" s="3"/>
      <c r="D257" s="3"/>
      <c r="E257" s="4"/>
      <c r="F257" s="4" t="str">
        <f>IF(OR($C$3="",C257="",D257=""),"",IF(G257=0,"NO",IF(H257&lt;=SUMPRODUCT(('GLASS OFFCUTS LIST'!$D$2:$D$298=UPPER(TRIM(SUBSTITUTE(SUBSTITUTE($C$3,"   "," "),"  "," "))))*((('GLASS OFFCUTS LIST'!$A$2:$A$298&gt;=C257)*('GLASS OFFCUTS LIST'!$B$2:$B$298&gt;=D257))+(N(OR(E257=TRUE(),E257="Y",E257="y",E257="YES",E257="Yes"))*(('GLASS OFFCUTS LIST'!$A$2:$A$298&gt;=D257)*('GLASS OFFCUTS LIST'!$B$2:$B$298&gt;=C257)))&gt;0)),"YES","NO")))</f>
        <v/>
      </c>
      <c r="G257" t="str">
        <f>IF(OR($C$3="",C257="",D257=""),"",IF(SUMPRODUCT(('GLASS OFFCUTS LIST'!$D$2:$D$298=UPPER(TRIM(SUBSTITUTE(SUBSTITUTE($C$3,"   "," "),"  "," "))))*((('GLASS OFFCUTS LIST'!$A$2:$A$298&gt;=C257)*('GLASS OFFCUTS LIST'!$B$2:$B$298&gt;=D257))+(N(OR(E257=TRUE(),E257="Y",E257="y",E257="YES",E257="Yes"))*(('GLASS OFFCUTS LIST'!$A$2:$A$298&gt;=D257)*('GLASS OFFCUTS LIST'!$B$2:$B$298&gt;=C257)))&gt;0))&gt;0,1,0))</f>
        <v/>
      </c>
      <c r="H257" t="str">
        <f>IF(G257="","",SUM($G$7:G257))</f>
        <v/>
      </c>
    </row>
    <row r="258" spans="1:8" x14ac:dyDescent="0.2">
      <c r="A258" s="3">
        <v>252</v>
      </c>
      <c r="B258" s="4"/>
      <c r="C258" s="3"/>
      <c r="D258" s="3"/>
      <c r="E258" s="4"/>
      <c r="F258" s="4" t="str">
        <f>IF(OR($C$3="",C258="",D258=""),"",IF(G258=0,"NO",IF(H258&lt;=SUMPRODUCT(('GLASS OFFCUTS LIST'!$D$2:$D$298=UPPER(TRIM(SUBSTITUTE(SUBSTITUTE($C$3,"   "," "),"  "," "))))*((('GLASS OFFCUTS LIST'!$A$2:$A$298&gt;=C258)*('GLASS OFFCUTS LIST'!$B$2:$B$298&gt;=D258))+(N(OR(E258=TRUE(),E258="Y",E258="y",E258="YES",E258="Yes"))*(('GLASS OFFCUTS LIST'!$A$2:$A$298&gt;=D258)*('GLASS OFFCUTS LIST'!$B$2:$B$298&gt;=C258)))&gt;0)),"YES","NO")))</f>
        <v/>
      </c>
      <c r="G258" t="str">
        <f>IF(OR($C$3="",C258="",D258=""),"",IF(SUMPRODUCT(('GLASS OFFCUTS LIST'!$D$2:$D$298=UPPER(TRIM(SUBSTITUTE(SUBSTITUTE($C$3,"   "," "),"  "," "))))*((('GLASS OFFCUTS LIST'!$A$2:$A$298&gt;=C258)*('GLASS OFFCUTS LIST'!$B$2:$B$298&gt;=D258))+(N(OR(E258=TRUE(),E258="Y",E258="y",E258="YES",E258="Yes"))*(('GLASS OFFCUTS LIST'!$A$2:$A$298&gt;=D258)*('GLASS OFFCUTS LIST'!$B$2:$B$298&gt;=C258)))&gt;0))&gt;0,1,0))</f>
        <v/>
      </c>
      <c r="H258" t="str">
        <f>IF(G258="","",SUM($G$7:G258))</f>
        <v/>
      </c>
    </row>
    <row r="259" spans="1:8" x14ac:dyDescent="0.2">
      <c r="A259" s="3">
        <v>253</v>
      </c>
      <c r="B259" s="4"/>
      <c r="C259" s="3"/>
      <c r="D259" s="3"/>
      <c r="E259" s="4"/>
      <c r="F259" s="4" t="str">
        <f>IF(OR($C$3="",C259="",D259=""),"",IF(G259=0,"NO",IF(H259&lt;=SUMPRODUCT(('GLASS OFFCUTS LIST'!$D$2:$D$298=UPPER(TRIM(SUBSTITUTE(SUBSTITUTE($C$3,"   "," "),"  "," "))))*((('GLASS OFFCUTS LIST'!$A$2:$A$298&gt;=C259)*('GLASS OFFCUTS LIST'!$B$2:$B$298&gt;=D259))+(N(OR(E259=TRUE(),E259="Y",E259="y",E259="YES",E259="Yes"))*(('GLASS OFFCUTS LIST'!$A$2:$A$298&gt;=D259)*('GLASS OFFCUTS LIST'!$B$2:$B$298&gt;=C259)))&gt;0)),"YES","NO")))</f>
        <v/>
      </c>
      <c r="G259" t="str">
        <f>IF(OR($C$3="",C259="",D259=""),"",IF(SUMPRODUCT(('GLASS OFFCUTS LIST'!$D$2:$D$298=UPPER(TRIM(SUBSTITUTE(SUBSTITUTE($C$3,"   "," "),"  "," "))))*((('GLASS OFFCUTS LIST'!$A$2:$A$298&gt;=C259)*('GLASS OFFCUTS LIST'!$B$2:$B$298&gt;=D259))+(N(OR(E259=TRUE(),E259="Y",E259="y",E259="YES",E259="Yes"))*(('GLASS OFFCUTS LIST'!$A$2:$A$298&gt;=D259)*('GLASS OFFCUTS LIST'!$B$2:$B$298&gt;=C259)))&gt;0))&gt;0,1,0))</f>
        <v/>
      </c>
      <c r="H259" t="str">
        <f>IF(G259="","",SUM($G$7:G259))</f>
        <v/>
      </c>
    </row>
    <row r="260" spans="1:8" x14ac:dyDescent="0.2">
      <c r="A260" s="3">
        <v>254</v>
      </c>
      <c r="B260" s="4"/>
      <c r="C260" s="3"/>
      <c r="D260" s="3"/>
      <c r="E260" s="4"/>
      <c r="F260" s="4" t="str">
        <f>IF(OR($C$3="",C260="",D260=""),"",IF(G260=0,"NO",IF(H260&lt;=SUMPRODUCT(('GLASS OFFCUTS LIST'!$D$2:$D$298=UPPER(TRIM(SUBSTITUTE(SUBSTITUTE($C$3,"   "," "),"  "," "))))*((('GLASS OFFCUTS LIST'!$A$2:$A$298&gt;=C260)*('GLASS OFFCUTS LIST'!$B$2:$B$298&gt;=D260))+(N(OR(E260=TRUE(),E260="Y",E260="y",E260="YES",E260="Yes"))*(('GLASS OFFCUTS LIST'!$A$2:$A$298&gt;=D260)*('GLASS OFFCUTS LIST'!$B$2:$B$298&gt;=C260)))&gt;0)),"YES","NO")))</f>
        <v/>
      </c>
      <c r="G260" t="str">
        <f>IF(OR($C$3="",C260="",D260=""),"",IF(SUMPRODUCT(('GLASS OFFCUTS LIST'!$D$2:$D$298=UPPER(TRIM(SUBSTITUTE(SUBSTITUTE($C$3,"   "," "),"  "," "))))*((('GLASS OFFCUTS LIST'!$A$2:$A$298&gt;=C260)*('GLASS OFFCUTS LIST'!$B$2:$B$298&gt;=D260))+(N(OR(E260=TRUE(),E260="Y",E260="y",E260="YES",E260="Yes"))*(('GLASS OFFCUTS LIST'!$A$2:$A$298&gt;=D260)*('GLASS OFFCUTS LIST'!$B$2:$B$298&gt;=C260)))&gt;0))&gt;0,1,0))</f>
        <v/>
      </c>
      <c r="H260" t="str">
        <f>IF(G260="","",SUM($G$7:G260))</f>
        <v/>
      </c>
    </row>
    <row r="261" spans="1:8" x14ac:dyDescent="0.2">
      <c r="A261" s="3">
        <v>255</v>
      </c>
      <c r="B261" s="4"/>
      <c r="C261" s="3"/>
      <c r="D261" s="3"/>
      <c r="E261" s="4"/>
      <c r="F261" s="4" t="str">
        <f>IF(OR($C$3="",C261="",D261=""),"",IF(G261=0,"NO",IF(H261&lt;=SUMPRODUCT(('GLASS OFFCUTS LIST'!$D$2:$D$298=UPPER(TRIM(SUBSTITUTE(SUBSTITUTE($C$3,"   "," "),"  "," "))))*((('GLASS OFFCUTS LIST'!$A$2:$A$298&gt;=C261)*('GLASS OFFCUTS LIST'!$B$2:$B$298&gt;=D261))+(N(OR(E261=TRUE(),E261="Y",E261="y",E261="YES",E261="Yes"))*(('GLASS OFFCUTS LIST'!$A$2:$A$298&gt;=D261)*('GLASS OFFCUTS LIST'!$B$2:$B$298&gt;=C261)))&gt;0)),"YES","NO")))</f>
        <v/>
      </c>
      <c r="G261" t="str">
        <f>IF(OR($C$3="",C261="",D261=""),"",IF(SUMPRODUCT(('GLASS OFFCUTS LIST'!$D$2:$D$298=UPPER(TRIM(SUBSTITUTE(SUBSTITUTE($C$3,"   "," "),"  "," "))))*((('GLASS OFFCUTS LIST'!$A$2:$A$298&gt;=C261)*('GLASS OFFCUTS LIST'!$B$2:$B$298&gt;=D261))+(N(OR(E261=TRUE(),E261="Y",E261="y",E261="YES",E261="Yes"))*(('GLASS OFFCUTS LIST'!$A$2:$A$298&gt;=D261)*('GLASS OFFCUTS LIST'!$B$2:$B$298&gt;=C261)))&gt;0))&gt;0,1,0))</f>
        <v/>
      </c>
      <c r="H261" t="str">
        <f>IF(G261="","",SUM($G$7:G261))</f>
        <v/>
      </c>
    </row>
    <row r="262" spans="1:8" x14ac:dyDescent="0.2">
      <c r="A262" s="3">
        <v>256</v>
      </c>
      <c r="B262" s="4"/>
      <c r="C262" s="3"/>
      <c r="D262" s="3"/>
      <c r="E262" s="4"/>
      <c r="F262" s="4" t="str">
        <f>IF(OR($C$3="",C262="",D262=""),"",IF(G262=0,"NO",IF(H262&lt;=SUMPRODUCT(('GLASS OFFCUTS LIST'!$D$2:$D$298=UPPER(TRIM(SUBSTITUTE(SUBSTITUTE($C$3,"   "," "),"  "," "))))*((('GLASS OFFCUTS LIST'!$A$2:$A$298&gt;=C262)*('GLASS OFFCUTS LIST'!$B$2:$B$298&gt;=D262))+(N(OR(E262=TRUE(),E262="Y",E262="y",E262="YES",E262="Yes"))*(('GLASS OFFCUTS LIST'!$A$2:$A$298&gt;=D262)*('GLASS OFFCUTS LIST'!$B$2:$B$298&gt;=C262)))&gt;0)),"YES","NO")))</f>
        <v/>
      </c>
      <c r="G262" t="str">
        <f>IF(OR($C$3="",C262="",D262=""),"",IF(SUMPRODUCT(('GLASS OFFCUTS LIST'!$D$2:$D$298=UPPER(TRIM(SUBSTITUTE(SUBSTITUTE($C$3,"   "," "),"  "," "))))*((('GLASS OFFCUTS LIST'!$A$2:$A$298&gt;=C262)*('GLASS OFFCUTS LIST'!$B$2:$B$298&gt;=D262))+(N(OR(E262=TRUE(),E262="Y",E262="y",E262="YES",E262="Yes"))*(('GLASS OFFCUTS LIST'!$A$2:$A$298&gt;=D262)*('GLASS OFFCUTS LIST'!$B$2:$B$298&gt;=C262)))&gt;0))&gt;0,1,0))</f>
        <v/>
      </c>
      <c r="H262" t="str">
        <f>IF(G262="","",SUM($G$7:G262))</f>
        <v/>
      </c>
    </row>
    <row r="263" spans="1:8" x14ac:dyDescent="0.2">
      <c r="A263" s="3">
        <v>257</v>
      </c>
      <c r="B263" s="4"/>
      <c r="C263" s="3"/>
      <c r="D263" s="3"/>
      <c r="E263" s="4"/>
      <c r="F263" s="4" t="str">
        <f>IF(OR($C$3="",C263="",D263=""),"",IF(G263=0,"NO",IF(H263&lt;=SUMPRODUCT(('GLASS OFFCUTS LIST'!$D$2:$D$298=UPPER(TRIM(SUBSTITUTE(SUBSTITUTE($C$3,"   "," "),"  "," "))))*((('GLASS OFFCUTS LIST'!$A$2:$A$298&gt;=C263)*('GLASS OFFCUTS LIST'!$B$2:$B$298&gt;=D263))+(N(OR(E263=TRUE(),E263="Y",E263="y",E263="YES",E263="Yes"))*(('GLASS OFFCUTS LIST'!$A$2:$A$298&gt;=D263)*('GLASS OFFCUTS LIST'!$B$2:$B$298&gt;=C263)))&gt;0)),"YES","NO")))</f>
        <v/>
      </c>
      <c r="G263" t="str">
        <f>IF(OR($C$3="",C263="",D263=""),"",IF(SUMPRODUCT(('GLASS OFFCUTS LIST'!$D$2:$D$298=UPPER(TRIM(SUBSTITUTE(SUBSTITUTE($C$3,"   "," "),"  "," "))))*((('GLASS OFFCUTS LIST'!$A$2:$A$298&gt;=C263)*('GLASS OFFCUTS LIST'!$B$2:$B$298&gt;=D263))+(N(OR(E263=TRUE(),E263="Y",E263="y",E263="YES",E263="Yes"))*(('GLASS OFFCUTS LIST'!$A$2:$A$298&gt;=D263)*('GLASS OFFCUTS LIST'!$B$2:$B$298&gt;=C263)))&gt;0))&gt;0,1,0))</f>
        <v/>
      </c>
      <c r="H263" t="str">
        <f>IF(G263="","",SUM($G$7:G263))</f>
        <v/>
      </c>
    </row>
    <row r="264" spans="1:8" x14ac:dyDescent="0.2">
      <c r="A264" s="3">
        <v>258</v>
      </c>
      <c r="B264" s="4"/>
      <c r="C264" s="3"/>
      <c r="D264" s="3"/>
      <c r="E264" s="4"/>
      <c r="F264" s="4" t="str">
        <f>IF(OR($C$3="",C264="",D264=""),"",IF(G264=0,"NO",IF(H264&lt;=SUMPRODUCT(('GLASS OFFCUTS LIST'!$D$2:$D$298=UPPER(TRIM(SUBSTITUTE(SUBSTITUTE($C$3,"   "," "),"  "," "))))*((('GLASS OFFCUTS LIST'!$A$2:$A$298&gt;=C264)*('GLASS OFFCUTS LIST'!$B$2:$B$298&gt;=D264))+(N(OR(E264=TRUE(),E264="Y",E264="y",E264="YES",E264="Yes"))*(('GLASS OFFCUTS LIST'!$A$2:$A$298&gt;=D264)*('GLASS OFFCUTS LIST'!$B$2:$B$298&gt;=C264)))&gt;0)),"YES","NO")))</f>
        <v/>
      </c>
      <c r="G264" t="str">
        <f>IF(OR($C$3="",C264="",D264=""),"",IF(SUMPRODUCT(('GLASS OFFCUTS LIST'!$D$2:$D$298=UPPER(TRIM(SUBSTITUTE(SUBSTITUTE($C$3,"   "," "),"  "," "))))*((('GLASS OFFCUTS LIST'!$A$2:$A$298&gt;=C264)*('GLASS OFFCUTS LIST'!$B$2:$B$298&gt;=D264))+(N(OR(E264=TRUE(),E264="Y",E264="y",E264="YES",E264="Yes"))*(('GLASS OFFCUTS LIST'!$A$2:$A$298&gt;=D264)*('GLASS OFFCUTS LIST'!$B$2:$B$298&gt;=C264)))&gt;0))&gt;0,1,0))</f>
        <v/>
      </c>
      <c r="H264" t="str">
        <f>IF(G264="","",SUM($G$7:G264))</f>
        <v/>
      </c>
    </row>
    <row r="265" spans="1:8" x14ac:dyDescent="0.2">
      <c r="A265" s="3">
        <v>259</v>
      </c>
      <c r="B265" s="4"/>
      <c r="C265" s="3"/>
      <c r="D265" s="3"/>
      <c r="E265" s="4"/>
      <c r="F265" s="4" t="str">
        <f>IF(OR($C$3="",C265="",D265=""),"",IF(G265=0,"NO",IF(H265&lt;=SUMPRODUCT(('GLASS OFFCUTS LIST'!$D$2:$D$298=UPPER(TRIM(SUBSTITUTE(SUBSTITUTE($C$3,"   "," "),"  "," "))))*((('GLASS OFFCUTS LIST'!$A$2:$A$298&gt;=C265)*('GLASS OFFCUTS LIST'!$B$2:$B$298&gt;=D265))+(N(OR(E265=TRUE(),E265="Y",E265="y",E265="YES",E265="Yes"))*(('GLASS OFFCUTS LIST'!$A$2:$A$298&gt;=D265)*('GLASS OFFCUTS LIST'!$B$2:$B$298&gt;=C265)))&gt;0)),"YES","NO")))</f>
        <v/>
      </c>
      <c r="G265" t="str">
        <f>IF(OR($C$3="",C265="",D265=""),"",IF(SUMPRODUCT(('GLASS OFFCUTS LIST'!$D$2:$D$298=UPPER(TRIM(SUBSTITUTE(SUBSTITUTE($C$3,"   "," "),"  "," "))))*((('GLASS OFFCUTS LIST'!$A$2:$A$298&gt;=C265)*('GLASS OFFCUTS LIST'!$B$2:$B$298&gt;=D265))+(N(OR(E265=TRUE(),E265="Y",E265="y",E265="YES",E265="Yes"))*(('GLASS OFFCUTS LIST'!$A$2:$A$298&gt;=D265)*('GLASS OFFCUTS LIST'!$B$2:$B$298&gt;=C265)))&gt;0))&gt;0,1,0))</f>
        <v/>
      </c>
      <c r="H265" t="str">
        <f>IF(G265="","",SUM($G$7:G265))</f>
        <v/>
      </c>
    </row>
    <row r="266" spans="1:8" x14ac:dyDescent="0.2">
      <c r="A266" s="3">
        <v>260</v>
      </c>
      <c r="B266" s="4"/>
      <c r="C266" s="3"/>
      <c r="D266" s="3"/>
      <c r="E266" s="4"/>
      <c r="F266" s="4" t="str">
        <f>IF(OR($C$3="",C266="",D266=""),"",IF(G266=0,"NO",IF(H266&lt;=SUMPRODUCT(('GLASS OFFCUTS LIST'!$D$2:$D$298=UPPER(TRIM(SUBSTITUTE(SUBSTITUTE($C$3,"   "," "),"  "," "))))*((('GLASS OFFCUTS LIST'!$A$2:$A$298&gt;=C266)*('GLASS OFFCUTS LIST'!$B$2:$B$298&gt;=D266))+(N(OR(E266=TRUE(),E266="Y",E266="y",E266="YES",E266="Yes"))*(('GLASS OFFCUTS LIST'!$A$2:$A$298&gt;=D266)*('GLASS OFFCUTS LIST'!$B$2:$B$298&gt;=C266)))&gt;0)),"YES","NO")))</f>
        <v/>
      </c>
      <c r="G266" t="str">
        <f>IF(OR($C$3="",C266="",D266=""),"",IF(SUMPRODUCT(('GLASS OFFCUTS LIST'!$D$2:$D$298=UPPER(TRIM(SUBSTITUTE(SUBSTITUTE($C$3,"   "," "),"  "," "))))*((('GLASS OFFCUTS LIST'!$A$2:$A$298&gt;=C266)*('GLASS OFFCUTS LIST'!$B$2:$B$298&gt;=D266))+(N(OR(E266=TRUE(),E266="Y",E266="y",E266="YES",E266="Yes"))*(('GLASS OFFCUTS LIST'!$A$2:$A$298&gt;=D266)*('GLASS OFFCUTS LIST'!$B$2:$B$298&gt;=C266)))&gt;0))&gt;0,1,0))</f>
        <v/>
      </c>
      <c r="H266" t="str">
        <f>IF(G266="","",SUM($G$7:G266))</f>
        <v/>
      </c>
    </row>
    <row r="267" spans="1:8" x14ac:dyDescent="0.2">
      <c r="A267" s="3">
        <v>261</v>
      </c>
      <c r="B267" s="4"/>
      <c r="C267" s="3"/>
      <c r="D267" s="3"/>
      <c r="E267" s="4"/>
      <c r="F267" s="4" t="str">
        <f>IF(OR($C$3="",C267="",D267=""),"",IF(G267=0,"NO",IF(H267&lt;=SUMPRODUCT(('GLASS OFFCUTS LIST'!$D$2:$D$298=UPPER(TRIM(SUBSTITUTE(SUBSTITUTE($C$3,"   "," "),"  "," "))))*((('GLASS OFFCUTS LIST'!$A$2:$A$298&gt;=C267)*('GLASS OFFCUTS LIST'!$B$2:$B$298&gt;=D267))+(N(OR(E267=TRUE(),E267="Y",E267="y",E267="YES",E267="Yes"))*(('GLASS OFFCUTS LIST'!$A$2:$A$298&gt;=D267)*('GLASS OFFCUTS LIST'!$B$2:$B$298&gt;=C267)))&gt;0)),"YES","NO")))</f>
        <v/>
      </c>
      <c r="G267" t="str">
        <f>IF(OR($C$3="",C267="",D267=""),"",IF(SUMPRODUCT(('GLASS OFFCUTS LIST'!$D$2:$D$298=UPPER(TRIM(SUBSTITUTE(SUBSTITUTE($C$3,"   "," "),"  "," "))))*((('GLASS OFFCUTS LIST'!$A$2:$A$298&gt;=C267)*('GLASS OFFCUTS LIST'!$B$2:$B$298&gt;=D267))+(N(OR(E267=TRUE(),E267="Y",E267="y",E267="YES",E267="Yes"))*(('GLASS OFFCUTS LIST'!$A$2:$A$298&gt;=D267)*('GLASS OFFCUTS LIST'!$B$2:$B$298&gt;=C267)))&gt;0))&gt;0,1,0))</f>
        <v/>
      </c>
      <c r="H267" t="str">
        <f>IF(G267="","",SUM($G$7:G267))</f>
        <v/>
      </c>
    </row>
    <row r="268" spans="1:8" x14ac:dyDescent="0.2">
      <c r="A268" s="3">
        <v>262</v>
      </c>
      <c r="B268" s="4"/>
      <c r="C268" s="3"/>
      <c r="D268" s="3"/>
      <c r="E268" s="4"/>
      <c r="F268" s="4" t="str">
        <f>IF(OR($C$3="",C268="",D268=""),"",IF(G268=0,"NO",IF(H268&lt;=SUMPRODUCT(('GLASS OFFCUTS LIST'!$D$2:$D$298=UPPER(TRIM(SUBSTITUTE(SUBSTITUTE($C$3,"   "," "),"  "," "))))*((('GLASS OFFCUTS LIST'!$A$2:$A$298&gt;=C268)*('GLASS OFFCUTS LIST'!$B$2:$B$298&gt;=D268))+(N(OR(E268=TRUE(),E268="Y",E268="y",E268="YES",E268="Yes"))*(('GLASS OFFCUTS LIST'!$A$2:$A$298&gt;=D268)*('GLASS OFFCUTS LIST'!$B$2:$B$298&gt;=C268)))&gt;0)),"YES","NO")))</f>
        <v/>
      </c>
      <c r="G268" t="str">
        <f>IF(OR($C$3="",C268="",D268=""),"",IF(SUMPRODUCT(('GLASS OFFCUTS LIST'!$D$2:$D$298=UPPER(TRIM(SUBSTITUTE(SUBSTITUTE($C$3,"   "," "),"  "," "))))*((('GLASS OFFCUTS LIST'!$A$2:$A$298&gt;=C268)*('GLASS OFFCUTS LIST'!$B$2:$B$298&gt;=D268))+(N(OR(E268=TRUE(),E268="Y",E268="y",E268="YES",E268="Yes"))*(('GLASS OFFCUTS LIST'!$A$2:$A$298&gt;=D268)*('GLASS OFFCUTS LIST'!$B$2:$B$298&gt;=C268)))&gt;0))&gt;0,1,0))</f>
        <v/>
      </c>
      <c r="H268" t="str">
        <f>IF(G268="","",SUM($G$7:G268))</f>
        <v/>
      </c>
    </row>
    <row r="269" spans="1:8" x14ac:dyDescent="0.2">
      <c r="A269" s="3">
        <v>263</v>
      </c>
      <c r="B269" s="4"/>
      <c r="C269" s="3"/>
      <c r="D269" s="3"/>
      <c r="E269" s="4"/>
      <c r="F269" s="4" t="str">
        <f>IF(OR($C$3="",C269="",D269=""),"",IF(G269=0,"NO",IF(H269&lt;=SUMPRODUCT(('GLASS OFFCUTS LIST'!$D$2:$D$298=UPPER(TRIM(SUBSTITUTE(SUBSTITUTE($C$3,"   "," "),"  "," "))))*((('GLASS OFFCUTS LIST'!$A$2:$A$298&gt;=C269)*('GLASS OFFCUTS LIST'!$B$2:$B$298&gt;=D269))+(N(OR(E269=TRUE(),E269="Y",E269="y",E269="YES",E269="Yes"))*(('GLASS OFFCUTS LIST'!$A$2:$A$298&gt;=D269)*('GLASS OFFCUTS LIST'!$B$2:$B$298&gt;=C269)))&gt;0)),"YES","NO")))</f>
        <v/>
      </c>
      <c r="G269" t="str">
        <f>IF(OR($C$3="",C269="",D269=""),"",IF(SUMPRODUCT(('GLASS OFFCUTS LIST'!$D$2:$D$298=UPPER(TRIM(SUBSTITUTE(SUBSTITUTE($C$3,"   "," "),"  "," "))))*((('GLASS OFFCUTS LIST'!$A$2:$A$298&gt;=C269)*('GLASS OFFCUTS LIST'!$B$2:$B$298&gt;=D269))+(N(OR(E269=TRUE(),E269="Y",E269="y",E269="YES",E269="Yes"))*(('GLASS OFFCUTS LIST'!$A$2:$A$298&gt;=D269)*('GLASS OFFCUTS LIST'!$B$2:$B$298&gt;=C269)))&gt;0))&gt;0,1,0))</f>
        <v/>
      </c>
      <c r="H269" t="str">
        <f>IF(G269="","",SUM($G$7:G269))</f>
        <v/>
      </c>
    </row>
    <row r="270" spans="1:8" x14ac:dyDescent="0.2">
      <c r="A270" s="3">
        <v>264</v>
      </c>
      <c r="B270" s="4"/>
      <c r="C270" s="3"/>
      <c r="D270" s="3"/>
      <c r="E270" s="4"/>
      <c r="F270" s="4" t="str">
        <f>IF(OR($C$3="",C270="",D270=""),"",IF(G270=0,"NO",IF(H270&lt;=SUMPRODUCT(('GLASS OFFCUTS LIST'!$D$2:$D$298=UPPER(TRIM(SUBSTITUTE(SUBSTITUTE($C$3,"   "," "),"  "," "))))*((('GLASS OFFCUTS LIST'!$A$2:$A$298&gt;=C270)*('GLASS OFFCUTS LIST'!$B$2:$B$298&gt;=D270))+(N(OR(E270=TRUE(),E270="Y",E270="y",E270="YES",E270="Yes"))*(('GLASS OFFCUTS LIST'!$A$2:$A$298&gt;=D270)*('GLASS OFFCUTS LIST'!$B$2:$B$298&gt;=C270)))&gt;0)),"YES","NO")))</f>
        <v/>
      </c>
      <c r="G270" t="str">
        <f>IF(OR($C$3="",C270="",D270=""),"",IF(SUMPRODUCT(('GLASS OFFCUTS LIST'!$D$2:$D$298=UPPER(TRIM(SUBSTITUTE(SUBSTITUTE($C$3,"   "," "),"  "," "))))*((('GLASS OFFCUTS LIST'!$A$2:$A$298&gt;=C270)*('GLASS OFFCUTS LIST'!$B$2:$B$298&gt;=D270))+(N(OR(E270=TRUE(),E270="Y",E270="y",E270="YES",E270="Yes"))*(('GLASS OFFCUTS LIST'!$A$2:$A$298&gt;=D270)*('GLASS OFFCUTS LIST'!$B$2:$B$298&gt;=C270)))&gt;0))&gt;0,1,0))</f>
        <v/>
      </c>
      <c r="H270" t="str">
        <f>IF(G270="","",SUM($G$7:G270))</f>
        <v/>
      </c>
    </row>
    <row r="271" spans="1:8" x14ac:dyDescent="0.2">
      <c r="A271" s="3">
        <v>265</v>
      </c>
      <c r="B271" s="4"/>
      <c r="C271" s="3"/>
      <c r="D271" s="3"/>
      <c r="E271" s="4"/>
      <c r="F271" s="4" t="str">
        <f>IF(OR($C$3="",C271="",D271=""),"",IF(G271=0,"NO",IF(H271&lt;=SUMPRODUCT(('GLASS OFFCUTS LIST'!$D$2:$D$298=UPPER(TRIM(SUBSTITUTE(SUBSTITUTE($C$3,"   "," "),"  "," "))))*((('GLASS OFFCUTS LIST'!$A$2:$A$298&gt;=C271)*('GLASS OFFCUTS LIST'!$B$2:$B$298&gt;=D271))+(N(OR(E271=TRUE(),E271="Y",E271="y",E271="YES",E271="Yes"))*(('GLASS OFFCUTS LIST'!$A$2:$A$298&gt;=D271)*('GLASS OFFCUTS LIST'!$B$2:$B$298&gt;=C271)))&gt;0)),"YES","NO")))</f>
        <v/>
      </c>
      <c r="G271" t="str">
        <f>IF(OR($C$3="",C271="",D271=""),"",IF(SUMPRODUCT(('GLASS OFFCUTS LIST'!$D$2:$D$298=UPPER(TRIM(SUBSTITUTE(SUBSTITUTE($C$3,"   "," "),"  "," "))))*((('GLASS OFFCUTS LIST'!$A$2:$A$298&gt;=C271)*('GLASS OFFCUTS LIST'!$B$2:$B$298&gt;=D271))+(N(OR(E271=TRUE(),E271="Y",E271="y",E271="YES",E271="Yes"))*(('GLASS OFFCUTS LIST'!$A$2:$A$298&gt;=D271)*('GLASS OFFCUTS LIST'!$B$2:$B$298&gt;=C271)))&gt;0))&gt;0,1,0))</f>
        <v/>
      </c>
      <c r="H271" t="str">
        <f>IF(G271="","",SUM($G$7:G271))</f>
        <v/>
      </c>
    </row>
    <row r="272" spans="1:8" x14ac:dyDescent="0.2">
      <c r="A272" s="3">
        <v>266</v>
      </c>
      <c r="B272" s="4"/>
      <c r="C272" s="3"/>
      <c r="D272" s="3"/>
      <c r="E272" s="4"/>
      <c r="F272" s="4" t="str">
        <f>IF(OR($C$3="",C272="",D272=""),"",IF(G272=0,"NO",IF(H272&lt;=SUMPRODUCT(('GLASS OFFCUTS LIST'!$D$2:$D$298=UPPER(TRIM(SUBSTITUTE(SUBSTITUTE($C$3,"   "," "),"  "," "))))*((('GLASS OFFCUTS LIST'!$A$2:$A$298&gt;=C272)*('GLASS OFFCUTS LIST'!$B$2:$B$298&gt;=D272))+(N(OR(E272=TRUE(),E272="Y",E272="y",E272="YES",E272="Yes"))*(('GLASS OFFCUTS LIST'!$A$2:$A$298&gt;=D272)*('GLASS OFFCUTS LIST'!$B$2:$B$298&gt;=C272)))&gt;0)),"YES","NO")))</f>
        <v/>
      </c>
      <c r="G272" t="str">
        <f>IF(OR($C$3="",C272="",D272=""),"",IF(SUMPRODUCT(('GLASS OFFCUTS LIST'!$D$2:$D$298=UPPER(TRIM(SUBSTITUTE(SUBSTITUTE($C$3,"   "," "),"  "," "))))*((('GLASS OFFCUTS LIST'!$A$2:$A$298&gt;=C272)*('GLASS OFFCUTS LIST'!$B$2:$B$298&gt;=D272))+(N(OR(E272=TRUE(),E272="Y",E272="y",E272="YES",E272="Yes"))*(('GLASS OFFCUTS LIST'!$A$2:$A$298&gt;=D272)*('GLASS OFFCUTS LIST'!$B$2:$B$298&gt;=C272)))&gt;0))&gt;0,1,0))</f>
        <v/>
      </c>
      <c r="H272" t="str">
        <f>IF(G272="","",SUM($G$7:G272))</f>
        <v/>
      </c>
    </row>
    <row r="273" spans="1:8" x14ac:dyDescent="0.2">
      <c r="A273" s="3">
        <v>267</v>
      </c>
      <c r="B273" s="4"/>
      <c r="C273" s="3"/>
      <c r="D273" s="3"/>
      <c r="E273" s="4"/>
      <c r="F273" s="4" t="str">
        <f>IF(OR($C$3="",C273="",D273=""),"",IF(G273=0,"NO",IF(H273&lt;=SUMPRODUCT(('GLASS OFFCUTS LIST'!$D$2:$D$298=UPPER(TRIM(SUBSTITUTE(SUBSTITUTE($C$3,"   "," "),"  "," "))))*((('GLASS OFFCUTS LIST'!$A$2:$A$298&gt;=C273)*('GLASS OFFCUTS LIST'!$B$2:$B$298&gt;=D273))+(N(OR(E273=TRUE(),E273="Y",E273="y",E273="YES",E273="Yes"))*(('GLASS OFFCUTS LIST'!$A$2:$A$298&gt;=D273)*('GLASS OFFCUTS LIST'!$B$2:$B$298&gt;=C273)))&gt;0)),"YES","NO")))</f>
        <v/>
      </c>
      <c r="G273" t="str">
        <f>IF(OR($C$3="",C273="",D273=""),"",IF(SUMPRODUCT(('GLASS OFFCUTS LIST'!$D$2:$D$298=UPPER(TRIM(SUBSTITUTE(SUBSTITUTE($C$3,"   "," "),"  "," "))))*((('GLASS OFFCUTS LIST'!$A$2:$A$298&gt;=C273)*('GLASS OFFCUTS LIST'!$B$2:$B$298&gt;=D273))+(N(OR(E273=TRUE(),E273="Y",E273="y",E273="YES",E273="Yes"))*(('GLASS OFFCUTS LIST'!$A$2:$A$298&gt;=D273)*('GLASS OFFCUTS LIST'!$B$2:$B$298&gt;=C273)))&gt;0))&gt;0,1,0))</f>
        <v/>
      </c>
      <c r="H273" t="str">
        <f>IF(G273="","",SUM($G$7:G273))</f>
        <v/>
      </c>
    </row>
    <row r="274" spans="1:8" x14ac:dyDescent="0.2">
      <c r="A274" s="3">
        <v>268</v>
      </c>
      <c r="B274" s="4"/>
      <c r="C274" s="3"/>
      <c r="D274" s="3"/>
      <c r="E274" s="4"/>
      <c r="F274" s="4" t="str">
        <f>IF(OR($C$3="",C274="",D274=""),"",IF(G274=0,"NO",IF(H274&lt;=SUMPRODUCT(('GLASS OFFCUTS LIST'!$D$2:$D$298=UPPER(TRIM(SUBSTITUTE(SUBSTITUTE($C$3,"   "," "),"  "," "))))*((('GLASS OFFCUTS LIST'!$A$2:$A$298&gt;=C274)*('GLASS OFFCUTS LIST'!$B$2:$B$298&gt;=D274))+(N(OR(E274=TRUE(),E274="Y",E274="y",E274="YES",E274="Yes"))*(('GLASS OFFCUTS LIST'!$A$2:$A$298&gt;=D274)*('GLASS OFFCUTS LIST'!$B$2:$B$298&gt;=C274)))&gt;0)),"YES","NO")))</f>
        <v/>
      </c>
      <c r="G274" t="str">
        <f>IF(OR($C$3="",C274="",D274=""),"",IF(SUMPRODUCT(('GLASS OFFCUTS LIST'!$D$2:$D$298=UPPER(TRIM(SUBSTITUTE(SUBSTITUTE($C$3,"   "," "),"  "," "))))*((('GLASS OFFCUTS LIST'!$A$2:$A$298&gt;=C274)*('GLASS OFFCUTS LIST'!$B$2:$B$298&gt;=D274))+(N(OR(E274=TRUE(),E274="Y",E274="y",E274="YES",E274="Yes"))*(('GLASS OFFCUTS LIST'!$A$2:$A$298&gt;=D274)*('GLASS OFFCUTS LIST'!$B$2:$B$298&gt;=C274)))&gt;0))&gt;0,1,0))</f>
        <v/>
      </c>
      <c r="H274" t="str">
        <f>IF(G274="","",SUM($G$7:G274))</f>
        <v/>
      </c>
    </row>
    <row r="275" spans="1:8" x14ac:dyDescent="0.2">
      <c r="A275" s="3">
        <v>269</v>
      </c>
      <c r="B275" s="4"/>
      <c r="C275" s="3"/>
      <c r="D275" s="3"/>
      <c r="E275" s="4"/>
      <c r="F275" s="4" t="str">
        <f>IF(OR($C$3="",C275="",D275=""),"",IF(G275=0,"NO",IF(H275&lt;=SUMPRODUCT(('GLASS OFFCUTS LIST'!$D$2:$D$298=UPPER(TRIM(SUBSTITUTE(SUBSTITUTE($C$3,"   "," "),"  "," "))))*((('GLASS OFFCUTS LIST'!$A$2:$A$298&gt;=C275)*('GLASS OFFCUTS LIST'!$B$2:$B$298&gt;=D275))+(N(OR(E275=TRUE(),E275="Y",E275="y",E275="YES",E275="Yes"))*(('GLASS OFFCUTS LIST'!$A$2:$A$298&gt;=D275)*('GLASS OFFCUTS LIST'!$B$2:$B$298&gt;=C275)))&gt;0)),"YES","NO")))</f>
        <v/>
      </c>
      <c r="G275" t="str">
        <f>IF(OR($C$3="",C275="",D275=""),"",IF(SUMPRODUCT(('GLASS OFFCUTS LIST'!$D$2:$D$298=UPPER(TRIM(SUBSTITUTE(SUBSTITUTE($C$3,"   "," "),"  "," "))))*((('GLASS OFFCUTS LIST'!$A$2:$A$298&gt;=C275)*('GLASS OFFCUTS LIST'!$B$2:$B$298&gt;=D275))+(N(OR(E275=TRUE(),E275="Y",E275="y",E275="YES",E275="Yes"))*(('GLASS OFFCUTS LIST'!$A$2:$A$298&gt;=D275)*('GLASS OFFCUTS LIST'!$B$2:$B$298&gt;=C275)))&gt;0))&gt;0,1,0))</f>
        <v/>
      </c>
      <c r="H275" t="str">
        <f>IF(G275="","",SUM($G$7:G275))</f>
        <v/>
      </c>
    </row>
    <row r="276" spans="1:8" x14ac:dyDescent="0.2">
      <c r="A276" s="3">
        <v>270</v>
      </c>
      <c r="B276" s="4"/>
      <c r="C276" s="3"/>
      <c r="D276" s="3"/>
      <c r="E276" s="4"/>
      <c r="F276" s="4" t="str">
        <f>IF(OR($C$3="",C276="",D276=""),"",IF(G276=0,"NO",IF(H276&lt;=SUMPRODUCT(('GLASS OFFCUTS LIST'!$D$2:$D$298=UPPER(TRIM(SUBSTITUTE(SUBSTITUTE($C$3,"   "," "),"  "," "))))*((('GLASS OFFCUTS LIST'!$A$2:$A$298&gt;=C276)*('GLASS OFFCUTS LIST'!$B$2:$B$298&gt;=D276))+(N(OR(E276=TRUE(),E276="Y",E276="y",E276="YES",E276="Yes"))*(('GLASS OFFCUTS LIST'!$A$2:$A$298&gt;=D276)*('GLASS OFFCUTS LIST'!$B$2:$B$298&gt;=C276)))&gt;0)),"YES","NO")))</f>
        <v/>
      </c>
      <c r="G276" t="str">
        <f>IF(OR($C$3="",C276="",D276=""),"",IF(SUMPRODUCT(('GLASS OFFCUTS LIST'!$D$2:$D$298=UPPER(TRIM(SUBSTITUTE(SUBSTITUTE($C$3,"   "," "),"  "," "))))*((('GLASS OFFCUTS LIST'!$A$2:$A$298&gt;=C276)*('GLASS OFFCUTS LIST'!$B$2:$B$298&gt;=D276))+(N(OR(E276=TRUE(),E276="Y",E276="y",E276="YES",E276="Yes"))*(('GLASS OFFCUTS LIST'!$A$2:$A$298&gt;=D276)*('GLASS OFFCUTS LIST'!$B$2:$B$298&gt;=C276)))&gt;0))&gt;0,1,0))</f>
        <v/>
      </c>
      <c r="H276" t="str">
        <f>IF(G276="","",SUM($G$7:G276))</f>
        <v/>
      </c>
    </row>
    <row r="277" spans="1:8" x14ac:dyDescent="0.2">
      <c r="A277" s="3">
        <v>271</v>
      </c>
      <c r="B277" s="4"/>
      <c r="C277" s="3"/>
      <c r="D277" s="3"/>
      <c r="E277" s="4"/>
      <c r="F277" s="4" t="str">
        <f>IF(OR($C$3="",C277="",D277=""),"",IF(G277=0,"NO",IF(H277&lt;=SUMPRODUCT(('GLASS OFFCUTS LIST'!$D$2:$D$298=UPPER(TRIM(SUBSTITUTE(SUBSTITUTE($C$3,"   "," "),"  "," "))))*((('GLASS OFFCUTS LIST'!$A$2:$A$298&gt;=C277)*('GLASS OFFCUTS LIST'!$B$2:$B$298&gt;=D277))+(N(OR(E277=TRUE(),E277="Y",E277="y",E277="YES",E277="Yes"))*(('GLASS OFFCUTS LIST'!$A$2:$A$298&gt;=D277)*('GLASS OFFCUTS LIST'!$B$2:$B$298&gt;=C277)))&gt;0)),"YES","NO")))</f>
        <v/>
      </c>
      <c r="G277" t="str">
        <f>IF(OR($C$3="",C277="",D277=""),"",IF(SUMPRODUCT(('GLASS OFFCUTS LIST'!$D$2:$D$298=UPPER(TRIM(SUBSTITUTE(SUBSTITUTE($C$3,"   "," "),"  "," "))))*((('GLASS OFFCUTS LIST'!$A$2:$A$298&gt;=C277)*('GLASS OFFCUTS LIST'!$B$2:$B$298&gt;=D277))+(N(OR(E277=TRUE(),E277="Y",E277="y",E277="YES",E277="Yes"))*(('GLASS OFFCUTS LIST'!$A$2:$A$298&gt;=D277)*('GLASS OFFCUTS LIST'!$B$2:$B$298&gt;=C277)))&gt;0))&gt;0,1,0))</f>
        <v/>
      </c>
      <c r="H277" t="str">
        <f>IF(G277="","",SUM($G$7:G277))</f>
        <v/>
      </c>
    </row>
    <row r="278" spans="1:8" x14ac:dyDescent="0.2">
      <c r="A278" s="3">
        <v>272</v>
      </c>
      <c r="B278" s="4"/>
      <c r="C278" s="3"/>
      <c r="D278" s="3"/>
      <c r="E278" s="4"/>
      <c r="F278" s="4" t="str">
        <f>IF(OR($C$3="",C278="",D278=""),"",IF(G278=0,"NO",IF(H278&lt;=SUMPRODUCT(('GLASS OFFCUTS LIST'!$D$2:$D$298=UPPER(TRIM(SUBSTITUTE(SUBSTITUTE($C$3,"   "," "),"  "," "))))*((('GLASS OFFCUTS LIST'!$A$2:$A$298&gt;=C278)*('GLASS OFFCUTS LIST'!$B$2:$B$298&gt;=D278))+(N(OR(E278=TRUE(),E278="Y",E278="y",E278="YES",E278="Yes"))*(('GLASS OFFCUTS LIST'!$A$2:$A$298&gt;=D278)*('GLASS OFFCUTS LIST'!$B$2:$B$298&gt;=C278)))&gt;0)),"YES","NO")))</f>
        <v/>
      </c>
      <c r="G278" t="str">
        <f>IF(OR($C$3="",C278="",D278=""),"",IF(SUMPRODUCT(('GLASS OFFCUTS LIST'!$D$2:$D$298=UPPER(TRIM(SUBSTITUTE(SUBSTITUTE($C$3,"   "," "),"  "," "))))*((('GLASS OFFCUTS LIST'!$A$2:$A$298&gt;=C278)*('GLASS OFFCUTS LIST'!$B$2:$B$298&gt;=D278))+(N(OR(E278=TRUE(),E278="Y",E278="y",E278="YES",E278="Yes"))*(('GLASS OFFCUTS LIST'!$A$2:$A$298&gt;=D278)*('GLASS OFFCUTS LIST'!$B$2:$B$298&gt;=C278)))&gt;0))&gt;0,1,0))</f>
        <v/>
      </c>
      <c r="H278" t="str">
        <f>IF(G278="","",SUM($G$7:G278))</f>
        <v/>
      </c>
    </row>
    <row r="279" spans="1:8" x14ac:dyDescent="0.2">
      <c r="A279" s="3">
        <v>273</v>
      </c>
      <c r="B279" s="4"/>
      <c r="C279" s="3"/>
      <c r="D279" s="3"/>
      <c r="E279" s="4"/>
      <c r="F279" s="4" t="str">
        <f>IF(OR($C$3="",C279="",D279=""),"",IF(G279=0,"NO",IF(H279&lt;=SUMPRODUCT(('GLASS OFFCUTS LIST'!$D$2:$D$298=UPPER(TRIM(SUBSTITUTE(SUBSTITUTE($C$3,"   "," "),"  "," "))))*((('GLASS OFFCUTS LIST'!$A$2:$A$298&gt;=C279)*('GLASS OFFCUTS LIST'!$B$2:$B$298&gt;=D279))+(N(OR(E279=TRUE(),E279="Y",E279="y",E279="YES",E279="Yes"))*(('GLASS OFFCUTS LIST'!$A$2:$A$298&gt;=D279)*('GLASS OFFCUTS LIST'!$B$2:$B$298&gt;=C279)))&gt;0)),"YES","NO")))</f>
        <v/>
      </c>
      <c r="G279" t="str">
        <f>IF(OR($C$3="",C279="",D279=""),"",IF(SUMPRODUCT(('GLASS OFFCUTS LIST'!$D$2:$D$298=UPPER(TRIM(SUBSTITUTE(SUBSTITUTE($C$3,"   "," "),"  "," "))))*((('GLASS OFFCUTS LIST'!$A$2:$A$298&gt;=C279)*('GLASS OFFCUTS LIST'!$B$2:$B$298&gt;=D279))+(N(OR(E279=TRUE(),E279="Y",E279="y",E279="YES",E279="Yes"))*(('GLASS OFFCUTS LIST'!$A$2:$A$298&gt;=D279)*('GLASS OFFCUTS LIST'!$B$2:$B$298&gt;=C279)))&gt;0))&gt;0,1,0))</f>
        <v/>
      </c>
      <c r="H279" t="str">
        <f>IF(G279="","",SUM($G$7:G279))</f>
        <v/>
      </c>
    </row>
    <row r="280" spans="1:8" x14ac:dyDescent="0.2">
      <c r="A280" s="3">
        <v>274</v>
      </c>
      <c r="B280" s="4"/>
      <c r="C280" s="3"/>
      <c r="D280" s="3"/>
      <c r="E280" s="4"/>
      <c r="F280" s="4" t="str">
        <f>IF(OR($C$3="",C280="",D280=""),"",IF(G280=0,"NO",IF(H280&lt;=SUMPRODUCT(('GLASS OFFCUTS LIST'!$D$2:$D$298=UPPER(TRIM(SUBSTITUTE(SUBSTITUTE($C$3,"   "," "),"  "," "))))*((('GLASS OFFCUTS LIST'!$A$2:$A$298&gt;=C280)*('GLASS OFFCUTS LIST'!$B$2:$B$298&gt;=D280))+(N(OR(E280=TRUE(),E280="Y",E280="y",E280="YES",E280="Yes"))*(('GLASS OFFCUTS LIST'!$A$2:$A$298&gt;=D280)*('GLASS OFFCUTS LIST'!$B$2:$B$298&gt;=C280)))&gt;0)),"YES","NO")))</f>
        <v/>
      </c>
      <c r="G280" t="str">
        <f>IF(OR($C$3="",C280="",D280=""),"",IF(SUMPRODUCT(('GLASS OFFCUTS LIST'!$D$2:$D$298=UPPER(TRIM(SUBSTITUTE(SUBSTITUTE($C$3,"   "," "),"  "," "))))*((('GLASS OFFCUTS LIST'!$A$2:$A$298&gt;=C280)*('GLASS OFFCUTS LIST'!$B$2:$B$298&gt;=D280))+(N(OR(E280=TRUE(),E280="Y",E280="y",E280="YES",E280="Yes"))*(('GLASS OFFCUTS LIST'!$A$2:$A$298&gt;=D280)*('GLASS OFFCUTS LIST'!$B$2:$B$298&gt;=C280)))&gt;0))&gt;0,1,0))</f>
        <v/>
      </c>
      <c r="H280" t="str">
        <f>IF(G280="","",SUM($G$7:G280))</f>
        <v/>
      </c>
    </row>
    <row r="281" spans="1:8" x14ac:dyDescent="0.2">
      <c r="A281" s="3">
        <v>275</v>
      </c>
      <c r="B281" s="4"/>
      <c r="C281" s="3"/>
      <c r="D281" s="3"/>
      <c r="E281" s="4"/>
      <c r="F281" s="4" t="str">
        <f>IF(OR($C$3="",C281="",D281=""),"",IF(G281=0,"NO",IF(H281&lt;=SUMPRODUCT(('GLASS OFFCUTS LIST'!$D$2:$D$298=UPPER(TRIM(SUBSTITUTE(SUBSTITUTE($C$3,"   "," "),"  "," "))))*((('GLASS OFFCUTS LIST'!$A$2:$A$298&gt;=C281)*('GLASS OFFCUTS LIST'!$B$2:$B$298&gt;=D281))+(N(OR(E281=TRUE(),E281="Y",E281="y",E281="YES",E281="Yes"))*(('GLASS OFFCUTS LIST'!$A$2:$A$298&gt;=D281)*('GLASS OFFCUTS LIST'!$B$2:$B$298&gt;=C281)))&gt;0)),"YES","NO")))</f>
        <v/>
      </c>
      <c r="G281" t="str">
        <f>IF(OR($C$3="",C281="",D281=""),"",IF(SUMPRODUCT(('GLASS OFFCUTS LIST'!$D$2:$D$298=UPPER(TRIM(SUBSTITUTE(SUBSTITUTE($C$3,"   "," "),"  "," "))))*((('GLASS OFFCUTS LIST'!$A$2:$A$298&gt;=C281)*('GLASS OFFCUTS LIST'!$B$2:$B$298&gt;=D281))+(N(OR(E281=TRUE(),E281="Y",E281="y",E281="YES",E281="Yes"))*(('GLASS OFFCUTS LIST'!$A$2:$A$298&gt;=D281)*('GLASS OFFCUTS LIST'!$B$2:$B$298&gt;=C281)))&gt;0))&gt;0,1,0))</f>
        <v/>
      </c>
      <c r="H281" t="str">
        <f>IF(G281="","",SUM($G$7:G281))</f>
        <v/>
      </c>
    </row>
    <row r="282" spans="1:8" x14ac:dyDescent="0.2">
      <c r="A282" s="3">
        <v>276</v>
      </c>
      <c r="B282" s="4"/>
      <c r="C282" s="3"/>
      <c r="D282" s="3"/>
      <c r="E282" s="4"/>
      <c r="F282" s="4" t="str">
        <f>IF(OR($C$3="",C282="",D282=""),"",IF(G282=0,"NO",IF(H282&lt;=SUMPRODUCT(('GLASS OFFCUTS LIST'!$D$2:$D$298=UPPER(TRIM(SUBSTITUTE(SUBSTITUTE($C$3,"   "," "),"  "," "))))*((('GLASS OFFCUTS LIST'!$A$2:$A$298&gt;=C282)*('GLASS OFFCUTS LIST'!$B$2:$B$298&gt;=D282))+(N(OR(E282=TRUE(),E282="Y",E282="y",E282="YES",E282="Yes"))*(('GLASS OFFCUTS LIST'!$A$2:$A$298&gt;=D282)*('GLASS OFFCUTS LIST'!$B$2:$B$298&gt;=C282)))&gt;0)),"YES","NO")))</f>
        <v/>
      </c>
      <c r="G282" t="str">
        <f>IF(OR($C$3="",C282="",D282=""),"",IF(SUMPRODUCT(('GLASS OFFCUTS LIST'!$D$2:$D$298=UPPER(TRIM(SUBSTITUTE(SUBSTITUTE($C$3,"   "," "),"  "," "))))*((('GLASS OFFCUTS LIST'!$A$2:$A$298&gt;=C282)*('GLASS OFFCUTS LIST'!$B$2:$B$298&gt;=D282))+(N(OR(E282=TRUE(),E282="Y",E282="y",E282="YES",E282="Yes"))*(('GLASS OFFCUTS LIST'!$A$2:$A$298&gt;=D282)*('GLASS OFFCUTS LIST'!$B$2:$B$298&gt;=C282)))&gt;0))&gt;0,1,0))</f>
        <v/>
      </c>
      <c r="H282" t="str">
        <f>IF(G282="","",SUM($G$7:G282))</f>
        <v/>
      </c>
    </row>
    <row r="283" spans="1:8" x14ac:dyDescent="0.2">
      <c r="A283" s="3">
        <v>277</v>
      </c>
      <c r="B283" s="4"/>
      <c r="C283" s="3"/>
      <c r="D283" s="3"/>
      <c r="E283" s="4"/>
      <c r="F283" s="4" t="str">
        <f>IF(OR($C$3="",C283="",D283=""),"",IF(G283=0,"NO",IF(H283&lt;=SUMPRODUCT(('GLASS OFFCUTS LIST'!$D$2:$D$298=UPPER(TRIM(SUBSTITUTE(SUBSTITUTE($C$3,"   "," "),"  "," "))))*((('GLASS OFFCUTS LIST'!$A$2:$A$298&gt;=C283)*('GLASS OFFCUTS LIST'!$B$2:$B$298&gt;=D283))+(N(OR(E283=TRUE(),E283="Y",E283="y",E283="YES",E283="Yes"))*(('GLASS OFFCUTS LIST'!$A$2:$A$298&gt;=D283)*('GLASS OFFCUTS LIST'!$B$2:$B$298&gt;=C283)))&gt;0)),"YES","NO")))</f>
        <v/>
      </c>
      <c r="G283" t="str">
        <f>IF(OR($C$3="",C283="",D283=""),"",IF(SUMPRODUCT(('GLASS OFFCUTS LIST'!$D$2:$D$298=UPPER(TRIM(SUBSTITUTE(SUBSTITUTE($C$3,"   "," "),"  "," "))))*((('GLASS OFFCUTS LIST'!$A$2:$A$298&gt;=C283)*('GLASS OFFCUTS LIST'!$B$2:$B$298&gt;=D283))+(N(OR(E283=TRUE(),E283="Y",E283="y",E283="YES",E283="Yes"))*(('GLASS OFFCUTS LIST'!$A$2:$A$298&gt;=D283)*('GLASS OFFCUTS LIST'!$B$2:$B$298&gt;=C283)))&gt;0))&gt;0,1,0))</f>
        <v/>
      </c>
      <c r="H283" t="str">
        <f>IF(G283="","",SUM($G$7:G283))</f>
        <v/>
      </c>
    </row>
    <row r="284" spans="1:8" x14ac:dyDescent="0.2">
      <c r="A284" s="3">
        <v>278</v>
      </c>
      <c r="B284" s="4"/>
      <c r="C284" s="3"/>
      <c r="D284" s="3"/>
      <c r="E284" s="4"/>
      <c r="F284" s="4" t="str">
        <f>IF(OR($C$3="",C284="",D284=""),"",IF(G284=0,"NO",IF(H284&lt;=SUMPRODUCT(('GLASS OFFCUTS LIST'!$D$2:$D$298=UPPER(TRIM(SUBSTITUTE(SUBSTITUTE($C$3,"   "," "),"  "," "))))*((('GLASS OFFCUTS LIST'!$A$2:$A$298&gt;=C284)*('GLASS OFFCUTS LIST'!$B$2:$B$298&gt;=D284))+(N(OR(E284=TRUE(),E284="Y",E284="y",E284="YES",E284="Yes"))*(('GLASS OFFCUTS LIST'!$A$2:$A$298&gt;=D284)*('GLASS OFFCUTS LIST'!$B$2:$B$298&gt;=C284)))&gt;0)),"YES","NO")))</f>
        <v/>
      </c>
      <c r="G284" t="str">
        <f>IF(OR($C$3="",C284="",D284=""),"",IF(SUMPRODUCT(('GLASS OFFCUTS LIST'!$D$2:$D$298=UPPER(TRIM(SUBSTITUTE(SUBSTITUTE($C$3,"   "," "),"  "," "))))*((('GLASS OFFCUTS LIST'!$A$2:$A$298&gt;=C284)*('GLASS OFFCUTS LIST'!$B$2:$B$298&gt;=D284))+(N(OR(E284=TRUE(),E284="Y",E284="y",E284="YES",E284="Yes"))*(('GLASS OFFCUTS LIST'!$A$2:$A$298&gt;=D284)*('GLASS OFFCUTS LIST'!$B$2:$B$298&gt;=C284)))&gt;0))&gt;0,1,0))</f>
        <v/>
      </c>
      <c r="H284" t="str">
        <f>IF(G284="","",SUM($G$7:G284))</f>
        <v/>
      </c>
    </row>
    <row r="285" spans="1:8" x14ac:dyDescent="0.2">
      <c r="A285" s="3">
        <v>279</v>
      </c>
      <c r="B285" s="4"/>
      <c r="C285" s="3"/>
      <c r="D285" s="3"/>
      <c r="E285" s="4"/>
      <c r="F285" s="4" t="str">
        <f>IF(OR($C$3="",C285="",D285=""),"",IF(G285=0,"NO",IF(H285&lt;=SUMPRODUCT(('GLASS OFFCUTS LIST'!$D$2:$D$298=UPPER(TRIM(SUBSTITUTE(SUBSTITUTE($C$3,"   "," "),"  "," "))))*((('GLASS OFFCUTS LIST'!$A$2:$A$298&gt;=C285)*('GLASS OFFCUTS LIST'!$B$2:$B$298&gt;=D285))+(N(OR(E285=TRUE(),E285="Y",E285="y",E285="YES",E285="Yes"))*(('GLASS OFFCUTS LIST'!$A$2:$A$298&gt;=D285)*('GLASS OFFCUTS LIST'!$B$2:$B$298&gt;=C285)))&gt;0)),"YES","NO")))</f>
        <v/>
      </c>
      <c r="G285" t="str">
        <f>IF(OR($C$3="",C285="",D285=""),"",IF(SUMPRODUCT(('GLASS OFFCUTS LIST'!$D$2:$D$298=UPPER(TRIM(SUBSTITUTE(SUBSTITUTE($C$3,"   "," "),"  "," "))))*((('GLASS OFFCUTS LIST'!$A$2:$A$298&gt;=C285)*('GLASS OFFCUTS LIST'!$B$2:$B$298&gt;=D285))+(N(OR(E285=TRUE(),E285="Y",E285="y",E285="YES",E285="Yes"))*(('GLASS OFFCUTS LIST'!$A$2:$A$298&gt;=D285)*('GLASS OFFCUTS LIST'!$B$2:$B$298&gt;=C285)))&gt;0))&gt;0,1,0))</f>
        <v/>
      </c>
      <c r="H285" t="str">
        <f>IF(G285="","",SUM($G$7:G285))</f>
        <v/>
      </c>
    </row>
    <row r="286" spans="1:8" x14ac:dyDescent="0.2">
      <c r="A286" s="3">
        <v>280</v>
      </c>
      <c r="B286" s="4"/>
      <c r="C286" s="3"/>
      <c r="D286" s="3"/>
      <c r="E286" s="4"/>
      <c r="F286" s="4" t="str">
        <f>IF(OR($C$3="",C286="",D286=""),"",IF(G286=0,"NO",IF(H286&lt;=SUMPRODUCT(('GLASS OFFCUTS LIST'!$D$2:$D$298=UPPER(TRIM(SUBSTITUTE(SUBSTITUTE($C$3,"   "," "),"  "," "))))*((('GLASS OFFCUTS LIST'!$A$2:$A$298&gt;=C286)*('GLASS OFFCUTS LIST'!$B$2:$B$298&gt;=D286))+(N(OR(E286=TRUE(),E286="Y",E286="y",E286="YES",E286="Yes"))*(('GLASS OFFCUTS LIST'!$A$2:$A$298&gt;=D286)*('GLASS OFFCUTS LIST'!$B$2:$B$298&gt;=C286)))&gt;0)),"YES","NO")))</f>
        <v/>
      </c>
      <c r="G286" t="str">
        <f>IF(OR($C$3="",C286="",D286=""),"",IF(SUMPRODUCT(('GLASS OFFCUTS LIST'!$D$2:$D$298=UPPER(TRIM(SUBSTITUTE(SUBSTITUTE($C$3,"   "," "),"  "," "))))*((('GLASS OFFCUTS LIST'!$A$2:$A$298&gt;=C286)*('GLASS OFFCUTS LIST'!$B$2:$B$298&gt;=D286))+(N(OR(E286=TRUE(),E286="Y",E286="y",E286="YES",E286="Yes"))*(('GLASS OFFCUTS LIST'!$A$2:$A$298&gt;=D286)*('GLASS OFFCUTS LIST'!$B$2:$B$298&gt;=C286)))&gt;0))&gt;0,1,0))</f>
        <v/>
      </c>
      <c r="H286" t="str">
        <f>IF(G286="","",SUM($G$7:G286))</f>
        <v/>
      </c>
    </row>
    <row r="287" spans="1:8" x14ac:dyDescent="0.2">
      <c r="A287" s="3">
        <v>281</v>
      </c>
      <c r="B287" s="4"/>
      <c r="C287" s="3"/>
      <c r="D287" s="3"/>
      <c r="E287" s="4"/>
      <c r="F287" s="4" t="str">
        <f>IF(OR($C$3="",C287="",D287=""),"",IF(G287=0,"NO",IF(H287&lt;=SUMPRODUCT(('GLASS OFFCUTS LIST'!$D$2:$D$298=UPPER(TRIM(SUBSTITUTE(SUBSTITUTE($C$3,"   "," "),"  "," "))))*((('GLASS OFFCUTS LIST'!$A$2:$A$298&gt;=C287)*('GLASS OFFCUTS LIST'!$B$2:$B$298&gt;=D287))+(N(OR(E287=TRUE(),E287="Y",E287="y",E287="YES",E287="Yes"))*(('GLASS OFFCUTS LIST'!$A$2:$A$298&gt;=D287)*('GLASS OFFCUTS LIST'!$B$2:$B$298&gt;=C287)))&gt;0)),"YES","NO")))</f>
        <v/>
      </c>
      <c r="G287" t="str">
        <f>IF(OR($C$3="",C287="",D287=""),"",IF(SUMPRODUCT(('GLASS OFFCUTS LIST'!$D$2:$D$298=UPPER(TRIM(SUBSTITUTE(SUBSTITUTE($C$3,"   "," "),"  "," "))))*((('GLASS OFFCUTS LIST'!$A$2:$A$298&gt;=C287)*('GLASS OFFCUTS LIST'!$B$2:$B$298&gt;=D287))+(N(OR(E287=TRUE(),E287="Y",E287="y",E287="YES",E287="Yes"))*(('GLASS OFFCUTS LIST'!$A$2:$A$298&gt;=D287)*('GLASS OFFCUTS LIST'!$B$2:$B$298&gt;=C287)))&gt;0))&gt;0,1,0))</f>
        <v/>
      </c>
      <c r="H287" t="str">
        <f>IF(G287="","",SUM($G$7:G287))</f>
        <v/>
      </c>
    </row>
    <row r="288" spans="1:8" x14ac:dyDescent="0.2">
      <c r="A288" s="3">
        <v>282</v>
      </c>
      <c r="B288" s="4"/>
      <c r="C288" s="3"/>
      <c r="D288" s="3"/>
      <c r="E288" s="4"/>
      <c r="F288" s="4" t="str">
        <f>IF(OR($C$3="",C288="",D288=""),"",IF(G288=0,"NO",IF(H288&lt;=SUMPRODUCT(('GLASS OFFCUTS LIST'!$D$2:$D$298=UPPER(TRIM(SUBSTITUTE(SUBSTITUTE($C$3,"   "," "),"  "," "))))*((('GLASS OFFCUTS LIST'!$A$2:$A$298&gt;=C288)*('GLASS OFFCUTS LIST'!$B$2:$B$298&gt;=D288))+(N(OR(E288=TRUE(),E288="Y",E288="y",E288="YES",E288="Yes"))*(('GLASS OFFCUTS LIST'!$A$2:$A$298&gt;=D288)*('GLASS OFFCUTS LIST'!$B$2:$B$298&gt;=C288)))&gt;0)),"YES","NO")))</f>
        <v/>
      </c>
      <c r="G288" t="str">
        <f>IF(OR($C$3="",C288="",D288=""),"",IF(SUMPRODUCT(('GLASS OFFCUTS LIST'!$D$2:$D$298=UPPER(TRIM(SUBSTITUTE(SUBSTITUTE($C$3,"   "," "),"  "," "))))*((('GLASS OFFCUTS LIST'!$A$2:$A$298&gt;=C288)*('GLASS OFFCUTS LIST'!$B$2:$B$298&gt;=D288))+(N(OR(E288=TRUE(),E288="Y",E288="y",E288="YES",E288="Yes"))*(('GLASS OFFCUTS LIST'!$A$2:$A$298&gt;=D288)*('GLASS OFFCUTS LIST'!$B$2:$B$298&gt;=C288)))&gt;0))&gt;0,1,0))</f>
        <v/>
      </c>
      <c r="H288" t="str">
        <f>IF(G288="","",SUM($G$7:G288))</f>
        <v/>
      </c>
    </row>
    <row r="289" spans="1:8" x14ac:dyDescent="0.2">
      <c r="A289" s="3">
        <v>283</v>
      </c>
      <c r="B289" s="4"/>
      <c r="C289" s="3"/>
      <c r="D289" s="3"/>
      <c r="E289" s="4"/>
      <c r="F289" s="4" t="str">
        <f>IF(OR($C$3="",C289="",D289=""),"",IF(G289=0,"NO",IF(H289&lt;=SUMPRODUCT(('GLASS OFFCUTS LIST'!$D$2:$D$298=UPPER(TRIM(SUBSTITUTE(SUBSTITUTE($C$3,"   "," "),"  "," "))))*((('GLASS OFFCUTS LIST'!$A$2:$A$298&gt;=C289)*('GLASS OFFCUTS LIST'!$B$2:$B$298&gt;=D289))+(N(OR(E289=TRUE(),E289="Y",E289="y",E289="YES",E289="Yes"))*(('GLASS OFFCUTS LIST'!$A$2:$A$298&gt;=D289)*('GLASS OFFCUTS LIST'!$B$2:$B$298&gt;=C289)))&gt;0)),"YES","NO")))</f>
        <v/>
      </c>
      <c r="G289" t="str">
        <f>IF(OR($C$3="",C289="",D289=""),"",IF(SUMPRODUCT(('GLASS OFFCUTS LIST'!$D$2:$D$298=UPPER(TRIM(SUBSTITUTE(SUBSTITUTE($C$3,"   "," "),"  "," "))))*((('GLASS OFFCUTS LIST'!$A$2:$A$298&gt;=C289)*('GLASS OFFCUTS LIST'!$B$2:$B$298&gt;=D289))+(N(OR(E289=TRUE(),E289="Y",E289="y",E289="YES",E289="Yes"))*(('GLASS OFFCUTS LIST'!$A$2:$A$298&gt;=D289)*('GLASS OFFCUTS LIST'!$B$2:$B$298&gt;=C289)))&gt;0))&gt;0,1,0))</f>
        <v/>
      </c>
      <c r="H289" t="str">
        <f>IF(G289="","",SUM($G$7:G289))</f>
        <v/>
      </c>
    </row>
    <row r="290" spans="1:8" x14ac:dyDescent="0.2">
      <c r="A290" s="3">
        <v>284</v>
      </c>
      <c r="B290" s="4"/>
      <c r="C290" s="3"/>
      <c r="D290" s="3"/>
      <c r="E290" s="4"/>
      <c r="F290" s="4" t="str">
        <f>IF(OR($C$3="",C290="",D290=""),"",IF(G290=0,"NO",IF(H290&lt;=SUMPRODUCT(('GLASS OFFCUTS LIST'!$D$2:$D$298=UPPER(TRIM(SUBSTITUTE(SUBSTITUTE($C$3,"   "," "),"  "," "))))*((('GLASS OFFCUTS LIST'!$A$2:$A$298&gt;=C290)*('GLASS OFFCUTS LIST'!$B$2:$B$298&gt;=D290))+(N(OR(E290=TRUE(),E290="Y",E290="y",E290="YES",E290="Yes"))*(('GLASS OFFCUTS LIST'!$A$2:$A$298&gt;=D290)*('GLASS OFFCUTS LIST'!$B$2:$B$298&gt;=C290)))&gt;0)),"YES","NO")))</f>
        <v/>
      </c>
      <c r="G290" t="str">
        <f>IF(OR($C$3="",C290="",D290=""),"",IF(SUMPRODUCT(('GLASS OFFCUTS LIST'!$D$2:$D$298=UPPER(TRIM(SUBSTITUTE(SUBSTITUTE($C$3,"   "," "),"  "," "))))*((('GLASS OFFCUTS LIST'!$A$2:$A$298&gt;=C290)*('GLASS OFFCUTS LIST'!$B$2:$B$298&gt;=D290))+(N(OR(E290=TRUE(),E290="Y",E290="y",E290="YES",E290="Yes"))*(('GLASS OFFCUTS LIST'!$A$2:$A$298&gt;=D290)*('GLASS OFFCUTS LIST'!$B$2:$B$298&gt;=C290)))&gt;0))&gt;0,1,0))</f>
        <v/>
      </c>
      <c r="H290" t="str">
        <f>IF(G290="","",SUM($G$7:G290))</f>
        <v/>
      </c>
    </row>
    <row r="291" spans="1:8" x14ac:dyDescent="0.2">
      <c r="A291" s="3">
        <v>285</v>
      </c>
      <c r="B291" s="4"/>
      <c r="C291" s="3"/>
      <c r="D291" s="3"/>
      <c r="E291" s="4"/>
      <c r="F291" s="4" t="str">
        <f>IF(OR($C$3="",C291="",D291=""),"",IF(G291=0,"NO",IF(H291&lt;=SUMPRODUCT(('GLASS OFFCUTS LIST'!$D$2:$D$298=UPPER(TRIM(SUBSTITUTE(SUBSTITUTE($C$3,"   "," "),"  "," "))))*((('GLASS OFFCUTS LIST'!$A$2:$A$298&gt;=C291)*('GLASS OFFCUTS LIST'!$B$2:$B$298&gt;=D291))+(N(OR(E291=TRUE(),E291="Y",E291="y",E291="YES",E291="Yes"))*(('GLASS OFFCUTS LIST'!$A$2:$A$298&gt;=D291)*('GLASS OFFCUTS LIST'!$B$2:$B$298&gt;=C291)))&gt;0)),"YES","NO")))</f>
        <v/>
      </c>
      <c r="G291" t="str">
        <f>IF(OR($C$3="",C291="",D291=""),"",IF(SUMPRODUCT(('GLASS OFFCUTS LIST'!$D$2:$D$298=UPPER(TRIM(SUBSTITUTE(SUBSTITUTE($C$3,"   "," "),"  "," "))))*((('GLASS OFFCUTS LIST'!$A$2:$A$298&gt;=C291)*('GLASS OFFCUTS LIST'!$B$2:$B$298&gt;=D291))+(N(OR(E291=TRUE(),E291="Y",E291="y",E291="YES",E291="Yes"))*(('GLASS OFFCUTS LIST'!$A$2:$A$298&gt;=D291)*('GLASS OFFCUTS LIST'!$B$2:$B$298&gt;=C291)))&gt;0))&gt;0,1,0))</f>
        <v/>
      </c>
      <c r="H291" t="str">
        <f>IF(G291="","",SUM($G$7:G291))</f>
        <v/>
      </c>
    </row>
    <row r="292" spans="1:8" x14ac:dyDescent="0.2">
      <c r="A292" s="3">
        <v>286</v>
      </c>
      <c r="B292" s="4"/>
      <c r="C292" s="3"/>
      <c r="D292" s="3"/>
      <c r="E292" s="4"/>
      <c r="F292" s="4" t="str">
        <f>IF(OR($C$3="",C292="",D292=""),"",IF(G292=0,"NO",IF(H292&lt;=SUMPRODUCT(('GLASS OFFCUTS LIST'!$D$2:$D$298=UPPER(TRIM(SUBSTITUTE(SUBSTITUTE($C$3,"   "," "),"  "," "))))*((('GLASS OFFCUTS LIST'!$A$2:$A$298&gt;=C292)*('GLASS OFFCUTS LIST'!$B$2:$B$298&gt;=D292))+(N(OR(E292=TRUE(),E292="Y",E292="y",E292="YES",E292="Yes"))*(('GLASS OFFCUTS LIST'!$A$2:$A$298&gt;=D292)*('GLASS OFFCUTS LIST'!$B$2:$B$298&gt;=C292)))&gt;0)),"YES","NO")))</f>
        <v/>
      </c>
      <c r="G292" t="str">
        <f>IF(OR($C$3="",C292="",D292=""),"",IF(SUMPRODUCT(('GLASS OFFCUTS LIST'!$D$2:$D$298=UPPER(TRIM(SUBSTITUTE(SUBSTITUTE($C$3,"   "," "),"  "," "))))*((('GLASS OFFCUTS LIST'!$A$2:$A$298&gt;=C292)*('GLASS OFFCUTS LIST'!$B$2:$B$298&gt;=D292))+(N(OR(E292=TRUE(),E292="Y",E292="y",E292="YES",E292="Yes"))*(('GLASS OFFCUTS LIST'!$A$2:$A$298&gt;=D292)*('GLASS OFFCUTS LIST'!$B$2:$B$298&gt;=C292)))&gt;0))&gt;0,1,0))</f>
        <v/>
      </c>
      <c r="H292" t="str">
        <f>IF(G292="","",SUM($G$7:G292))</f>
        <v/>
      </c>
    </row>
    <row r="293" spans="1:8" x14ac:dyDescent="0.2">
      <c r="A293" s="3">
        <v>287</v>
      </c>
      <c r="B293" s="4"/>
      <c r="C293" s="3"/>
      <c r="D293" s="3"/>
      <c r="E293" s="4"/>
      <c r="F293" s="4" t="str">
        <f>IF(OR($C$3="",C293="",D293=""),"",IF(G293=0,"NO",IF(H293&lt;=SUMPRODUCT(('GLASS OFFCUTS LIST'!$D$2:$D$298=UPPER(TRIM(SUBSTITUTE(SUBSTITUTE($C$3,"   "," "),"  "," "))))*((('GLASS OFFCUTS LIST'!$A$2:$A$298&gt;=C293)*('GLASS OFFCUTS LIST'!$B$2:$B$298&gt;=D293))+(N(OR(E293=TRUE(),E293="Y",E293="y",E293="YES",E293="Yes"))*(('GLASS OFFCUTS LIST'!$A$2:$A$298&gt;=D293)*('GLASS OFFCUTS LIST'!$B$2:$B$298&gt;=C293)))&gt;0)),"YES","NO")))</f>
        <v/>
      </c>
      <c r="G293" t="str">
        <f>IF(OR($C$3="",C293="",D293=""),"",IF(SUMPRODUCT(('GLASS OFFCUTS LIST'!$D$2:$D$298=UPPER(TRIM(SUBSTITUTE(SUBSTITUTE($C$3,"   "," "),"  "," "))))*((('GLASS OFFCUTS LIST'!$A$2:$A$298&gt;=C293)*('GLASS OFFCUTS LIST'!$B$2:$B$298&gt;=D293))+(N(OR(E293=TRUE(),E293="Y",E293="y",E293="YES",E293="Yes"))*(('GLASS OFFCUTS LIST'!$A$2:$A$298&gt;=D293)*('GLASS OFFCUTS LIST'!$B$2:$B$298&gt;=C293)))&gt;0))&gt;0,1,0))</f>
        <v/>
      </c>
      <c r="H293" t="str">
        <f>IF(G293="","",SUM($G$7:G293))</f>
        <v/>
      </c>
    </row>
    <row r="294" spans="1:8" x14ac:dyDescent="0.2">
      <c r="A294" s="3">
        <v>288</v>
      </c>
      <c r="B294" s="4"/>
      <c r="C294" s="3"/>
      <c r="D294" s="3"/>
      <c r="E294" s="4"/>
      <c r="F294" s="4" t="str">
        <f>IF(OR($C$3="",C294="",D294=""),"",IF(G294=0,"NO",IF(H294&lt;=SUMPRODUCT(('GLASS OFFCUTS LIST'!$D$2:$D$298=UPPER(TRIM(SUBSTITUTE(SUBSTITUTE($C$3,"   "," "),"  "," "))))*((('GLASS OFFCUTS LIST'!$A$2:$A$298&gt;=C294)*('GLASS OFFCUTS LIST'!$B$2:$B$298&gt;=D294))+(N(OR(E294=TRUE(),E294="Y",E294="y",E294="YES",E294="Yes"))*(('GLASS OFFCUTS LIST'!$A$2:$A$298&gt;=D294)*('GLASS OFFCUTS LIST'!$B$2:$B$298&gt;=C294)))&gt;0)),"YES","NO")))</f>
        <v/>
      </c>
      <c r="G294" t="str">
        <f>IF(OR($C$3="",C294="",D294=""),"",IF(SUMPRODUCT(('GLASS OFFCUTS LIST'!$D$2:$D$298=UPPER(TRIM(SUBSTITUTE(SUBSTITUTE($C$3,"   "," "),"  "," "))))*((('GLASS OFFCUTS LIST'!$A$2:$A$298&gt;=C294)*('GLASS OFFCUTS LIST'!$B$2:$B$298&gt;=D294))+(N(OR(E294=TRUE(),E294="Y",E294="y",E294="YES",E294="Yes"))*(('GLASS OFFCUTS LIST'!$A$2:$A$298&gt;=D294)*('GLASS OFFCUTS LIST'!$B$2:$B$298&gt;=C294)))&gt;0))&gt;0,1,0))</f>
        <v/>
      </c>
      <c r="H294" t="str">
        <f>IF(G294="","",SUM($G$7:G294))</f>
        <v/>
      </c>
    </row>
    <row r="295" spans="1:8" x14ac:dyDescent="0.2">
      <c r="A295" s="3">
        <v>289</v>
      </c>
      <c r="B295" s="4"/>
      <c r="C295" s="3"/>
      <c r="D295" s="3"/>
      <c r="E295" s="4"/>
      <c r="F295" s="4" t="str">
        <f>IF(OR($C$3="",C295="",D295=""),"",IF(G295=0,"NO",IF(H295&lt;=SUMPRODUCT(('GLASS OFFCUTS LIST'!$D$2:$D$298=UPPER(TRIM(SUBSTITUTE(SUBSTITUTE($C$3,"   "," "),"  "," "))))*((('GLASS OFFCUTS LIST'!$A$2:$A$298&gt;=C295)*('GLASS OFFCUTS LIST'!$B$2:$B$298&gt;=D295))+(N(OR(E295=TRUE(),E295="Y",E295="y",E295="YES",E295="Yes"))*(('GLASS OFFCUTS LIST'!$A$2:$A$298&gt;=D295)*('GLASS OFFCUTS LIST'!$B$2:$B$298&gt;=C295)))&gt;0)),"YES","NO")))</f>
        <v/>
      </c>
      <c r="G295" t="str">
        <f>IF(OR($C$3="",C295="",D295=""),"",IF(SUMPRODUCT(('GLASS OFFCUTS LIST'!$D$2:$D$298=UPPER(TRIM(SUBSTITUTE(SUBSTITUTE($C$3,"   "," "),"  "," "))))*((('GLASS OFFCUTS LIST'!$A$2:$A$298&gt;=C295)*('GLASS OFFCUTS LIST'!$B$2:$B$298&gt;=D295))+(N(OR(E295=TRUE(),E295="Y",E295="y",E295="YES",E295="Yes"))*(('GLASS OFFCUTS LIST'!$A$2:$A$298&gt;=D295)*('GLASS OFFCUTS LIST'!$B$2:$B$298&gt;=C295)))&gt;0))&gt;0,1,0))</f>
        <v/>
      </c>
      <c r="H295" t="str">
        <f>IF(G295="","",SUM($G$7:G295))</f>
        <v/>
      </c>
    </row>
    <row r="296" spans="1:8" x14ac:dyDescent="0.2">
      <c r="A296" s="3">
        <v>290</v>
      </c>
      <c r="B296" s="4"/>
      <c r="C296" s="3"/>
      <c r="D296" s="3"/>
      <c r="E296" s="4"/>
      <c r="F296" s="4" t="str">
        <f>IF(OR($C$3="",C296="",D296=""),"",IF(G296=0,"NO",IF(H296&lt;=SUMPRODUCT(('GLASS OFFCUTS LIST'!$D$2:$D$298=UPPER(TRIM(SUBSTITUTE(SUBSTITUTE($C$3,"   "," "),"  "," "))))*((('GLASS OFFCUTS LIST'!$A$2:$A$298&gt;=C296)*('GLASS OFFCUTS LIST'!$B$2:$B$298&gt;=D296))+(N(OR(E296=TRUE(),E296="Y",E296="y",E296="YES",E296="Yes"))*(('GLASS OFFCUTS LIST'!$A$2:$A$298&gt;=D296)*('GLASS OFFCUTS LIST'!$B$2:$B$298&gt;=C296)))&gt;0)),"YES","NO")))</f>
        <v/>
      </c>
      <c r="G296" t="str">
        <f>IF(OR($C$3="",C296="",D296=""),"",IF(SUMPRODUCT(('GLASS OFFCUTS LIST'!$D$2:$D$298=UPPER(TRIM(SUBSTITUTE(SUBSTITUTE($C$3,"   "," "),"  "," "))))*((('GLASS OFFCUTS LIST'!$A$2:$A$298&gt;=C296)*('GLASS OFFCUTS LIST'!$B$2:$B$298&gt;=D296))+(N(OR(E296=TRUE(),E296="Y",E296="y",E296="YES",E296="Yes"))*(('GLASS OFFCUTS LIST'!$A$2:$A$298&gt;=D296)*('GLASS OFFCUTS LIST'!$B$2:$B$298&gt;=C296)))&gt;0))&gt;0,1,0))</f>
        <v/>
      </c>
      <c r="H296" t="str">
        <f>IF(G296="","",SUM($G$7:G296))</f>
        <v/>
      </c>
    </row>
    <row r="297" spans="1:8" x14ac:dyDescent="0.2">
      <c r="A297" s="3">
        <v>291</v>
      </c>
      <c r="B297" s="4"/>
      <c r="C297" s="3"/>
      <c r="D297" s="3"/>
      <c r="E297" s="4"/>
      <c r="F297" s="4" t="str">
        <f>IF(OR($C$3="",C297="",D297=""),"",IF(G297=0,"NO",IF(H297&lt;=SUMPRODUCT(('GLASS OFFCUTS LIST'!$D$2:$D$298=UPPER(TRIM(SUBSTITUTE(SUBSTITUTE($C$3,"   "," "),"  "," "))))*((('GLASS OFFCUTS LIST'!$A$2:$A$298&gt;=C297)*('GLASS OFFCUTS LIST'!$B$2:$B$298&gt;=D297))+(N(OR(E297=TRUE(),E297="Y",E297="y",E297="YES",E297="Yes"))*(('GLASS OFFCUTS LIST'!$A$2:$A$298&gt;=D297)*('GLASS OFFCUTS LIST'!$B$2:$B$298&gt;=C297)))&gt;0)),"YES","NO")))</f>
        <v/>
      </c>
      <c r="G297" t="str">
        <f>IF(OR($C$3="",C297="",D297=""),"",IF(SUMPRODUCT(('GLASS OFFCUTS LIST'!$D$2:$D$298=UPPER(TRIM(SUBSTITUTE(SUBSTITUTE($C$3,"   "," "),"  "," "))))*((('GLASS OFFCUTS LIST'!$A$2:$A$298&gt;=C297)*('GLASS OFFCUTS LIST'!$B$2:$B$298&gt;=D297))+(N(OR(E297=TRUE(),E297="Y",E297="y",E297="YES",E297="Yes"))*(('GLASS OFFCUTS LIST'!$A$2:$A$298&gt;=D297)*('GLASS OFFCUTS LIST'!$B$2:$B$298&gt;=C297)))&gt;0))&gt;0,1,0))</f>
        <v/>
      </c>
      <c r="H297" t="str">
        <f>IF(G297="","",SUM($G$7:G297))</f>
        <v/>
      </c>
    </row>
    <row r="298" spans="1:8" x14ac:dyDescent="0.2">
      <c r="A298" s="3">
        <v>292</v>
      </c>
      <c r="B298" s="4"/>
      <c r="C298" s="3"/>
      <c r="D298" s="3"/>
      <c r="E298" s="4"/>
      <c r="F298" s="4" t="str">
        <f>IF(OR($C$3="",C298="",D298=""),"",IF(G298=0,"NO",IF(H298&lt;=SUMPRODUCT(('GLASS OFFCUTS LIST'!$D$2:$D$298=UPPER(TRIM(SUBSTITUTE(SUBSTITUTE($C$3,"   "," "),"  "," "))))*((('GLASS OFFCUTS LIST'!$A$2:$A$298&gt;=C298)*('GLASS OFFCUTS LIST'!$B$2:$B$298&gt;=D298))+(N(OR(E298=TRUE(),E298="Y",E298="y",E298="YES",E298="Yes"))*(('GLASS OFFCUTS LIST'!$A$2:$A$298&gt;=D298)*('GLASS OFFCUTS LIST'!$B$2:$B$298&gt;=C298)))&gt;0)),"YES","NO")))</f>
        <v/>
      </c>
      <c r="G298" t="str">
        <f>IF(OR($C$3="",C298="",D298=""),"",IF(SUMPRODUCT(('GLASS OFFCUTS LIST'!$D$2:$D$298=UPPER(TRIM(SUBSTITUTE(SUBSTITUTE($C$3,"   "," "),"  "," "))))*((('GLASS OFFCUTS LIST'!$A$2:$A$298&gt;=C298)*('GLASS OFFCUTS LIST'!$B$2:$B$298&gt;=D298))+(N(OR(E298=TRUE(),E298="Y",E298="y",E298="YES",E298="Yes"))*(('GLASS OFFCUTS LIST'!$A$2:$A$298&gt;=D298)*('GLASS OFFCUTS LIST'!$B$2:$B$298&gt;=C298)))&gt;0))&gt;0,1,0))</f>
        <v/>
      </c>
      <c r="H298" t="str">
        <f>IF(G298="","",SUM($G$7:G298))</f>
        <v/>
      </c>
    </row>
    <row r="299" spans="1:8" x14ac:dyDescent="0.2">
      <c r="A299" s="3">
        <v>293</v>
      </c>
      <c r="B299" s="4"/>
      <c r="C299" s="3"/>
      <c r="D299" s="3"/>
      <c r="E299" s="4"/>
      <c r="F299" s="4" t="str">
        <f>IF(OR($C$3="",C299="",D299=""),"",IF(G299=0,"NO",IF(H299&lt;=SUMPRODUCT(('GLASS OFFCUTS LIST'!$D$2:$D$298=UPPER(TRIM(SUBSTITUTE(SUBSTITUTE($C$3,"   "," "),"  "," "))))*((('GLASS OFFCUTS LIST'!$A$2:$A$298&gt;=C299)*('GLASS OFFCUTS LIST'!$B$2:$B$298&gt;=D299))+(N(OR(E299=TRUE(),E299="Y",E299="y",E299="YES",E299="Yes"))*(('GLASS OFFCUTS LIST'!$A$2:$A$298&gt;=D299)*('GLASS OFFCUTS LIST'!$B$2:$B$298&gt;=C299)))&gt;0)),"YES","NO")))</f>
        <v/>
      </c>
      <c r="G299" t="str">
        <f>IF(OR($C$3="",C299="",D299=""),"",IF(SUMPRODUCT(('GLASS OFFCUTS LIST'!$D$2:$D$298=UPPER(TRIM(SUBSTITUTE(SUBSTITUTE($C$3,"   "," "),"  "," "))))*((('GLASS OFFCUTS LIST'!$A$2:$A$298&gt;=C299)*('GLASS OFFCUTS LIST'!$B$2:$B$298&gt;=D299))+(N(OR(E299=TRUE(),E299="Y",E299="y",E299="YES",E299="Yes"))*(('GLASS OFFCUTS LIST'!$A$2:$A$298&gt;=D299)*('GLASS OFFCUTS LIST'!$B$2:$B$298&gt;=C299)))&gt;0))&gt;0,1,0))</f>
        <v/>
      </c>
      <c r="H299" t="str">
        <f>IF(G299="","",SUM($G$7:G299))</f>
        <v/>
      </c>
    </row>
    <row r="300" spans="1:8" x14ac:dyDescent="0.2">
      <c r="A300" s="3">
        <v>294</v>
      </c>
      <c r="B300" s="4"/>
      <c r="C300" s="3"/>
      <c r="D300" s="3"/>
      <c r="E300" s="4"/>
      <c r="F300" s="4" t="str">
        <f>IF(OR($C$3="",C300="",D300=""),"",IF(G300=0,"NO",IF(H300&lt;=SUMPRODUCT(('GLASS OFFCUTS LIST'!$D$2:$D$298=UPPER(TRIM(SUBSTITUTE(SUBSTITUTE($C$3,"   "," "),"  "," "))))*((('GLASS OFFCUTS LIST'!$A$2:$A$298&gt;=C300)*('GLASS OFFCUTS LIST'!$B$2:$B$298&gt;=D300))+(N(OR(E300=TRUE(),E300="Y",E300="y",E300="YES",E300="Yes"))*(('GLASS OFFCUTS LIST'!$A$2:$A$298&gt;=D300)*('GLASS OFFCUTS LIST'!$B$2:$B$298&gt;=C300)))&gt;0)),"YES","NO")))</f>
        <v/>
      </c>
      <c r="G300" t="str">
        <f>IF(OR($C$3="",C300="",D300=""),"",IF(SUMPRODUCT(('GLASS OFFCUTS LIST'!$D$2:$D$298=UPPER(TRIM(SUBSTITUTE(SUBSTITUTE($C$3,"   "," "),"  "," "))))*((('GLASS OFFCUTS LIST'!$A$2:$A$298&gt;=C300)*('GLASS OFFCUTS LIST'!$B$2:$B$298&gt;=D300))+(N(OR(E300=TRUE(),E300="Y",E300="y",E300="YES",E300="Yes"))*(('GLASS OFFCUTS LIST'!$A$2:$A$298&gt;=D300)*('GLASS OFFCUTS LIST'!$B$2:$B$298&gt;=C300)))&gt;0))&gt;0,1,0))</f>
        <v/>
      </c>
      <c r="H300" t="str">
        <f>IF(G300="","",SUM($G$7:G300))</f>
        <v/>
      </c>
    </row>
    <row r="301" spans="1:8" x14ac:dyDescent="0.2">
      <c r="A301" s="3">
        <v>295</v>
      </c>
      <c r="B301" s="4"/>
      <c r="C301" s="3"/>
      <c r="D301" s="3"/>
      <c r="E301" s="4"/>
      <c r="F301" s="4" t="str">
        <f>IF(OR($C$3="",C301="",D301=""),"",IF(G301=0,"NO",IF(H301&lt;=SUMPRODUCT(('GLASS OFFCUTS LIST'!$D$2:$D$298=UPPER(TRIM(SUBSTITUTE(SUBSTITUTE($C$3,"   "," "),"  "," "))))*((('GLASS OFFCUTS LIST'!$A$2:$A$298&gt;=C301)*('GLASS OFFCUTS LIST'!$B$2:$B$298&gt;=D301))+(N(OR(E301=TRUE(),E301="Y",E301="y",E301="YES",E301="Yes"))*(('GLASS OFFCUTS LIST'!$A$2:$A$298&gt;=D301)*('GLASS OFFCUTS LIST'!$B$2:$B$298&gt;=C301)))&gt;0)),"YES","NO")))</f>
        <v/>
      </c>
      <c r="G301" t="str">
        <f>IF(OR($C$3="",C301="",D301=""),"",IF(SUMPRODUCT(('GLASS OFFCUTS LIST'!$D$2:$D$298=UPPER(TRIM(SUBSTITUTE(SUBSTITUTE($C$3,"   "," "),"  "," "))))*((('GLASS OFFCUTS LIST'!$A$2:$A$298&gt;=C301)*('GLASS OFFCUTS LIST'!$B$2:$B$298&gt;=D301))+(N(OR(E301=TRUE(),E301="Y",E301="y",E301="YES",E301="Yes"))*(('GLASS OFFCUTS LIST'!$A$2:$A$298&gt;=D301)*('GLASS OFFCUTS LIST'!$B$2:$B$298&gt;=C301)))&gt;0))&gt;0,1,0))</f>
        <v/>
      </c>
      <c r="H301" t="str">
        <f>IF(G301="","",SUM($G$7:G301))</f>
        <v/>
      </c>
    </row>
    <row r="302" spans="1:8" x14ac:dyDescent="0.2">
      <c r="A302" s="3">
        <v>296</v>
      </c>
      <c r="B302" s="4"/>
      <c r="C302" s="3"/>
      <c r="D302" s="3"/>
      <c r="E302" s="4"/>
      <c r="F302" s="4" t="str">
        <f>IF(OR($C$3="",C302="",D302=""),"",IF(G302=0,"NO",IF(H302&lt;=SUMPRODUCT(('GLASS OFFCUTS LIST'!$D$2:$D$298=UPPER(TRIM(SUBSTITUTE(SUBSTITUTE($C$3,"   "," "),"  "," "))))*((('GLASS OFFCUTS LIST'!$A$2:$A$298&gt;=C302)*('GLASS OFFCUTS LIST'!$B$2:$B$298&gt;=D302))+(N(OR(E302=TRUE(),E302="Y",E302="y",E302="YES",E302="Yes"))*(('GLASS OFFCUTS LIST'!$A$2:$A$298&gt;=D302)*('GLASS OFFCUTS LIST'!$B$2:$B$298&gt;=C302)))&gt;0)),"YES","NO")))</f>
        <v/>
      </c>
      <c r="G302" t="str">
        <f>IF(OR($C$3="",C302="",D302=""),"",IF(SUMPRODUCT(('GLASS OFFCUTS LIST'!$D$2:$D$298=UPPER(TRIM(SUBSTITUTE(SUBSTITUTE($C$3,"   "," "),"  "," "))))*((('GLASS OFFCUTS LIST'!$A$2:$A$298&gt;=C302)*('GLASS OFFCUTS LIST'!$B$2:$B$298&gt;=D302))+(N(OR(E302=TRUE(),E302="Y",E302="y",E302="YES",E302="Yes"))*(('GLASS OFFCUTS LIST'!$A$2:$A$298&gt;=D302)*('GLASS OFFCUTS LIST'!$B$2:$B$298&gt;=C302)))&gt;0))&gt;0,1,0))</f>
        <v/>
      </c>
      <c r="H302" t="str">
        <f>IF(G302="","",SUM($G$7:G302))</f>
        <v/>
      </c>
    </row>
    <row r="303" spans="1:8" x14ac:dyDescent="0.2">
      <c r="A303" s="3">
        <v>297</v>
      </c>
      <c r="B303" s="4"/>
      <c r="C303" s="3"/>
      <c r="D303" s="3"/>
      <c r="E303" s="4"/>
      <c r="F303" s="4" t="str">
        <f>IF(OR($C$3="",C303="",D303=""),"",IF(G303=0,"NO",IF(H303&lt;=SUMPRODUCT(('GLASS OFFCUTS LIST'!$D$2:$D$298=UPPER(TRIM(SUBSTITUTE(SUBSTITUTE($C$3,"   "," "),"  "," "))))*((('GLASS OFFCUTS LIST'!$A$2:$A$298&gt;=C303)*('GLASS OFFCUTS LIST'!$B$2:$B$298&gt;=D303))+(N(OR(E303=TRUE(),E303="Y",E303="y",E303="YES",E303="Yes"))*(('GLASS OFFCUTS LIST'!$A$2:$A$298&gt;=D303)*('GLASS OFFCUTS LIST'!$B$2:$B$298&gt;=C303)))&gt;0)),"YES","NO")))</f>
        <v/>
      </c>
      <c r="G303" t="str">
        <f>IF(OR($C$3="",C303="",D303=""),"",IF(SUMPRODUCT(('GLASS OFFCUTS LIST'!$D$2:$D$298=UPPER(TRIM(SUBSTITUTE(SUBSTITUTE($C$3,"   "," "),"  "," "))))*((('GLASS OFFCUTS LIST'!$A$2:$A$298&gt;=C303)*('GLASS OFFCUTS LIST'!$B$2:$B$298&gt;=D303))+(N(OR(E303=TRUE(),E303="Y",E303="y",E303="YES",E303="Yes"))*(('GLASS OFFCUTS LIST'!$A$2:$A$298&gt;=D303)*('GLASS OFFCUTS LIST'!$B$2:$B$298&gt;=C303)))&gt;0))&gt;0,1,0))</f>
        <v/>
      </c>
      <c r="H303" t="str">
        <f>IF(G303="","",SUM($G$7:G303))</f>
        <v/>
      </c>
    </row>
    <row r="304" spans="1:8" x14ac:dyDescent="0.2">
      <c r="A304" s="3">
        <v>298</v>
      </c>
      <c r="B304" s="4"/>
      <c r="C304" s="3"/>
      <c r="D304" s="3"/>
      <c r="E304" s="4"/>
      <c r="F304" s="4" t="str">
        <f>IF(OR($C$3="",C304="",D304=""),"",IF(G304=0,"NO",IF(H304&lt;=SUMPRODUCT(('GLASS OFFCUTS LIST'!$D$2:$D$298=UPPER(TRIM(SUBSTITUTE(SUBSTITUTE($C$3,"   "," "),"  "," "))))*((('GLASS OFFCUTS LIST'!$A$2:$A$298&gt;=C304)*('GLASS OFFCUTS LIST'!$B$2:$B$298&gt;=D304))+(N(OR(E304=TRUE(),E304="Y",E304="y",E304="YES",E304="Yes"))*(('GLASS OFFCUTS LIST'!$A$2:$A$298&gt;=D304)*('GLASS OFFCUTS LIST'!$B$2:$B$298&gt;=C304)))&gt;0)),"YES","NO")))</f>
        <v/>
      </c>
      <c r="G304" t="str">
        <f>IF(OR($C$3="",C304="",D304=""),"",IF(SUMPRODUCT(('GLASS OFFCUTS LIST'!$D$2:$D$298=UPPER(TRIM(SUBSTITUTE(SUBSTITUTE($C$3,"   "," "),"  "," "))))*((('GLASS OFFCUTS LIST'!$A$2:$A$298&gt;=C304)*('GLASS OFFCUTS LIST'!$B$2:$B$298&gt;=D304))+(N(OR(E304=TRUE(),E304="Y",E304="y",E304="YES",E304="Yes"))*(('GLASS OFFCUTS LIST'!$A$2:$A$298&gt;=D304)*('GLASS OFFCUTS LIST'!$B$2:$B$298&gt;=C304)))&gt;0))&gt;0,1,0))</f>
        <v/>
      </c>
      <c r="H304" t="str">
        <f>IF(G304="","",SUM($G$7:G304))</f>
        <v/>
      </c>
    </row>
    <row r="305" spans="1:8" x14ac:dyDescent="0.2">
      <c r="A305" s="3">
        <v>299</v>
      </c>
      <c r="B305" s="4"/>
      <c r="C305" s="3"/>
      <c r="D305" s="3"/>
      <c r="E305" s="4"/>
      <c r="F305" s="4" t="str">
        <f>IF(OR($C$3="",C305="",D305=""),"",IF(G305=0,"NO",IF(H305&lt;=SUMPRODUCT(('GLASS OFFCUTS LIST'!$D$2:$D$298=UPPER(TRIM(SUBSTITUTE(SUBSTITUTE($C$3,"   "," "),"  "," "))))*((('GLASS OFFCUTS LIST'!$A$2:$A$298&gt;=C305)*('GLASS OFFCUTS LIST'!$B$2:$B$298&gt;=D305))+(N(OR(E305=TRUE(),E305="Y",E305="y",E305="YES",E305="Yes"))*(('GLASS OFFCUTS LIST'!$A$2:$A$298&gt;=D305)*('GLASS OFFCUTS LIST'!$B$2:$B$298&gt;=C305)))&gt;0)),"YES","NO")))</f>
        <v/>
      </c>
      <c r="G305" t="str">
        <f>IF(OR($C$3="",C305="",D305=""),"",IF(SUMPRODUCT(('GLASS OFFCUTS LIST'!$D$2:$D$298=UPPER(TRIM(SUBSTITUTE(SUBSTITUTE($C$3,"   "," "),"  "," "))))*((('GLASS OFFCUTS LIST'!$A$2:$A$298&gt;=C305)*('GLASS OFFCUTS LIST'!$B$2:$B$298&gt;=D305))+(N(OR(E305=TRUE(),E305="Y",E305="y",E305="YES",E305="Yes"))*(('GLASS OFFCUTS LIST'!$A$2:$A$298&gt;=D305)*('GLASS OFFCUTS LIST'!$B$2:$B$298&gt;=C305)))&gt;0))&gt;0,1,0))</f>
        <v/>
      </c>
      <c r="H305" t="str">
        <f>IF(G305="","",SUM($G$7:G305))</f>
        <v/>
      </c>
    </row>
    <row r="306" spans="1:8" x14ac:dyDescent="0.2">
      <c r="A306" s="3">
        <v>300</v>
      </c>
      <c r="B306" s="4"/>
      <c r="C306" s="3"/>
      <c r="D306" s="3"/>
      <c r="E306" s="4"/>
      <c r="F306" s="4" t="str">
        <f>IF(OR($C$3="",C306="",D306=""),"",IF(G306=0,"NO",IF(H306&lt;=SUMPRODUCT(('GLASS OFFCUTS LIST'!$D$2:$D$298=UPPER(TRIM(SUBSTITUTE(SUBSTITUTE($C$3,"   "," "),"  "," "))))*((('GLASS OFFCUTS LIST'!$A$2:$A$298&gt;=C306)*('GLASS OFFCUTS LIST'!$B$2:$B$298&gt;=D306))+(N(OR(E306=TRUE(),E306="Y",E306="y",E306="YES",E306="Yes"))*(('GLASS OFFCUTS LIST'!$A$2:$A$298&gt;=D306)*('GLASS OFFCUTS LIST'!$B$2:$B$298&gt;=C306)))&gt;0)),"YES","NO")))</f>
        <v/>
      </c>
      <c r="G306" t="str">
        <f>IF(OR($C$3="",C306="",D306=""),"",IF(SUMPRODUCT(('GLASS OFFCUTS LIST'!$D$2:$D$298=UPPER(TRIM(SUBSTITUTE(SUBSTITUTE($C$3,"   "," "),"  "," "))))*((('GLASS OFFCUTS LIST'!$A$2:$A$298&gt;=C306)*('GLASS OFFCUTS LIST'!$B$2:$B$298&gt;=D306))+(N(OR(E306=TRUE(),E306="Y",E306="y",E306="YES",E306="Yes"))*(('GLASS OFFCUTS LIST'!$A$2:$A$298&gt;=D306)*('GLASS OFFCUTS LIST'!$B$2:$B$298&gt;=C306)))&gt;0))&gt;0,1,0))</f>
        <v/>
      </c>
      <c r="H306" t="str">
        <f>IF(G306="","",SUM($G$7:G306))</f>
        <v/>
      </c>
    </row>
    <row r="307" spans="1:8" x14ac:dyDescent="0.2">
      <c r="A307" s="3">
        <v>301</v>
      </c>
      <c r="B307" s="4"/>
      <c r="C307" s="3"/>
      <c r="D307" s="3"/>
      <c r="E307" s="4"/>
      <c r="F307" s="4" t="str">
        <f>IF(OR($C$3="",C307="",D307=""),"",IF(G307=0,"NO",IF(H307&lt;=SUMPRODUCT(('GLASS OFFCUTS LIST'!$D$2:$D$298=UPPER(TRIM(SUBSTITUTE(SUBSTITUTE($C$3,"   "," "),"  "," "))))*((('GLASS OFFCUTS LIST'!$A$2:$A$298&gt;=C307)*('GLASS OFFCUTS LIST'!$B$2:$B$298&gt;=D307))+(N(OR(E307=TRUE(),E307="Y",E307="y",E307="YES",E307="Yes"))*(('GLASS OFFCUTS LIST'!$A$2:$A$298&gt;=D307)*('GLASS OFFCUTS LIST'!$B$2:$B$298&gt;=C307)))&gt;0)),"YES","NO")))</f>
        <v/>
      </c>
      <c r="G307" t="str">
        <f>IF(OR($C$3="",C307="",D307=""),"",IF(SUMPRODUCT(('GLASS OFFCUTS LIST'!$D$2:$D$298=UPPER(TRIM(SUBSTITUTE(SUBSTITUTE($C$3,"   "," "),"  "," "))))*((('GLASS OFFCUTS LIST'!$A$2:$A$298&gt;=C307)*('GLASS OFFCUTS LIST'!$B$2:$B$298&gt;=D307))+(N(OR(E307=TRUE(),E307="Y",E307="y",E307="YES",E307="Yes"))*(('GLASS OFFCUTS LIST'!$A$2:$A$298&gt;=D307)*('GLASS OFFCUTS LIST'!$B$2:$B$298&gt;=C307)))&gt;0))&gt;0,1,0))</f>
        <v/>
      </c>
      <c r="H307" t="str">
        <f>IF(G307="","",SUM($G$7:G307))</f>
        <v/>
      </c>
    </row>
    <row r="308" spans="1:8" x14ac:dyDescent="0.2">
      <c r="A308" s="3">
        <v>302</v>
      </c>
      <c r="B308" s="4"/>
      <c r="C308" s="3"/>
      <c r="D308" s="3"/>
      <c r="E308" s="4"/>
      <c r="F308" s="4" t="str">
        <f>IF(OR($C$3="",C308="",D308=""),"",IF(G308=0,"NO",IF(H308&lt;=SUMPRODUCT(('GLASS OFFCUTS LIST'!$D$2:$D$298=UPPER(TRIM(SUBSTITUTE(SUBSTITUTE($C$3,"   "," "),"  "," "))))*((('GLASS OFFCUTS LIST'!$A$2:$A$298&gt;=C308)*('GLASS OFFCUTS LIST'!$B$2:$B$298&gt;=D308))+(N(OR(E308=TRUE(),E308="Y",E308="y",E308="YES",E308="Yes"))*(('GLASS OFFCUTS LIST'!$A$2:$A$298&gt;=D308)*('GLASS OFFCUTS LIST'!$B$2:$B$298&gt;=C308)))&gt;0)),"YES","NO")))</f>
        <v/>
      </c>
      <c r="G308" t="str">
        <f>IF(OR($C$3="",C308="",D308=""),"",IF(SUMPRODUCT(('GLASS OFFCUTS LIST'!$D$2:$D$298=UPPER(TRIM(SUBSTITUTE(SUBSTITUTE($C$3,"   "," "),"  "," "))))*((('GLASS OFFCUTS LIST'!$A$2:$A$298&gt;=C308)*('GLASS OFFCUTS LIST'!$B$2:$B$298&gt;=D308))+(N(OR(E308=TRUE(),E308="Y",E308="y",E308="YES",E308="Yes"))*(('GLASS OFFCUTS LIST'!$A$2:$A$298&gt;=D308)*('GLASS OFFCUTS LIST'!$B$2:$B$298&gt;=C308)))&gt;0))&gt;0,1,0))</f>
        <v/>
      </c>
      <c r="H308" t="str">
        <f>IF(G308="","",SUM($G$7:G308))</f>
        <v/>
      </c>
    </row>
    <row r="309" spans="1:8" x14ac:dyDescent="0.2">
      <c r="A309" s="3">
        <v>303</v>
      </c>
      <c r="B309" s="4"/>
      <c r="C309" s="3"/>
      <c r="D309" s="3"/>
      <c r="E309" s="4"/>
      <c r="F309" s="4" t="str">
        <f>IF(OR($C$3="",C309="",D309=""),"",IF(G309=0,"NO",IF(H309&lt;=SUMPRODUCT(('GLASS OFFCUTS LIST'!$D$2:$D$298=UPPER(TRIM(SUBSTITUTE(SUBSTITUTE($C$3,"   "," "),"  "," "))))*((('GLASS OFFCUTS LIST'!$A$2:$A$298&gt;=C309)*('GLASS OFFCUTS LIST'!$B$2:$B$298&gt;=D309))+(N(OR(E309=TRUE(),E309="Y",E309="y",E309="YES",E309="Yes"))*(('GLASS OFFCUTS LIST'!$A$2:$A$298&gt;=D309)*('GLASS OFFCUTS LIST'!$B$2:$B$298&gt;=C309)))&gt;0)),"YES","NO")))</f>
        <v/>
      </c>
      <c r="G309" t="str">
        <f>IF(OR($C$3="",C309="",D309=""),"",IF(SUMPRODUCT(('GLASS OFFCUTS LIST'!$D$2:$D$298=UPPER(TRIM(SUBSTITUTE(SUBSTITUTE($C$3,"   "," "),"  "," "))))*((('GLASS OFFCUTS LIST'!$A$2:$A$298&gt;=C309)*('GLASS OFFCUTS LIST'!$B$2:$B$298&gt;=D309))+(N(OR(E309=TRUE(),E309="Y",E309="y",E309="YES",E309="Yes"))*(('GLASS OFFCUTS LIST'!$A$2:$A$298&gt;=D309)*('GLASS OFFCUTS LIST'!$B$2:$B$298&gt;=C309)))&gt;0))&gt;0,1,0))</f>
        <v/>
      </c>
      <c r="H309" t="str">
        <f>IF(G309="","",SUM($G$7:G309))</f>
        <v/>
      </c>
    </row>
    <row r="310" spans="1:8" x14ac:dyDescent="0.2">
      <c r="A310" s="3">
        <v>304</v>
      </c>
      <c r="B310" s="4"/>
      <c r="C310" s="3"/>
      <c r="D310" s="3"/>
      <c r="E310" s="4"/>
      <c r="F310" s="4" t="str">
        <f>IF(OR($C$3="",C310="",D310=""),"",IF(G310=0,"NO",IF(H310&lt;=SUMPRODUCT(('GLASS OFFCUTS LIST'!$D$2:$D$298=UPPER(TRIM(SUBSTITUTE(SUBSTITUTE($C$3,"   "," "),"  "," "))))*((('GLASS OFFCUTS LIST'!$A$2:$A$298&gt;=C310)*('GLASS OFFCUTS LIST'!$B$2:$B$298&gt;=D310))+(N(OR(E310=TRUE(),E310="Y",E310="y",E310="YES",E310="Yes"))*(('GLASS OFFCUTS LIST'!$A$2:$A$298&gt;=D310)*('GLASS OFFCUTS LIST'!$B$2:$B$298&gt;=C310)))&gt;0)),"YES","NO")))</f>
        <v/>
      </c>
      <c r="G310" t="str">
        <f>IF(OR($C$3="",C310="",D310=""),"",IF(SUMPRODUCT(('GLASS OFFCUTS LIST'!$D$2:$D$298=UPPER(TRIM(SUBSTITUTE(SUBSTITUTE($C$3,"   "," "),"  "," "))))*((('GLASS OFFCUTS LIST'!$A$2:$A$298&gt;=C310)*('GLASS OFFCUTS LIST'!$B$2:$B$298&gt;=D310))+(N(OR(E310=TRUE(),E310="Y",E310="y",E310="YES",E310="Yes"))*(('GLASS OFFCUTS LIST'!$A$2:$A$298&gt;=D310)*('GLASS OFFCUTS LIST'!$B$2:$B$298&gt;=C310)))&gt;0))&gt;0,1,0))</f>
        <v/>
      </c>
      <c r="H310" t="str">
        <f>IF(G310="","",SUM($G$7:G310))</f>
        <v/>
      </c>
    </row>
    <row r="311" spans="1:8" x14ac:dyDescent="0.2">
      <c r="A311" s="3">
        <v>305</v>
      </c>
      <c r="B311" s="4"/>
      <c r="C311" s="3"/>
      <c r="D311" s="3"/>
      <c r="E311" s="4"/>
      <c r="F311" s="4" t="str">
        <f>IF(OR($C$3="",C311="",D311=""),"",IF(G311=0,"NO",IF(H311&lt;=SUMPRODUCT(('GLASS OFFCUTS LIST'!$D$2:$D$298=UPPER(TRIM(SUBSTITUTE(SUBSTITUTE($C$3,"   "," "),"  "," "))))*((('GLASS OFFCUTS LIST'!$A$2:$A$298&gt;=C311)*('GLASS OFFCUTS LIST'!$B$2:$B$298&gt;=D311))+(N(OR(E311=TRUE(),E311="Y",E311="y",E311="YES",E311="Yes"))*(('GLASS OFFCUTS LIST'!$A$2:$A$298&gt;=D311)*('GLASS OFFCUTS LIST'!$B$2:$B$298&gt;=C311)))&gt;0)),"YES","NO")))</f>
        <v/>
      </c>
      <c r="G311" t="str">
        <f>IF(OR($C$3="",C311="",D311=""),"",IF(SUMPRODUCT(('GLASS OFFCUTS LIST'!$D$2:$D$298=UPPER(TRIM(SUBSTITUTE(SUBSTITUTE($C$3,"   "," "),"  "," "))))*((('GLASS OFFCUTS LIST'!$A$2:$A$298&gt;=C311)*('GLASS OFFCUTS LIST'!$B$2:$B$298&gt;=D311))+(N(OR(E311=TRUE(),E311="Y",E311="y",E311="YES",E311="Yes"))*(('GLASS OFFCUTS LIST'!$A$2:$A$298&gt;=D311)*('GLASS OFFCUTS LIST'!$B$2:$B$298&gt;=C311)))&gt;0))&gt;0,1,0))</f>
        <v/>
      </c>
      <c r="H311" t="str">
        <f>IF(G311="","",SUM($G$7:G311))</f>
        <v/>
      </c>
    </row>
    <row r="312" spans="1:8" x14ac:dyDescent="0.2">
      <c r="A312" s="3">
        <v>306</v>
      </c>
      <c r="B312" s="4"/>
      <c r="C312" s="3"/>
      <c r="D312" s="3"/>
      <c r="E312" s="4"/>
      <c r="F312" s="4" t="str">
        <f>IF(OR($C$3="",C312="",D312=""),"",IF(G312=0,"NO",IF(H312&lt;=SUMPRODUCT(('GLASS OFFCUTS LIST'!$D$2:$D$298=UPPER(TRIM(SUBSTITUTE(SUBSTITUTE($C$3,"   "," "),"  "," "))))*((('GLASS OFFCUTS LIST'!$A$2:$A$298&gt;=C312)*('GLASS OFFCUTS LIST'!$B$2:$B$298&gt;=D312))+(N(OR(E312=TRUE(),E312="Y",E312="y",E312="YES",E312="Yes"))*(('GLASS OFFCUTS LIST'!$A$2:$A$298&gt;=D312)*('GLASS OFFCUTS LIST'!$B$2:$B$298&gt;=C312)))&gt;0)),"YES","NO")))</f>
        <v/>
      </c>
      <c r="G312" t="str">
        <f>IF(OR($C$3="",C312="",D312=""),"",IF(SUMPRODUCT(('GLASS OFFCUTS LIST'!$D$2:$D$298=UPPER(TRIM(SUBSTITUTE(SUBSTITUTE($C$3,"   "," "),"  "," "))))*((('GLASS OFFCUTS LIST'!$A$2:$A$298&gt;=C312)*('GLASS OFFCUTS LIST'!$B$2:$B$298&gt;=D312))+(N(OR(E312=TRUE(),E312="Y",E312="y",E312="YES",E312="Yes"))*(('GLASS OFFCUTS LIST'!$A$2:$A$298&gt;=D312)*('GLASS OFFCUTS LIST'!$B$2:$B$298&gt;=C312)))&gt;0))&gt;0,1,0))</f>
        <v/>
      </c>
      <c r="H312" t="str">
        <f>IF(G312="","",SUM($G$7:G312))</f>
        <v/>
      </c>
    </row>
    <row r="313" spans="1:8" x14ac:dyDescent="0.2">
      <c r="A313" s="3">
        <v>307</v>
      </c>
      <c r="B313" s="4"/>
      <c r="C313" s="3"/>
      <c r="D313" s="3"/>
      <c r="E313" s="4"/>
      <c r="F313" s="4" t="str">
        <f>IF(OR($C$3="",C313="",D313=""),"",IF(G313=0,"NO",IF(H313&lt;=SUMPRODUCT(('GLASS OFFCUTS LIST'!$D$2:$D$298=UPPER(TRIM(SUBSTITUTE(SUBSTITUTE($C$3,"   "," "),"  "," "))))*((('GLASS OFFCUTS LIST'!$A$2:$A$298&gt;=C313)*('GLASS OFFCUTS LIST'!$B$2:$B$298&gt;=D313))+(N(OR(E313=TRUE(),E313="Y",E313="y",E313="YES",E313="Yes"))*(('GLASS OFFCUTS LIST'!$A$2:$A$298&gt;=D313)*('GLASS OFFCUTS LIST'!$B$2:$B$298&gt;=C313)))&gt;0)),"YES","NO")))</f>
        <v/>
      </c>
      <c r="G313" t="str">
        <f>IF(OR($C$3="",C313="",D313=""),"",IF(SUMPRODUCT(('GLASS OFFCUTS LIST'!$D$2:$D$298=UPPER(TRIM(SUBSTITUTE(SUBSTITUTE($C$3,"   "," "),"  "," "))))*((('GLASS OFFCUTS LIST'!$A$2:$A$298&gt;=C313)*('GLASS OFFCUTS LIST'!$B$2:$B$298&gt;=D313))+(N(OR(E313=TRUE(),E313="Y",E313="y",E313="YES",E313="Yes"))*(('GLASS OFFCUTS LIST'!$A$2:$A$298&gt;=D313)*('GLASS OFFCUTS LIST'!$B$2:$B$298&gt;=C313)))&gt;0))&gt;0,1,0))</f>
        <v/>
      </c>
      <c r="H313" t="str">
        <f>IF(G313="","",SUM($G$7:G313))</f>
        <v/>
      </c>
    </row>
    <row r="314" spans="1:8" x14ac:dyDescent="0.2">
      <c r="A314" s="3">
        <v>308</v>
      </c>
      <c r="B314" s="4"/>
      <c r="C314" s="3"/>
      <c r="D314" s="3"/>
      <c r="E314" s="4"/>
      <c r="F314" s="4" t="str">
        <f>IF(OR($C$3="",C314="",D314=""),"",IF(G314=0,"NO",IF(H314&lt;=SUMPRODUCT(('GLASS OFFCUTS LIST'!$D$2:$D$298=UPPER(TRIM(SUBSTITUTE(SUBSTITUTE($C$3,"   "," "),"  "," "))))*((('GLASS OFFCUTS LIST'!$A$2:$A$298&gt;=C314)*('GLASS OFFCUTS LIST'!$B$2:$B$298&gt;=D314))+(N(OR(E314=TRUE(),E314="Y",E314="y",E314="YES",E314="Yes"))*(('GLASS OFFCUTS LIST'!$A$2:$A$298&gt;=D314)*('GLASS OFFCUTS LIST'!$B$2:$B$298&gt;=C314)))&gt;0)),"YES","NO")))</f>
        <v/>
      </c>
      <c r="G314" t="str">
        <f>IF(OR($C$3="",C314="",D314=""),"",IF(SUMPRODUCT(('GLASS OFFCUTS LIST'!$D$2:$D$298=UPPER(TRIM(SUBSTITUTE(SUBSTITUTE($C$3,"   "," "),"  "," "))))*((('GLASS OFFCUTS LIST'!$A$2:$A$298&gt;=C314)*('GLASS OFFCUTS LIST'!$B$2:$B$298&gt;=D314))+(N(OR(E314=TRUE(),E314="Y",E314="y",E314="YES",E314="Yes"))*(('GLASS OFFCUTS LIST'!$A$2:$A$298&gt;=D314)*('GLASS OFFCUTS LIST'!$B$2:$B$298&gt;=C314)))&gt;0))&gt;0,1,0))</f>
        <v/>
      </c>
      <c r="H314" t="str">
        <f>IF(G314="","",SUM($G$7:G314))</f>
        <v/>
      </c>
    </row>
    <row r="315" spans="1:8" x14ac:dyDescent="0.2">
      <c r="A315" s="3">
        <v>309</v>
      </c>
      <c r="B315" s="4"/>
      <c r="C315" s="3"/>
      <c r="D315" s="3"/>
      <c r="E315" s="4"/>
      <c r="F315" s="4" t="str">
        <f>IF(OR($C$3="",C315="",D315=""),"",IF(G315=0,"NO",IF(H315&lt;=SUMPRODUCT(('GLASS OFFCUTS LIST'!$D$2:$D$298=UPPER(TRIM(SUBSTITUTE(SUBSTITUTE($C$3,"   "," "),"  "," "))))*((('GLASS OFFCUTS LIST'!$A$2:$A$298&gt;=C315)*('GLASS OFFCUTS LIST'!$B$2:$B$298&gt;=D315))+(N(OR(E315=TRUE(),E315="Y",E315="y",E315="YES",E315="Yes"))*(('GLASS OFFCUTS LIST'!$A$2:$A$298&gt;=D315)*('GLASS OFFCUTS LIST'!$B$2:$B$298&gt;=C315)))&gt;0)),"YES","NO")))</f>
        <v/>
      </c>
      <c r="G315" t="str">
        <f>IF(OR($C$3="",C315="",D315=""),"",IF(SUMPRODUCT(('GLASS OFFCUTS LIST'!$D$2:$D$298=UPPER(TRIM(SUBSTITUTE(SUBSTITUTE($C$3,"   "," "),"  "," "))))*((('GLASS OFFCUTS LIST'!$A$2:$A$298&gt;=C315)*('GLASS OFFCUTS LIST'!$B$2:$B$298&gt;=D315))+(N(OR(E315=TRUE(),E315="Y",E315="y",E315="YES",E315="Yes"))*(('GLASS OFFCUTS LIST'!$A$2:$A$298&gt;=D315)*('GLASS OFFCUTS LIST'!$B$2:$B$298&gt;=C315)))&gt;0))&gt;0,1,0))</f>
        <v/>
      </c>
      <c r="H315" t="str">
        <f>IF(G315="","",SUM($G$7:G315))</f>
        <v/>
      </c>
    </row>
    <row r="316" spans="1:8" x14ac:dyDescent="0.2">
      <c r="A316" s="3">
        <v>310</v>
      </c>
      <c r="B316" s="4"/>
      <c r="C316" s="3"/>
      <c r="D316" s="3"/>
      <c r="E316" s="4"/>
      <c r="F316" s="4" t="str">
        <f>IF(OR($C$3="",C316="",D316=""),"",IF(G316=0,"NO",IF(H316&lt;=SUMPRODUCT(('GLASS OFFCUTS LIST'!$D$2:$D$298=UPPER(TRIM(SUBSTITUTE(SUBSTITUTE($C$3,"   "," "),"  "," "))))*((('GLASS OFFCUTS LIST'!$A$2:$A$298&gt;=C316)*('GLASS OFFCUTS LIST'!$B$2:$B$298&gt;=D316))+(N(OR(E316=TRUE(),E316="Y",E316="y",E316="YES",E316="Yes"))*(('GLASS OFFCUTS LIST'!$A$2:$A$298&gt;=D316)*('GLASS OFFCUTS LIST'!$B$2:$B$298&gt;=C316)))&gt;0)),"YES","NO")))</f>
        <v/>
      </c>
      <c r="G316" t="str">
        <f>IF(OR($C$3="",C316="",D316=""),"",IF(SUMPRODUCT(('GLASS OFFCUTS LIST'!$D$2:$D$298=UPPER(TRIM(SUBSTITUTE(SUBSTITUTE($C$3,"   "," "),"  "," "))))*((('GLASS OFFCUTS LIST'!$A$2:$A$298&gt;=C316)*('GLASS OFFCUTS LIST'!$B$2:$B$298&gt;=D316))+(N(OR(E316=TRUE(),E316="Y",E316="y",E316="YES",E316="Yes"))*(('GLASS OFFCUTS LIST'!$A$2:$A$298&gt;=D316)*('GLASS OFFCUTS LIST'!$B$2:$B$298&gt;=C316)))&gt;0))&gt;0,1,0))</f>
        <v/>
      </c>
      <c r="H316" t="str">
        <f>IF(G316="","",SUM($G$7:G316))</f>
        <v/>
      </c>
    </row>
    <row r="317" spans="1:8" x14ac:dyDescent="0.2">
      <c r="A317" s="3">
        <v>311</v>
      </c>
      <c r="B317" s="4"/>
      <c r="C317" s="3"/>
      <c r="D317" s="3"/>
      <c r="E317" s="4"/>
      <c r="F317" s="4" t="str">
        <f>IF(OR($C$3="",C317="",D317=""),"",IF(G317=0,"NO",IF(H317&lt;=SUMPRODUCT(('GLASS OFFCUTS LIST'!$D$2:$D$298=UPPER(TRIM(SUBSTITUTE(SUBSTITUTE($C$3,"   "," "),"  "," "))))*((('GLASS OFFCUTS LIST'!$A$2:$A$298&gt;=C317)*('GLASS OFFCUTS LIST'!$B$2:$B$298&gt;=D317))+(N(OR(E317=TRUE(),E317="Y",E317="y",E317="YES",E317="Yes"))*(('GLASS OFFCUTS LIST'!$A$2:$A$298&gt;=D317)*('GLASS OFFCUTS LIST'!$B$2:$B$298&gt;=C317)))&gt;0)),"YES","NO")))</f>
        <v/>
      </c>
      <c r="G317" t="str">
        <f>IF(OR($C$3="",C317="",D317=""),"",IF(SUMPRODUCT(('GLASS OFFCUTS LIST'!$D$2:$D$298=UPPER(TRIM(SUBSTITUTE(SUBSTITUTE($C$3,"   "," "),"  "," "))))*((('GLASS OFFCUTS LIST'!$A$2:$A$298&gt;=C317)*('GLASS OFFCUTS LIST'!$B$2:$B$298&gt;=D317))+(N(OR(E317=TRUE(),E317="Y",E317="y",E317="YES",E317="Yes"))*(('GLASS OFFCUTS LIST'!$A$2:$A$298&gt;=D317)*('GLASS OFFCUTS LIST'!$B$2:$B$298&gt;=C317)))&gt;0))&gt;0,1,0))</f>
        <v/>
      </c>
      <c r="H317" t="str">
        <f>IF(G317="","",SUM($G$7:G317))</f>
        <v/>
      </c>
    </row>
    <row r="318" spans="1:8" x14ac:dyDescent="0.2">
      <c r="A318" s="3">
        <v>312</v>
      </c>
      <c r="B318" s="4"/>
      <c r="C318" s="3"/>
      <c r="D318" s="3"/>
      <c r="E318" s="4"/>
      <c r="F318" s="4" t="str">
        <f>IF(OR($C$3="",C318="",D318=""),"",IF(G318=0,"NO",IF(H318&lt;=SUMPRODUCT(('GLASS OFFCUTS LIST'!$D$2:$D$298=UPPER(TRIM(SUBSTITUTE(SUBSTITUTE($C$3,"   "," "),"  "," "))))*((('GLASS OFFCUTS LIST'!$A$2:$A$298&gt;=C318)*('GLASS OFFCUTS LIST'!$B$2:$B$298&gt;=D318))+(N(OR(E318=TRUE(),E318="Y",E318="y",E318="YES",E318="Yes"))*(('GLASS OFFCUTS LIST'!$A$2:$A$298&gt;=D318)*('GLASS OFFCUTS LIST'!$B$2:$B$298&gt;=C318)))&gt;0)),"YES","NO")))</f>
        <v/>
      </c>
      <c r="G318" t="str">
        <f>IF(OR($C$3="",C318="",D318=""),"",IF(SUMPRODUCT(('GLASS OFFCUTS LIST'!$D$2:$D$298=UPPER(TRIM(SUBSTITUTE(SUBSTITUTE($C$3,"   "," "),"  "," "))))*((('GLASS OFFCUTS LIST'!$A$2:$A$298&gt;=C318)*('GLASS OFFCUTS LIST'!$B$2:$B$298&gt;=D318))+(N(OR(E318=TRUE(),E318="Y",E318="y",E318="YES",E318="Yes"))*(('GLASS OFFCUTS LIST'!$A$2:$A$298&gt;=D318)*('GLASS OFFCUTS LIST'!$B$2:$B$298&gt;=C318)))&gt;0))&gt;0,1,0))</f>
        <v/>
      </c>
      <c r="H318" t="str">
        <f>IF(G318="","",SUM($G$7:G318))</f>
        <v/>
      </c>
    </row>
    <row r="319" spans="1:8" x14ac:dyDescent="0.2">
      <c r="A319" s="3">
        <v>313</v>
      </c>
      <c r="B319" s="4"/>
      <c r="C319" s="3"/>
      <c r="D319" s="3"/>
      <c r="E319" s="4"/>
      <c r="F319" s="4" t="str">
        <f>IF(OR($C$3="",C319="",D319=""),"",IF(G319=0,"NO",IF(H319&lt;=SUMPRODUCT(('GLASS OFFCUTS LIST'!$D$2:$D$298=UPPER(TRIM(SUBSTITUTE(SUBSTITUTE($C$3,"   "," "),"  "," "))))*((('GLASS OFFCUTS LIST'!$A$2:$A$298&gt;=C319)*('GLASS OFFCUTS LIST'!$B$2:$B$298&gt;=D319))+(N(OR(E319=TRUE(),E319="Y",E319="y",E319="YES",E319="Yes"))*(('GLASS OFFCUTS LIST'!$A$2:$A$298&gt;=D319)*('GLASS OFFCUTS LIST'!$B$2:$B$298&gt;=C319)))&gt;0)),"YES","NO")))</f>
        <v/>
      </c>
      <c r="G319" t="str">
        <f>IF(OR($C$3="",C319="",D319=""),"",IF(SUMPRODUCT(('GLASS OFFCUTS LIST'!$D$2:$D$298=UPPER(TRIM(SUBSTITUTE(SUBSTITUTE($C$3,"   "," "),"  "," "))))*((('GLASS OFFCUTS LIST'!$A$2:$A$298&gt;=C319)*('GLASS OFFCUTS LIST'!$B$2:$B$298&gt;=D319))+(N(OR(E319=TRUE(),E319="Y",E319="y",E319="YES",E319="Yes"))*(('GLASS OFFCUTS LIST'!$A$2:$A$298&gt;=D319)*('GLASS OFFCUTS LIST'!$B$2:$B$298&gt;=C319)))&gt;0))&gt;0,1,0))</f>
        <v/>
      </c>
      <c r="H319" t="str">
        <f>IF(G319="","",SUM($G$7:G319))</f>
        <v/>
      </c>
    </row>
    <row r="320" spans="1:8" x14ac:dyDescent="0.2">
      <c r="A320" s="3">
        <v>314</v>
      </c>
      <c r="B320" s="4"/>
      <c r="C320" s="3"/>
      <c r="D320" s="3"/>
      <c r="E320" s="4"/>
      <c r="F320" s="4" t="str">
        <f>IF(OR($C$3="",C320="",D320=""),"",IF(G320=0,"NO",IF(H320&lt;=SUMPRODUCT(('GLASS OFFCUTS LIST'!$D$2:$D$298=UPPER(TRIM(SUBSTITUTE(SUBSTITUTE($C$3,"   "," "),"  "," "))))*((('GLASS OFFCUTS LIST'!$A$2:$A$298&gt;=C320)*('GLASS OFFCUTS LIST'!$B$2:$B$298&gt;=D320))+(N(OR(E320=TRUE(),E320="Y",E320="y",E320="YES",E320="Yes"))*(('GLASS OFFCUTS LIST'!$A$2:$A$298&gt;=D320)*('GLASS OFFCUTS LIST'!$B$2:$B$298&gt;=C320)))&gt;0)),"YES","NO")))</f>
        <v/>
      </c>
      <c r="G320" t="str">
        <f>IF(OR($C$3="",C320="",D320=""),"",IF(SUMPRODUCT(('GLASS OFFCUTS LIST'!$D$2:$D$298=UPPER(TRIM(SUBSTITUTE(SUBSTITUTE($C$3,"   "," "),"  "," "))))*((('GLASS OFFCUTS LIST'!$A$2:$A$298&gt;=C320)*('GLASS OFFCUTS LIST'!$B$2:$B$298&gt;=D320))+(N(OR(E320=TRUE(),E320="Y",E320="y",E320="YES",E320="Yes"))*(('GLASS OFFCUTS LIST'!$A$2:$A$298&gt;=D320)*('GLASS OFFCUTS LIST'!$B$2:$B$298&gt;=C320)))&gt;0))&gt;0,1,0))</f>
        <v/>
      </c>
      <c r="H320" t="str">
        <f>IF(G320="","",SUM($G$7:G320))</f>
        <v/>
      </c>
    </row>
    <row r="321" spans="1:8" x14ac:dyDescent="0.2">
      <c r="A321" s="3">
        <v>315</v>
      </c>
      <c r="B321" s="4"/>
      <c r="C321" s="3"/>
      <c r="D321" s="3"/>
      <c r="E321" s="4"/>
      <c r="F321" s="4" t="str">
        <f>IF(OR($C$3="",C321="",D321=""),"",IF(G321=0,"NO",IF(H321&lt;=SUMPRODUCT(('GLASS OFFCUTS LIST'!$D$2:$D$298=UPPER(TRIM(SUBSTITUTE(SUBSTITUTE($C$3,"   "," "),"  "," "))))*((('GLASS OFFCUTS LIST'!$A$2:$A$298&gt;=C321)*('GLASS OFFCUTS LIST'!$B$2:$B$298&gt;=D321))+(N(OR(E321=TRUE(),E321="Y",E321="y",E321="YES",E321="Yes"))*(('GLASS OFFCUTS LIST'!$A$2:$A$298&gt;=D321)*('GLASS OFFCUTS LIST'!$B$2:$B$298&gt;=C321)))&gt;0)),"YES","NO")))</f>
        <v/>
      </c>
      <c r="G321" t="str">
        <f>IF(OR($C$3="",C321="",D321=""),"",IF(SUMPRODUCT(('GLASS OFFCUTS LIST'!$D$2:$D$298=UPPER(TRIM(SUBSTITUTE(SUBSTITUTE($C$3,"   "," "),"  "," "))))*((('GLASS OFFCUTS LIST'!$A$2:$A$298&gt;=C321)*('GLASS OFFCUTS LIST'!$B$2:$B$298&gt;=D321))+(N(OR(E321=TRUE(),E321="Y",E321="y",E321="YES",E321="Yes"))*(('GLASS OFFCUTS LIST'!$A$2:$A$298&gt;=D321)*('GLASS OFFCUTS LIST'!$B$2:$B$298&gt;=C321)))&gt;0))&gt;0,1,0))</f>
        <v/>
      </c>
      <c r="H321" t="str">
        <f>IF(G321="","",SUM($G$7:G321))</f>
        <v/>
      </c>
    </row>
    <row r="322" spans="1:8" x14ac:dyDescent="0.2">
      <c r="A322" s="3">
        <v>316</v>
      </c>
      <c r="B322" s="4"/>
      <c r="C322" s="3"/>
      <c r="D322" s="3"/>
      <c r="E322" s="4"/>
      <c r="F322" s="4" t="str">
        <f>IF(OR($C$3="",C322="",D322=""),"",IF(G322=0,"NO",IF(H322&lt;=SUMPRODUCT(('GLASS OFFCUTS LIST'!$D$2:$D$298=UPPER(TRIM(SUBSTITUTE(SUBSTITUTE($C$3,"   "," "),"  "," "))))*((('GLASS OFFCUTS LIST'!$A$2:$A$298&gt;=C322)*('GLASS OFFCUTS LIST'!$B$2:$B$298&gt;=D322))+(N(OR(E322=TRUE(),E322="Y",E322="y",E322="YES",E322="Yes"))*(('GLASS OFFCUTS LIST'!$A$2:$A$298&gt;=D322)*('GLASS OFFCUTS LIST'!$B$2:$B$298&gt;=C322)))&gt;0)),"YES","NO")))</f>
        <v/>
      </c>
      <c r="G322" t="str">
        <f>IF(OR($C$3="",C322="",D322=""),"",IF(SUMPRODUCT(('GLASS OFFCUTS LIST'!$D$2:$D$298=UPPER(TRIM(SUBSTITUTE(SUBSTITUTE($C$3,"   "," "),"  "," "))))*((('GLASS OFFCUTS LIST'!$A$2:$A$298&gt;=C322)*('GLASS OFFCUTS LIST'!$B$2:$B$298&gt;=D322))+(N(OR(E322=TRUE(),E322="Y",E322="y",E322="YES",E322="Yes"))*(('GLASS OFFCUTS LIST'!$A$2:$A$298&gt;=D322)*('GLASS OFFCUTS LIST'!$B$2:$B$298&gt;=C322)))&gt;0))&gt;0,1,0))</f>
        <v/>
      </c>
      <c r="H322" t="str">
        <f>IF(G322="","",SUM($G$7:G322))</f>
        <v/>
      </c>
    </row>
    <row r="323" spans="1:8" x14ac:dyDescent="0.2">
      <c r="A323" s="3">
        <v>317</v>
      </c>
      <c r="B323" s="4"/>
      <c r="C323" s="3"/>
      <c r="D323" s="3"/>
      <c r="E323" s="4"/>
      <c r="F323" s="4" t="str">
        <f>IF(OR($C$3="",C323="",D323=""),"",IF(G323=0,"NO",IF(H323&lt;=SUMPRODUCT(('GLASS OFFCUTS LIST'!$D$2:$D$298=UPPER(TRIM(SUBSTITUTE(SUBSTITUTE($C$3,"   "," "),"  "," "))))*((('GLASS OFFCUTS LIST'!$A$2:$A$298&gt;=C323)*('GLASS OFFCUTS LIST'!$B$2:$B$298&gt;=D323))+(N(OR(E323=TRUE(),E323="Y",E323="y",E323="YES",E323="Yes"))*(('GLASS OFFCUTS LIST'!$A$2:$A$298&gt;=D323)*('GLASS OFFCUTS LIST'!$B$2:$B$298&gt;=C323)))&gt;0)),"YES","NO")))</f>
        <v/>
      </c>
      <c r="G323" t="str">
        <f>IF(OR($C$3="",C323="",D323=""),"",IF(SUMPRODUCT(('GLASS OFFCUTS LIST'!$D$2:$D$298=UPPER(TRIM(SUBSTITUTE(SUBSTITUTE($C$3,"   "," "),"  "," "))))*((('GLASS OFFCUTS LIST'!$A$2:$A$298&gt;=C323)*('GLASS OFFCUTS LIST'!$B$2:$B$298&gt;=D323))+(N(OR(E323=TRUE(),E323="Y",E323="y",E323="YES",E323="Yes"))*(('GLASS OFFCUTS LIST'!$A$2:$A$298&gt;=D323)*('GLASS OFFCUTS LIST'!$B$2:$B$298&gt;=C323)))&gt;0))&gt;0,1,0))</f>
        <v/>
      </c>
      <c r="H323" t="str">
        <f>IF(G323="","",SUM($G$7:G323))</f>
        <v/>
      </c>
    </row>
    <row r="324" spans="1:8" x14ac:dyDescent="0.2">
      <c r="A324" s="3">
        <v>318</v>
      </c>
      <c r="B324" s="4"/>
      <c r="C324" s="3"/>
      <c r="D324" s="3"/>
      <c r="E324" s="4"/>
      <c r="F324" s="4" t="str">
        <f>IF(OR($C$3="",C324="",D324=""),"",IF(G324=0,"NO",IF(H324&lt;=SUMPRODUCT(('GLASS OFFCUTS LIST'!$D$2:$D$298=UPPER(TRIM(SUBSTITUTE(SUBSTITUTE($C$3,"   "," "),"  "," "))))*((('GLASS OFFCUTS LIST'!$A$2:$A$298&gt;=C324)*('GLASS OFFCUTS LIST'!$B$2:$B$298&gt;=D324))+(N(OR(E324=TRUE(),E324="Y",E324="y",E324="YES",E324="Yes"))*(('GLASS OFFCUTS LIST'!$A$2:$A$298&gt;=D324)*('GLASS OFFCUTS LIST'!$B$2:$B$298&gt;=C324)))&gt;0)),"YES","NO")))</f>
        <v/>
      </c>
      <c r="G324" t="str">
        <f>IF(OR($C$3="",C324="",D324=""),"",IF(SUMPRODUCT(('GLASS OFFCUTS LIST'!$D$2:$D$298=UPPER(TRIM(SUBSTITUTE(SUBSTITUTE($C$3,"   "," "),"  "," "))))*((('GLASS OFFCUTS LIST'!$A$2:$A$298&gt;=C324)*('GLASS OFFCUTS LIST'!$B$2:$B$298&gt;=D324))+(N(OR(E324=TRUE(),E324="Y",E324="y",E324="YES",E324="Yes"))*(('GLASS OFFCUTS LIST'!$A$2:$A$298&gt;=D324)*('GLASS OFFCUTS LIST'!$B$2:$B$298&gt;=C324)))&gt;0))&gt;0,1,0))</f>
        <v/>
      </c>
      <c r="H324" t="str">
        <f>IF(G324="","",SUM($G$7:G324))</f>
        <v/>
      </c>
    </row>
    <row r="325" spans="1:8" x14ac:dyDescent="0.2">
      <c r="A325" s="3">
        <v>319</v>
      </c>
      <c r="B325" s="4"/>
      <c r="C325" s="3"/>
      <c r="D325" s="3"/>
      <c r="E325" s="4"/>
      <c r="F325" s="4" t="str">
        <f>IF(OR($C$3="",C325="",D325=""),"",IF(G325=0,"NO",IF(H325&lt;=SUMPRODUCT(('GLASS OFFCUTS LIST'!$D$2:$D$298=UPPER(TRIM(SUBSTITUTE(SUBSTITUTE($C$3,"   "," "),"  "," "))))*((('GLASS OFFCUTS LIST'!$A$2:$A$298&gt;=C325)*('GLASS OFFCUTS LIST'!$B$2:$B$298&gt;=D325))+(N(OR(E325=TRUE(),E325="Y",E325="y",E325="YES",E325="Yes"))*(('GLASS OFFCUTS LIST'!$A$2:$A$298&gt;=D325)*('GLASS OFFCUTS LIST'!$B$2:$B$298&gt;=C325)))&gt;0)),"YES","NO")))</f>
        <v/>
      </c>
      <c r="G325" t="str">
        <f>IF(OR($C$3="",C325="",D325=""),"",IF(SUMPRODUCT(('GLASS OFFCUTS LIST'!$D$2:$D$298=UPPER(TRIM(SUBSTITUTE(SUBSTITUTE($C$3,"   "," "),"  "," "))))*((('GLASS OFFCUTS LIST'!$A$2:$A$298&gt;=C325)*('GLASS OFFCUTS LIST'!$B$2:$B$298&gt;=D325))+(N(OR(E325=TRUE(),E325="Y",E325="y",E325="YES",E325="Yes"))*(('GLASS OFFCUTS LIST'!$A$2:$A$298&gt;=D325)*('GLASS OFFCUTS LIST'!$B$2:$B$298&gt;=C325)))&gt;0))&gt;0,1,0))</f>
        <v/>
      </c>
      <c r="H325" t="str">
        <f>IF(G325="","",SUM($G$7:G325))</f>
        <v/>
      </c>
    </row>
    <row r="326" spans="1:8" x14ac:dyDescent="0.2">
      <c r="A326" s="3">
        <v>320</v>
      </c>
      <c r="B326" s="4"/>
      <c r="C326" s="3"/>
      <c r="D326" s="3"/>
      <c r="E326" s="4"/>
      <c r="F326" s="4" t="str">
        <f>IF(OR($C$3="",C326="",D326=""),"",IF(G326=0,"NO",IF(H326&lt;=SUMPRODUCT(('GLASS OFFCUTS LIST'!$D$2:$D$298=UPPER(TRIM(SUBSTITUTE(SUBSTITUTE($C$3,"   "," "),"  "," "))))*((('GLASS OFFCUTS LIST'!$A$2:$A$298&gt;=C326)*('GLASS OFFCUTS LIST'!$B$2:$B$298&gt;=D326))+(N(OR(E326=TRUE(),E326="Y",E326="y",E326="YES",E326="Yes"))*(('GLASS OFFCUTS LIST'!$A$2:$A$298&gt;=D326)*('GLASS OFFCUTS LIST'!$B$2:$B$298&gt;=C326)))&gt;0)),"YES","NO")))</f>
        <v/>
      </c>
      <c r="G326" t="str">
        <f>IF(OR($C$3="",C326="",D326=""),"",IF(SUMPRODUCT(('GLASS OFFCUTS LIST'!$D$2:$D$298=UPPER(TRIM(SUBSTITUTE(SUBSTITUTE($C$3,"   "," "),"  "," "))))*((('GLASS OFFCUTS LIST'!$A$2:$A$298&gt;=C326)*('GLASS OFFCUTS LIST'!$B$2:$B$298&gt;=D326))+(N(OR(E326=TRUE(),E326="Y",E326="y",E326="YES",E326="Yes"))*(('GLASS OFFCUTS LIST'!$A$2:$A$298&gt;=D326)*('GLASS OFFCUTS LIST'!$B$2:$B$298&gt;=C326)))&gt;0))&gt;0,1,0))</f>
        <v/>
      </c>
      <c r="H326" t="str">
        <f>IF(G326="","",SUM($G$7:G326))</f>
        <v/>
      </c>
    </row>
    <row r="327" spans="1:8" x14ac:dyDescent="0.2">
      <c r="A327" s="3">
        <v>321</v>
      </c>
      <c r="B327" s="4"/>
      <c r="C327" s="3"/>
      <c r="D327" s="3"/>
      <c r="E327" s="4"/>
      <c r="F327" s="4" t="str">
        <f>IF(OR($C$3="",C327="",D327=""),"",IF(G327=0,"NO",IF(H327&lt;=SUMPRODUCT(('GLASS OFFCUTS LIST'!$D$2:$D$298=UPPER(TRIM(SUBSTITUTE(SUBSTITUTE($C$3,"   "," "),"  "," "))))*((('GLASS OFFCUTS LIST'!$A$2:$A$298&gt;=C327)*('GLASS OFFCUTS LIST'!$B$2:$B$298&gt;=D327))+(N(OR(E327=TRUE(),E327="Y",E327="y",E327="YES",E327="Yes"))*(('GLASS OFFCUTS LIST'!$A$2:$A$298&gt;=D327)*('GLASS OFFCUTS LIST'!$B$2:$B$298&gt;=C327)))&gt;0)),"YES","NO")))</f>
        <v/>
      </c>
      <c r="G327" t="str">
        <f>IF(OR($C$3="",C327="",D327=""),"",IF(SUMPRODUCT(('GLASS OFFCUTS LIST'!$D$2:$D$298=UPPER(TRIM(SUBSTITUTE(SUBSTITUTE($C$3,"   "," "),"  "," "))))*((('GLASS OFFCUTS LIST'!$A$2:$A$298&gt;=C327)*('GLASS OFFCUTS LIST'!$B$2:$B$298&gt;=D327))+(N(OR(E327=TRUE(),E327="Y",E327="y",E327="YES",E327="Yes"))*(('GLASS OFFCUTS LIST'!$A$2:$A$298&gt;=D327)*('GLASS OFFCUTS LIST'!$B$2:$B$298&gt;=C327)))&gt;0))&gt;0,1,0))</f>
        <v/>
      </c>
      <c r="H327" t="str">
        <f>IF(G327="","",SUM($G$7:G327))</f>
        <v/>
      </c>
    </row>
    <row r="328" spans="1:8" x14ac:dyDescent="0.2">
      <c r="A328" s="3">
        <v>322</v>
      </c>
      <c r="B328" s="4"/>
      <c r="C328" s="3"/>
      <c r="D328" s="3"/>
      <c r="E328" s="4"/>
      <c r="F328" s="4" t="str">
        <f>IF(OR($C$3="",C328="",D328=""),"",IF(G328=0,"NO",IF(H328&lt;=SUMPRODUCT(('GLASS OFFCUTS LIST'!$D$2:$D$298=UPPER(TRIM(SUBSTITUTE(SUBSTITUTE($C$3,"   "," "),"  "," "))))*((('GLASS OFFCUTS LIST'!$A$2:$A$298&gt;=C328)*('GLASS OFFCUTS LIST'!$B$2:$B$298&gt;=D328))+(N(OR(E328=TRUE(),E328="Y",E328="y",E328="YES",E328="Yes"))*(('GLASS OFFCUTS LIST'!$A$2:$A$298&gt;=D328)*('GLASS OFFCUTS LIST'!$B$2:$B$298&gt;=C328)))&gt;0)),"YES","NO")))</f>
        <v/>
      </c>
      <c r="G328" t="str">
        <f>IF(OR($C$3="",C328="",D328=""),"",IF(SUMPRODUCT(('GLASS OFFCUTS LIST'!$D$2:$D$298=UPPER(TRIM(SUBSTITUTE(SUBSTITUTE($C$3,"   "," "),"  "," "))))*((('GLASS OFFCUTS LIST'!$A$2:$A$298&gt;=C328)*('GLASS OFFCUTS LIST'!$B$2:$B$298&gt;=D328))+(N(OR(E328=TRUE(),E328="Y",E328="y",E328="YES",E328="Yes"))*(('GLASS OFFCUTS LIST'!$A$2:$A$298&gt;=D328)*('GLASS OFFCUTS LIST'!$B$2:$B$298&gt;=C328)))&gt;0))&gt;0,1,0))</f>
        <v/>
      </c>
      <c r="H328" t="str">
        <f>IF(G328="","",SUM($G$7:G328))</f>
        <v/>
      </c>
    </row>
    <row r="329" spans="1:8" x14ac:dyDescent="0.2">
      <c r="A329" s="3">
        <v>323</v>
      </c>
      <c r="B329" s="4"/>
      <c r="C329" s="3"/>
      <c r="D329" s="3"/>
      <c r="E329" s="4"/>
      <c r="F329" s="4" t="str">
        <f>IF(OR($C$3="",C329="",D329=""),"",IF(G329=0,"NO",IF(H329&lt;=SUMPRODUCT(('GLASS OFFCUTS LIST'!$D$2:$D$298=UPPER(TRIM(SUBSTITUTE(SUBSTITUTE($C$3,"   "," "),"  "," "))))*((('GLASS OFFCUTS LIST'!$A$2:$A$298&gt;=C329)*('GLASS OFFCUTS LIST'!$B$2:$B$298&gt;=D329))+(N(OR(E329=TRUE(),E329="Y",E329="y",E329="YES",E329="Yes"))*(('GLASS OFFCUTS LIST'!$A$2:$A$298&gt;=D329)*('GLASS OFFCUTS LIST'!$B$2:$B$298&gt;=C329)))&gt;0)),"YES","NO")))</f>
        <v/>
      </c>
      <c r="G329" t="str">
        <f>IF(OR($C$3="",C329="",D329=""),"",IF(SUMPRODUCT(('GLASS OFFCUTS LIST'!$D$2:$D$298=UPPER(TRIM(SUBSTITUTE(SUBSTITUTE($C$3,"   "," "),"  "," "))))*((('GLASS OFFCUTS LIST'!$A$2:$A$298&gt;=C329)*('GLASS OFFCUTS LIST'!$B$2:$B$298&gt;=D329))+(N(OR(E329=TRUE(),E329="Y",E329="y",E329="YES",E329="Yes"))*(('GLASS OFFCUTS LIST'!$A$2:$A$298&gt;=D329)*('GLASS OFFCUTS LIST'!$B$2:$B$298&gt;=C329)))&gt;0))&gt;0,1,0))</f>
        <v/>
      </c>
      <c r="H329" t="str">
        <f>IF(G329="","",SUM($G$7:G329))</f>
        <v/>
      </c>
    </row>
    <row r="330" spans="1:8" x14ac:dyDescent="0.2">
      <c r="A330" s="3">
        <v>324</v>
      </c>
      <c r="B330" s="4"/>
      <c r="C330" s="3"/>
      <c r="D330" s="3"/>
      <c r="E330" s="4"/>
      <c r="F330" s="4" t="str">
        <f>IF(OR($C$3="",C330="",D330=""),"",IF(G330=0,"NO",IF(H330&lt;=SUMPRODUCT(('GLASS OFFCUTS LIST'!$D$2:$D$298=UPPER(TRIM(SUBSTITUTE(SUBSTITUTE($C$3,"   "," "),"  "," "))))*((('GLASS OFFCUTS LIST'!$A$2:$A$298&gt;=C330)*('GLASS OFFCUTS LIST'!$B$2:$B$298&gt;=D330))+(N(OR(E330=TRUE(),E330="Y",E330="y",E330="YES",E330="Yes"))*(('GLASS OFFCUTS LIST'!$A$2:$A$298&gt;=D330)*('GLASS OFFCUTS LIST'!$B$2:$B$298&gt;=C330)))&gt;0)),"YES","NO")))</f>
        <v/>
      </c>
      <c r="G330" t="str">
        <f>IF(OR($C$3="",C330="",D330=""),"",IF(SUMPRODUCT(('GLASS OFFCUTS LIST'!$D$2:$D$298=UPPER(TRIM(SUBSTITUTE(SUBSTITUTE($C$3,"   "," "),"  "," "))))*((('GLASS OFFCUTS LIST'!$A$2:$A$298&gt;=C330)*('GLASS OFFCUTS LIST'!$B$2:$B$298&gt;=D330))+(N(OR(E330=TRUE(),E330="Y",E330="y",E330="YES",E330="Yes"))*(('GLASS OFFCUTS LIST'!$A$2:$A$298&gt;=D330)*('GLASS OFFCUTS LIST'!$B$2:$B$298&gt;=C330)))&gt;0))&gt;0,1,0))</f>
        <v/>
      </c>
      <c r="H330" t="str">
        <f>IF(G330="","",SUM($G$7:G330))</f>
        <v/>
      </c>
    </row>
    <row r="331" spans="1:8" x14ac:dyDescent="0.2">
      <c r="A331" s="3">
        <v>325</v>
      </c>
      <c r="B331" s="4"/>
      <c r="C331" s="3"/>
      <c r="D331" s="3"/>
      <c r="E331" s="4"/>
      <c r="F331" s="4" t="str">
        <f>IF(OR($C$3="",C331="",D331=""),"",IF(G331=0,"NO",IF(H331&lt;=SUMPRODUCT(('GLASS OFFCUTS LIST'!$D$2:$D$298=UPPER(TRIM(SUBSTITUTE(SUBSTITUTE($C$3,"   "," "),"  "," "))))*((('GLASS OFFCUTS LIST'!$A$2:$A$298&gt;=C331)*('GLASS OFFCUTS LIST'!$B$2:$B$298&gt;=D331))+(N(OR(E331=TRUE(),E331="Y",E331="y",E331="YES",E331="Yes"))*(('GLASS OFFCUTS LIST'!$A$2:$A$298&gt;=D331)*('GLASS OFFCUTS LIST'!$B$2:$B$298&gt;=C331)))&gt;0)),"YES","NO")))</f>
        <v/>
      </c>
      <c r="G331" t="str">
        <f>IF(OR($C$3="",C331="",D331=""),"",IF(SUMPRODUCT(('GLASS OFFCUTS LIST'!$D$2:$D$298=UPPER(TRIM(SUBSTITUTE(SUBSTITUTE($C$3,"   "," "),"  "," "))))*((('GLASS OFFCUTS LIST'!$A$2:$A$298&gt;=C331)*('GLASS OFFCUTS LIST'!$B$2:$B$298&gt;=D331))+(N(OR(E331=TRUE(),E331="Y",E331="y",E331="YES",E331="Yes"))*(('GLASS OFFCUTS LIST'!$A$2:$A$298&gt;=D331)*('GLASS OFFCUTS LIST'!$B$2:$B$298&gt;=C331)))&gt;0))&gt;0,1,0))</f>
        <v/>
      </c>
      <c r="H331" t="str">
        <f>IF(G331="","",SUM($G$7:G331))</f>
        <v/>
      </c>
    </row>
    <row r="332" spans="1:8" x14ac:dyDescent="0.2">
      <c r="A332" s="3">
        <v>326</v>
      </c>
      <c r="B332" s="4"/>
      <c r="C332" s="3"/>
      <c r="D332" s="3"/>
      <c r="E332" s="4"/>
      <c r="F332" s="4" t="str">
        <f>IF(OR($C$3="",C332="",D332=""),"",IF(G332=0,"NO",IF(H332&lt;=SUMPRODUCT(('GLASS OFFCUTS LIST'!$D$2:$D$298=UPPER(TRIM(SUBSTITUTE(SUBSTITUTE($C$3,"   "," "),"  "," "))))*((('GLASS OFFCUTS LIST'!$A$2:$A$298&gt;=C332)*('GLASS OFFCUTS LIST'!$B$2:$B$298&gt;=D332))+(N(OR(E332=TRUE(),E332="Y",E332="y",E332="YES",E332="Yes"))*(('GLASS OFFCUTS LIST'!$A$2:$A$298&gt;=D332)*('GLASS OFFCUTS LIST'!$B$2:$B$298&gt;=C332)))&gt;0)),"YES","NO")))</f>
        <v/>
      </c>
      <c r="G332" t="str">
        <f>IF(OR($C$3="",C332="",D332=""),"",IF(SUMPRODUCT(('GLASS OFFCUTS LIST'!$D$2:$D$298=UPPER(TRIM(SUBSTITUTE(SUBSTITUTE($C$3,"   "," "),"  "," "))))*((('GLASS OFFCUTS LIST'!$A$2:$A$298&gt;=C332)*('GLASS OFFCUTS LIST'!$B$2:$B$298&gt;=D332))+(N(OR(E332=TRUE(),E332="Y",E332="y",E332="YES",E332="Yes"))*(('GLASS OFFCUTS LIST'!$A$2:$A$298&gt;=D332)*('GLASS OFFCUTS LIST'!$B$2:$B$298&gt;=C332)))&gt;0))&gt;0,1,0))</f>
        <v/>
      </c>
      <c r="H332" t="str">
        <f>IF(G332="","",SUM($G$7:G332))</f>
        <v/>
      </c>
    </row>
    <row r="333" spans="1:8" x14ac:dyDescent="0.2">
      <c r="A333" s="3">
        <v>327</v>
      </c>
      <c r="B333" s="4"/>
      <c r="C333" s="3"/>
      <c r="D333" s="3"/>
      <c r="E333" s="4"/>
      <c r="F333" s="4" t="str">
        <f>IF(OR($C$3="",C333="",D333=""),"",IF(G333=0,"NO",IF(H333&lt;=SUMPRODUCT(('GLASS OFFCUTS LIST'!$D$2:$D$298=UPPER(TRIM(SUBSTITUTE(SUBSTITUTE($C$3,"   "," "),"  "," "))))*((('GLASS OFFCUTS LIST'!$A$2:$A$298&gt;=C333)*('GLASS OFFCUTS LIST'!$B$2:$B$298&gt;=D333))+(N(OR(E333=TRUE(),E333="Y",E333="y",E333="YES",E333="Yes"))*(('GLASS OFFCUTS LIST'!$A$2:$A$298&gt;=D333)*('GLASS OFFCUTS LIST'!$B$2:$B$298&gt;=C333)))&gt;0)),"YES","NO")))</f>
        <v/>
      </c>
      <c r="G333" t="str">
        <f>IF(OR($C$3="",C333="",D333=""),"",IF(SUMPRODUCT(('GLASS OFFCUTS LIST'!$D$2:$D$298=UPPER(TRIM(SUBSTITUTE(SUBSTITUTE($C$3,"   "," "),"  "," "))))*((('GLASS OFFCUTS LIST'!$A$2:$A$298&gt;=C333)*('GLASS OFFCUTS LIST'!$B$2:$B$298&gt;=D333))+(N(OR(E333=TRUE(),E333="Y",E333="y",E333="YES",E333="Yes"))*(('GLASS OFFCUTS LIST'!$A$2:$A$298&gt;=D333)*('GLASS OFFCUTS LIST'!$B$2:$B$298&gt;=C333)))&gt;0))&gt;0,1,0))</f>
        <v/>
      </c>
      <c r="H333" t="str">
        <f>IF(G333="","",SUM($G$7:G333))</f>
        <v/>
      </c>
    </row>
    <row r="334" spans="1:8" x14ac:dyDescent="0.2">
      <c r="A334" s="3">
        <v>328</v>
      </c>
      <c r="B334" s="4"/>
      <c r="C334" s="3"/>
      <c r="D334" s="3"/>
      <c r="E334" s="4"/>
      <c r="F334" s="4" t="str">
        <f>IF(OR($C$3="",C334="",D334=""),"",IF(G334=0,"NO",IF(H334&lt;=SUMPRODUCT(('GLASS OFFCUTS LIST'!$D$2:$D$298=UPPER(TRIM(SUBSTITUTE(SUBSTITUTE($C$3,"   "," "),"  "," "))))*((('GLASS OFFCUTS LIST'!$A$2:$A$298&gt;=C334)*('GLASS OFFCUTS LIST'!$B$2:$B$298&gt;=D334))+(N(OR(E334=TRUE(),E334="Y",E334="y",E334="YES",E334="Yes"))*(('GLASS OFFCUTS LIST'!$A$2:$A$298&gt;=D334)*('GLASS OFFCUTS LIST'!$B$2:$B$298&gt;=C334)))&gt;0)),"YES","NO")))</f>
        <v/>
      </c>
      <c r="G334" t="str">
        <f>IF(OR($C$3="",C334="",D334=""),"",IF(SUMPRODUCT(('GLASS OFFCUTS LIST'!$D$2:$D$298=UPPER(TRIM(SUBSTITUTE(SUBSTITUTE($C$3,"   "," "),"  "," "))))*((('GLASS OFFCUTS LIST'!$A$2:$A$298&gt;=C334)*('GLASS OFFCUTS LIST'!$B$2:$B$298&gt;=D334))+(N(OR(E334=TRUE(),E334="Y",E334="y",E334="YES",E334="Yes"))*(('GLASS OFFCUTS LIST'!$A$2:$A$298&gt;=D334)*('GLASS OFFCUTS LIST'!$B$2:$B$298&gt;=C334)))&gt;0))&gt;0,1,0))</f>
        <v/>
      </c>
      <c r="H334" t="str">
        <f>IF(G334="","",SUM($G$7:G334))</f>
        <v/>
      </c>
    </row>
    <row r="335" spans="1:8" x14ac:dyDescent="0.2">
      <c r="A335" s="3">
        <v>329</v>
      </c>
      <c r="B335" s="4"/>
      <c r="C335" s="3"/>
      <c r="D335" s="3"/>
      <c r="E335" s="4"/>
      <c r="F335" s="4" t="str">
        <f>IF(OR($C$3="",C335="",D335=""),"",IF(G335=0,"NO",IF(H335&lt;=SUMPRODUCT(('GLASS OFFCUTS LIST'!$D$2:$D$298=UPPER(TRIM(SUBSTITUTE(SUBSTITUTE($C$3,"   "," "),"  "," "))))*((('GLASS OFFCUTS LIST'!$A$2:$A$298&gt;=C335)*('GLASS OFFCUTS LIST'!$B$2:$B$298&gt;=D335))+(N(OR(E335=TRUE(),E335="Y",E335="y",E335="YES",E335="Yes"))*(('GLASS OFFCUTS LIST'!$A$2:$A$298&gt;=D335)*('GLASS OFFCUTS LIST'!$B$2:$B$298&gt;=C335)))&gt;0)),"YES","NO")))</f>
        <v/>
      </c>
      <c r="G335" t="str">
        <f>IF(OR($C$3="",C335="",D335=""),"",IF(SUMPRODUCT(('GLASS OFFCUTS LIST'!$D$2:$D$298=UPPER(TRIM(SUBSTITUTE(SUBSTITUTE($C$3,"   "," "),"  "," "))))*((('GLASS OFFCUTS LIST'!$A$2:$A$298&gt;=C335)*('GLASS OFFCUTS LIST'!$B$2:$B$298&gt;=D335))+(N(OR(E335=TRUE(),E335="Y",E335="y",E335="YES",E335="Yes"))*(('GLASS OFFCUTS LIST'!$A$2:$A$298&gt;=D335)*('GLASS OFFCUTS LIST'!$B$2:$B$298&gt;=C335)))&gt;0))&gt;0,1,0))</f>
        <v/>
      </c>
      <c r="H335" t="str">
        <f>IF(G335="","",SUM($G$7:G335))</f>
        <v/>
      </c>
    </row>
    <row r="336" spans="1:8" x14ac:dyDescent="0.2">
      <c r="A336" s="3">
        <v>330</v>
      </c>
      <c r="B336" s="4"/>
      <c r="C336" s="3"/>
      <c r="D336" s="3"/>
      <c r="E336" s="4"/>
      <c r="F336" s="4" t="str">
        <f>IF(OR($C$3="",C336="",D336=""),"",IF(G336=0,"NO",IF(H336&lt;=SUMPRODUCT(('GLASS OFFCUTS LIST'!$D$2:$D$298=UPPER(TRIM(SUBSTITUTE(SUBSTITUTE($C$3,"   "," "),"  "," "))))*((('GLASS OFFCUTS LIST'!$A$2:$A$298&gt;=C336)*('GLASS OFFCUTS LIST'!$B$2:$B$298&gt;=D336))+(N(OR(E336=TRUE(),E336="Y",E336="y",E336="YES",E336="Yes"))*(('GLASS OFFCUTS LIST'!$A$2:$A$298&gt;=D336)*('GLASS OFFCUTS LIST'!$B$2:$B$298&gt;=C336)))&gt;0)),"YES","NO")))</f>
        <v/>
      </c>
      <c r="G336" t="str">
        <f>IF(OR($C$3="",C336="",D336=""),"",IF(SUMPRODUCT(('GLASS OFFCUTS LIST'!$D$2:$D$298=UPPER(TRIM(SUBSTITUTE(SUBSTITUTE($C$3,"   "," "),"  "," "))))*((('GLASS OFFCUTS LIST'!$A$2:$A$298&gt;=C336)*('GLASS OFFCUTS LIST'!$B$2:$B$298&gt;=D336))+(N(OR(E336=TRUE(),E336="Y",E336="y",E336="YES",E336="Yes"))*(('GLASS OFFCUTS LIST'!$A$2:$A$298&gt;=D336)*('GLASS OFFCUTS LIST'!$B$2:$B$298&gt;=C336)))&gt;0))&gt;0,1,0))</f>
        <v/>
      </c>
      <c r="H336" t="str">
        <f>IF(G336="","",SUM($G$7:G336))</f>
        <v/>
      </c>
    </row>
    <row r="337" spans="1:8" x14ac:dyDescent="0.2">
      <c r="A337" s="3">
        <v>331</v>
      </c>
      <c r="B337" s="4"/>
      <c r="C337" s="3"/>
      <c r="D337" s="3"/>
      <c r="E337" s="4"/>
      <c r="F337" s="4" t="str">
        <f>IF(OR($C$3="",C337="",D337=""),"",IF(G337=0,"NO",IF(H337&lt;=SUMPRODUCT(('GLASS OFFCUTS LIST'!$D$2:$D$298=UPPER(TRIM(SUBSTITUTE(SUBSTITUTE($C$3,"   "," "),"  "," "))))*((('GLASS OFFCUTS LIST'!$A$2:$A$298&gt;=C337)*('GLASS OFFCUTS LIST'!$B$2:$B$298&gt;=D337))+(N(OR(E337=TRUE(),E337="Y",E337="y",E337="YES",E337="Yes"))*(('GLASS OFFCUTS LIST'!$A$2:$A$298&gt;=D337)*('GLASS OFFCUTS LIST'!$B$2:$B$298&gt;=C337)))&gt;0)),"YES","NO")))</f>
        <v/>
      </c>
      <c r="G337" t="str">
        <f>IF(OR($C$3="",C337="",D337=""),"",IF(SUMPRODUCT(('GLASS OFFCUTS LIST'!$D$2:$D$298=UPPER(TRIM(SUBSTITUTE(SUBSTITUTE($C$3,"   "," "),"  "," "))))*((('GLASS OFFCUTS LIST'!$A$2:$A$298&gt;=C337)*('GLASS OFFCUTS LIST'!$B$2:$B$298&gt;=D337))+(N(OR(E337=TRUE(),E337="Y",E337="y",E337="YES",E337="Yes"))*(('GLASS OFFCUTS LIST'!$A$2:$A$298&gt;=D337)*('GLASS OFFCUTS LIST'!$B$2:$B$298&gt;=C337)))&gt;0))&gt;0,1,0))</f>
        <v/>
      </c>
      <c r="H337" t="str">
        <f>IF(G337="","",SUM($G$7:G337))</f>
        <v/>
      </c>
    </row>
    <row r="338" spans="1:8" x14ac:dyDescent="0.2">
      <c r="A338" s="3">
        <v>332</v>
      </c>
      <c r="B338" s="4"/>
      <c r="C338" s="3"/>
      <c r="D338" s="3"/>
      <c r="E338" s="4"/>
      <c r="F338" s="4" t="str">
        <f>IF(OR($C$3="",C338="",D338=""),"",IF(G338=0,"NO",IF(H338&lt;=SUMPRODUCT(('GLASS OFFCUTS LIST'!$D$2:$D$298=UPPER(TRIM(SUBSTITUTE(SUBSTITUTE($C$3,"   "," "),"  "," "))))*((('GLASS OFFCUTS LIST'!$A$2:$A$298&gt;=C338)*('GLASS OFFCUTS LIST'!$B$2:$B$298&gt;=D338))+(N(OR(E338=TRUE(),E338="Y",E338="y",E338="YES",E338="Yes"))*(('GLASS OFFCUTS LIST'!$A$2:$A$298&gt;=D338)*('GLASS OFFCUTS LIST'!$B$2:$B$298&gt;=C338)))&gt;0)),"YES","NO")))</f>
        <v/>
      </c>
      <c r="G338" t="str">
        <f>IF(OR($C$3="",C338="",D338=""),"",IF(SUMPRODUCT(('GLASS OFFCUTS LIST'!$D$2:$D$298=UPPER(TRIM(SUBSTITUTE(SUBSTITUTE($C$3,"   "," "),"  "," "))))*((('GLASS OFFCUTS LIST'!$A$2:$A$298&gt;=C338)*('GLASS OFFCUTS LIST'!$B$2:$B$298&gt;=D338))+(N(OR(E338=TRUE(),E338="Y",E338="y",E338="YES",E338="Yes"))*(('GLASS OFFCUTS LIST'!$A$2:$A$298&gt;=D338)*('GLASS OFFCUTS LIST'!$B$2:$B$298&gt;=C338)))&gt;0))&gt;0,1,0))</f>
        <v/>
      </c>
      <c r="H338" t="str">
        <f>IF(G338="","",SUM($G$7:G338))</f>
        <v/>
      </c>
    </row>
    <row r="339" spans="1:8" x14ac:dyDescent="0.2">
      <c r="A339" s="3">
        <v>333</v>
      </c>
      <c r="B339" s="4"/>
      <c r="C339" s="3"/>
      <c r="D339" s="3"/>
      <c r="E339" s="4"/>
      <c r="F339" s="4" t="str">
        <f>IF(OR($C$3="",C339="",D339=""),"",IF(G339=0,"NO",IF(H339&lt;=SUMPRODUCT(('GLASS OFFCUTS LIST'!$D$2:$D$298=UPPER(TRIM(SUBSTITUTE(SUBSTITUTE($C$3,"   "," "),"  "," "))))*((('GLASS OFFCUTS LIST'!$A$2:$A$298&gt;=C339)*('GLASS OFFCUTS LIST'!$B$2:$B$298&gt;=D339))+(N(OR(E339=TRUE(),E339="Y",E339="y",E339="YES",E339="Yes"))*(('GLASS OFFCUTS LIST'!$A$2:$A$298&gt;=D339)*('GLASS OFFCUTS LIST'!$B$2:$B$298&gt;=C339)))&gt;0)),"YES","NO")))</f>
        <v/>
      </c>
      <c r="G339" t="str">
        <f>IF(OR($C$3="",C339="",D339=""),"",IF(SUMPRODUCT(('GLASS OFFCUTS LIST'!$D$2:$D$298=UPPER(TRIM(SUBSTITUTE(SUBSTITUTE($C$3,"   "," "),"  "," "))))*((('GLASS OFFCUTS LIST'!$A$2:$A$298&gt;=C339)*('GLASS OFFCUTS LIST'!$B$2:$B$298&gt;=D339))+(N(OR(E339=TRUE(),E339="Y",E339="y",E339="YES",E339="Yes"))*(('GLASS OFFCUTS LIST'!$A$2:$A$298&gt;=D339)*('GLASS OFFCUTS LIST'!$B$2:$B$298&gt;=C339)))&gt;0))&gt;0,1,0))</f>
        <v/>
      </c>
      <c r="H339" t="str">
        <f>IF(G339="","",SUM($G$7:G339))</f>
        <v/>
      </c>
    </row>
    <row r="340" spans="1:8" x14ac:dyDescent="0.2">
      <c r="A340" s="3">
        <v>334</v>
      </c>
      <c r="B340" s="4"/>
      <c r="C340" s="3"/>
      <c r="D340" s="3"/>
      <c r="E340" s="4"/>
      <c r="F340" s="4" t="str">
        <f>IF(OR($C$3="",C340="",D340=""),"",IF(G340=0,"NO",IF(H340&lt;=SUMPRODUCT(('GLASS OFFCUTS LIST'!$D$2:$D$298=UPPER(TRIM(SUBSTITUTE(SUBSTITUTE($C$3,"   "," "),"  "," "))))*((('GLASS OFFCUTS LIST'!$A$2:$A$298&gt;=C340)*('GLASS OFFCUTS LIST'!$B$2:$B$298&gt;=D340))+(N(OR(E340=TRUE(),E340="Y",E340="y",E340="YES",E340="Yes"))*(('GLASS OFFCUTS LIST'!$A$2:$A$298&gt;=D340)*('GLASS OFFCUTS LIST'!$B$2:$B$298&gt;=C340)))&gt;0)),"YES","NO")))</f>
        <v/>
      </c>
      <c r="G340" t="str">
        <f>IF(OR($C$3="",C340="",D340=""),"",IF(SUMPRODUCT(('GLASS OFFCUTS LIST'!$D$2:$D$298=UPPER(TRIM(SUBSTITUTE(SUBSTITUTE($C$3,"   "," "),"  "," "))))*((('GLASS OFFCUTS LIST'!$A$2:$A$298&gt;=C340)*('GLASS OFFCUTS LIST'!$B$2:$B$298&gt;=D340))+(N(OR(E340=TRUE(),E340="Y",E340="y",E340="YES",E340="Yes"))*(('GLASS OFFCUTS LIST'!$A$2:$A$298&gt;=D340)*('GLASS OFFCUTS LIST'!$B$2:$B$298&gt;=C340)))&gt;0))&gt;0,1,0))</f>
        <v/>
      </c>
      <c r="H340" t="str">
        <f>IF(G340="","",SUM($G$7:G340))</f>
        <v/>
      </c>
    </row>
    <row r="341" spans="1:8" x14ac:dyDescent="0.2">
      <c r="A341" s="3">
        <v>335</v>
      </c>
      <c r="B341" s="4"/>
      <c r="C341" s="3"/>
      <c r="D341" s="3"/>
      <c r="E341" s="4"/>
      <c r="F341" s="4" t="str">
        <f>IF(OR($C$3="",C341="",D341=""),"",IF(G341=0,"NO",IF(H341&lt;=SUMPRODUCT(('GLASS OFFCUTS LIST'!$D$2:$D$298=UPPER(TRIM(SUBSTITUTE(SUBSTITUTE($C$3,"   "," "),"  "," "))))*((('GLASS OFFCUTS LIST'!$A$2:$A$298&gt;=C341)*('GLASS OFFCUTS LIST'!$B$2:$B$298&gt;=D341))+(N(OR(E341=TRUE(),E341="Y",E341="y",E341="YES",E341="Yes"))*(('GLASS OFFCUTS LIST'!$A$2:$A$298&gt;=D341)*('GLASS OFFCUTS LIST'!$B$2:$B$298&gt;=C341)))&gt;0)),"YES","NO")))</f>
        <v/>
      </c>
      <c r="G341" t="str">
        <f>IF(OR($C$3="",C341="",D341=""),"",IF(SUMPRODUCT(('GLASS OFFCUTS LIST'!$D$2:$D$298=UPPER(TRIM(SUBSTITUTE(SUBSTITUTE($C$3,"   "," "),"  "," "))))*((('GLASS OFFCUTS LIST'!$A$2:$A$298&gt;=C341)*('GLASS OFFCUTS LIST'!$B$2:$B$298&gt;=D341))+(N(OR(E341=TRUE(),E341="Y",E341="y",E341="YES",E341="Yes"))*(('GLASS OFFCUTS LIST'!$A$2:$A$298&gt;=D341)*('GLASS OFFCUTS LIST'!$B$2:$B$298&gt;=C341)))&gt;0))&gt;0,1,0))</f>
        <v/>
      </c>
      <c r="H341" t="str">
        <f>IF(G341="","",SUM($G$7:G341))</f>
        <v/>
      </c>
    </row>
    <row r="342" spans="1:8" x14ac:dyDescent="0.2">
      <c r="A342" s="3">
        <v>336</v>
      </c>
      <c r="B342" s="4"/>
      <c r="C342" s="3"/>
      <c r="D342" s="3"/>
      <c r="E342" s="4"/>
      <c r="F342" s="4" t="str">
        <f>IF(OR($C$3="",C342="",D342=""),"",IF(G342=0,"NO",IF(H342&lt;=SUMPRODUCT(('GLASS OFFCUTS LIST'!$D$2:$D$298=UPPER(TRIM(SUBSTITUTE(SUBSTITUTE($C$3,"   "," "),"  "," "))))*((('GLASS OFFCUTS LIST'!$A$2:$A$298&gt;=C342)*('GLASS OFFCUTS LIST'!$B$2:$B$298&gt;=D342))+(N(OR(E342=TRUE(),E342="Y",E342="y",E342="YES",E342="Yes"))*(('GLASS OFFCUTS LIST'!$A$2:$A$298&gt;=D342)*('GLASS OFFCUTS LIST'!$B$2:$B$298&gt;=C342)))&gt;0)),"YES","NO")))</f>
        <v/>
      </c>
      <c r="G342" t="str">
        <f>IF(OR($C$3="",C342="",D342=""),"",IF(SUMPRODUCT(('GLASS OFFCUTS LIST'!$D$2:$D$298=UPPER(TRIM(SUBSTITUTE(SUBSTITUTE($C$3,"   "," "),"  "," "))))*((('GLASS OFFCUTS LIST'!$A$2:$A$298&gt;=C342)*('GLASS OFFCUTS LIST'!$B$2:$B$298&gt;=D342))+(N(OR(E342=TRUE(),E342="Y",E342="y",E342="YES",E342="Yes"))*(('GLASS OFFCUTS LIST'!$A$2:$A$298&gt;=D342)*('GLASS OFFCUTS LIST'!$B$2:$B$298&gt;=C342)))&gt;0))&gt;0,1,0))</f>
        <v/>
      </c>
      <c r="H342" t="str">
        <f>IF(G342="","",SUM($G$7:G342))</f>
        <v/>
      </c>
    </row>
    <row r="343" spans="1:8" x14ac:dyDescent="0.2">
      <c r="A343" s="3">
        <v>337</v>
      </c>
      <c r="B343" s="4"/>
      <c r="C343" s="3"/>
      <c r="D343" s="3"/>
      <c r="E343" s="4"/>
      <c r="F343" s="4" t="str">
        <f>IF(OR($C$3="",C343="",D343=""),"",IF(G343=0,"NO",IF(H343&lt;=SUMPRODUCT(('GLASS OFFCUTS LIST'!$D$2:$D$298=UPPER(TRIM(SUBSTITUTE(SUBSTITUTE($C$3,"   "," "),"  "," "))))*((('GLASS OFFCUTS LIST'!$A$2:$A$298&gt;=C343)*('GLASS OFFCUTS LIST'!$B$2:$B$298&gt;=D343))+(N(OR(E343=TRUE(),E343="Y",E343="y",E343="YES",E343="Yes"))*(('GLASS OFFCUTS LIST'!$A$2:$A$298&gt;=D343)*('GLASS OFFCUTS LIST'!$B$2:$B$298&gt;=C343)))&gt;0)),"YES","NO")))</f>
        <v/>
      </c>
      <c r="G343" t="str">
        <f>IF(OR($C$3="",C343="",D343=""),"",IF(SUMPRODUCT(('GLASS OFFCUTS LIST'!$D$2:$D$298=UPPER(TRIM(SUBSTITUTE(SUBSTITUTE($C$3,"   "," "),"  "," "))))*((('GLASS OFFCUTS LIST'!$A$2:$A$298&gt;=C343)*('GLASS OFFCUTS LIST'!$B$2:$B$298&gt;=D343))+(N(OR(E343=TRUE(),E343="Y",E343="y",E343="YES",E343="Yes"))*(('GLASS OFFCUTS LIST'!$A$2:$A$298&gt;=D343)*('GLASS OFFCUTS LIST'!$B$2:$B$298&gt;=C343)))&gt;0))&gt;0,1,0))</f>
        <v/>
      </c>
      <c r="H343" t="str">
        <f>IF(G343="","",SUM($G$7:G343))</f>
        <v/>
      </c>
    </row>
    <row r="344" spans="1:8" x14ac:dyDescent="0.2">
      <c r="A344" s="3">
        <v>338</v>
      </c>
      <c r="B344" s="4"/>
      <c r="C344" s="3"/>
      <c r="D344" s="3"/>
      <c r="E344" s="4"/>
      <c r="F344" s="4" t="str">
        <f>IF(OR($C$3="",C344="",D344=""),"",IF(G344=0,"NO",IF(H344&lt;=SUMPRODUCT(('GLASS OFFCUTS LIST'!$D$2:$D$298=UPPER(TRIM(SUBSTITUTE(SUBSTITUTE($C$3,"   "," "),"  "," "))))*((('GLASS OFFCUTS LIST'!$A$2:$A$298&gt;=C344)*('GLASS OFFCUTS LIST'!$B$2:$B$298&gt;=D344))+(N(OR(E344=TRUE(),E344="Y",E344="y",E344="YES",E344="Yes"))*(('GLASS OFFCUTS LIST'!$A$2:$A$298&gt;=D344)*('GLASS OFFCUTS LIST'!$B$2:$B$298&gt;=C344)))&gt;0)),"YES","NO")))</f>
        <v/>
      </c>
      <c r="G344" t="str">
        <f>IF(OR($C$3="",C344="",D344=""),"",IF(SUMPRODUCT(('GLASS OFFCUTS LIST'!$D$2:$D$298=UPPER(TRIM(SUBSTITUTE(SUBSTITUTE($C$3,"   "," "),"  "," "))))*((('GLASS OFFCUTS LIST'!$A$2:$A$298&gt;=C344)*('GLASS OFFCUTS LIST'!$B$2:$B$298&gt;=D344))+(N(OR(E344=TRUE(),E344="Y",E344="y",E344="YES",E344="Yes"))*(('GLASS OFFCUTS LIST'!$A$2:$A$298&gt;=D344)*('GLASS OFFCUTS LIST'!$B$2:$B$298&gt;=C344)))&gt;0))&gt;0,1,0))</f>
        <v/>
      </c>
      <c r="H344" t="str">
        <f>IF(G344="","",SUM($G$7:G344))</f>
        <v/>
      </c>
    </row>
    <row r="345" spans="1:8" x14ac:dyDescent="0.2">
      <c r="A345" s="3">
        <v>339</v>
      </c>
      <c r="B345" s="4"/>
      <c r="C345" s="3"/>
      <c r="D345" s="3"/>
      <c r="E345" s="4"/>
      <c r="F345" s="4" t="str">
        <f>IF(OR($C$3="",C345="",D345=""),"",IF(G345=0,"NO",IF(H345&lt;=SUMPRODUCT(('GLASS OFFCUTS LIST'!$D$2:$D$298=UPPER(TRIM(SUBSTITUTE(SUBSTITUTE($C$3,"   "," "),"  "," "))))*((('GLASS OFFCUTS LIST'!$A$2:$A$298&gt;=C345)*('GLASS OFFCUTS LIST'!$B$2:$B$298&gt;=D345))+(N(OR(E345=TRUE(),E345="Y",E345="y",E345="YES",E345="Yes"))*(('GLASS OFFCUTS LIST'!$A$2:$A$298&gt;=D345)*('GLASS OFFCUTS LIST'!$B$2:$B$298&gt;=C345)))&gt;0)),"YES","NO")))</f>
        <v/>
      </c>
      <c r="G345" t="str">
        <f>IF(OR($C$3="",C345="",D345=""),"",IF(SUMPRODUCT(('GLASS OFFCUTS LIST'!$D$2:$D$298=UPPER(TRIM(SUBSTITUTE(SUBSTITUTE($C$3,"   "," "),"  "," "))))*((('GLASS OFFCUTS LIST'!$A$2:$A$298&gt;=C345)*('GLASS OFFCUTS LIST'!$B$2:$B$298&gt;=D345))+(N(OR(E345=TRUE(),E345="Y",E345="y",E345="YES",E345="Yes"))*(('GLASS OFFCUTS LIST'!$A$2:$A$298&gt;=D345)*('GLASS OFFCUTS LIST'!$B$2:$B$298&gt;=C345)))&gt;0))&gt;0,1,0))</f>
        <v/>
      </c>
      <c r="H345" t="str">
        <f>IF(G345="","",SUM($G$7:G345))</f>
        <v/>
      </c>
    </row>
    <row r="346" spans="1:8" x14ac:dyDescent="0.2">
      <c r="A346" s="3">
        <v>340</v>
      </c>
      <c r="B346" s="4"/>
      <c r="C346" s="3"/>
      <c r="D346" s="3"/>
      <c r="E346" s="4"/>
      <c r="F346" s="4" t="str">
        <f>IF(OR($C$3="",C346="",D346=""),"",IF(G346=0,"NO",IF(H346&lt;=SUMPRODUCT(('GLASS OFFCUTS LIST'!$D$2:$D$298=UPPER(TRIM(SUBSTITUTE(SUBSTITUTE($C$3,"   "," "),"  "," "))))*((('GLASS OFFCUTS LIST'!$A$2:$A$298&gt;=C346)*('GLASS OFFCUTS LIST'!$B$2:$B$298&gt;=D346))+(N(OR(E346=TRUE(),E346="Y",E346="y",E346="YES",E346="Yes"))*(('GLASS OFFCUTS LIST'!$A$2:$A$298&gt;=D346)*('GLASS OFFCUTS LIST'!$B$2:$B$298&gt;=C346)))&gt;0)),"YES","NO")))</f>
        <v/>
      </c>
      <c r="G346" t="str">
        <f>IF(OR($C$3="",C346="",D346=""),"",IF(SUMPRODUCT(('GLASS OFFCUTS LIST'!$D$2:$D$298=UPPER(TRIM(SUBSTITUTE(SUBSTITUTE($C$3,"   "," "),"  "," "))))*((('GLASS OFFCUTS LIST'!$A$2:$A$298&gt;=C346)*('GLASS OFFCUTS LIST'!$B$2:$B$298&gt;=D346))+(N(OR(E346=TRUE(),E346="Y",E346="y",E346="YES",E346="Yes"))*(('GLASS OFFCUTS LIST'!$A$2:$A$298&gt;=D346)*('GLASS OFFCUTS LIST'!$B$2:$B$298&gt;=C346)))&gt;0))&gt;0,1,0))</f>
        <v/>
      </c>
      <c r="H346" t="str">
        <f>IF(G346="","",SUM($G$7:G346))</f>
        <v/>
      </c>
    </row>
    <row r="347" spans="1:8" x14ac:dyDescent="0.2">
      <c r="A347" s="3">
        <v>341</v>
      </c>
      <c r="B347" s="4"/>
      <c r="C347" s="3"/>
      <c r="D347" s="3"/>
      <c r="E347" s="4"/>
      <c r="F347" s="4" t="str">
        <f>IF(OR($C$3="",C347="",D347=""),"",IF(G347=0,"NO",IF(H347&lt;=SUMPRODUCT(('GLASS OFFCUTS LIST'!$D$2:$D$298=UPPER(TRIM(SUBSTITUTE(SUBSTITUTE($C$3,"   "," "),"  "," "))))*((('GLASS OFFCUTS LIST'!$A$2:$A$298&gt;=C347)*('GLASS OFFCUTS LIST'!$B$2:$B$298&gt;=D347))+(N(OR(E347=TRUE(),E347="Y",E347="y",E347="YES",E347="Yes"))*(('GLASS OFFCUTS LIST'!$A$2:$A$298&gt;=D347)*('GLASS OFFCUTS LIST'!$B$2:$B$298&gt;=C347)))&gt;0)),"YES","NO")))</f>
        <v/>
      </c>
      <c r="G347" t="str">
        <f>IF(OR($C$3="",C347="",D347=""),"",IF(SUMPRODUCT(('GLASS OFFCUTS LIST'!$D$2:$D$298=UPPER(TRIM(SUBSTITUTE(SUBSTITUTE($C$3,"   "," "),"  "," "))))*((('GLASS OFFCUTS LIST'!$A$2:$A$298&gt;=C347)*('GLASS OFFCUTS LIST'!$B$2:$B$298&gt;=D347))+(N(OR(E347=TRUE(),E347="Y",E347="y",E347="YES",E347="Yes"))*(('GLASS OFFCUTS LIST'!$A$2:$A$298&gt;=D347)*('GLASS OFFCUTS LIST'!$B$2:$B$298&gt;=C347)))&gt;0))&gt;0,1,0))</f>
        <v/>
      </c>
      <c r="H347" t="str">
        <f>IF(G347="","",SUM($G$7:G347))</f>
        <v/>
      </c>
    </row>
    <row r="348" spans="1:8" x14ac:dyDescent="0.2">
      <c r="A348" s="3">
        <v>342</v>
      </c>
      <c r="B348" s="4"/>
      <c r="C348" s="3"/>
      <c r="D348" s="3"/>
      <c r="E348" s="4"/>
      <c r="F348" s="4" t="str">
        <f>IF(OR($C$3="",C348="",D348=""),"",IF(G348=0,"NO",IF(H348&lt;=SUMPRODUCT(('GLASS OFFCUTS LIST'!$D$2:$D$298=UPPER(TRIM(SUBSTITUTE(SUBSTITUTE($C$3,"   "," "),"  "," "))))*((('GLASS OFFCUTS LIST'!$A$2:$A$298&gt;=C348)*('GLASS OFFCUTS LIST'!$B$2:$B$298&gt;=D348))+(N(OR(E348=TRUE(),E348="Y",E348="y",E348="YES",E348="Yes"))*(('GLASS OFFCUTS LIST'!$A$2:$A$298&gt;=D348)*('GLASS OFFCUTS LIST'!$B$2:$B$298&gt;=C348)))&gt;0)),"YES","NO")))</f>
        <v/>
      </c>
      <c r="G348" t="str">
        <f>IF(OR($C$3="",C348="",D348=""),"",IF(SUMPRODUCT(('GLASS OFFCUTS LIST'!$D$2:$D$298=UPPER(TRIM(SUBSTITUTE(SUBSTITUTE($C$3,"   "," "),"  "," "))))*((('GLASS OFFCUTS LIST'!$A$2:$A$298&gt;=C348)*('GLASS OFFCUTS LIST'!$B$2:$B$298&gt;=D348))+(N(OR(E348=TRUE(),E348="Y",E348="y",E348="YES",E348="Yes"))*(('GLASS OFFCUTS LIST'!$A$2:$A$298&gt;=D348)*('GLASS OFFCUTS LIST'!$B$2:$B$298&gt;=C348)))&gt;0))&gt;0,1,0))</f>
        <v/>
      </c>
      <c r="H348" t="str">
        <f>IF(G348="","",SUM($G$7:G348))</f>
        <v/>
      </c>
    </row>
    <row r="349" spans="1:8" x14ac:dyDescent="0.2">
      <c r="A349" s="3">
        <v>343</v>
      </c>
      <c r="B349" s="4"/>
      <c r="C349" s="3"/>
      <c r="D349" s="3"/>
      <c r="E349" s="4"/>
      <c r="F349" s="4" t="str">
        <f>IF(OR($C$3="",C349="",D349=""),"",IF(G349=0,"NO",IF(H349&lt;=SUMPRODUCT(('GLASS OFFCUTS LIST'!$D$2:$D$298=UPPER(TRIM(SUBSTITUTE(SUBSTITUTE($C$3,"   "," "),"  "," "))))*((('GLASS OFFCUTS LIST'!$A$2:$A$298&gt;=C349)*('GLASS OFFCUTS LIST'!$B$2:$B$298&gt;=D349))+(N(OR(E349=TRUE(),E349="Y",E349="y",E349="YES",E349="Yes"))*(('GLASS OFFCUTS LIST'!$A$2:$A$298&gt;=D349)*('GLASS OFFCUTS LIST'!$B$2:$B$298&gt;=C349)))&gt;0)),"YES","NO")))</f>
        <v/>
      </c>
      <c r="G349" t="str">
        <f>IF(OR($C$3="",C349="",D349=""),"",IF(SUMPRODUCT(('GLASS OFFCUTS LIST'!$D$2:$D$298=UPPER(TRIM(SUBSTITUTE(SUBSTITUTE($C$3,"   "," "),"  "," "))))*((('GLASS OFFCUTS LIST'!$A$2:$A$298&gt;=C349)*('GLASS OFFCUTS LIST'!$B$2:$B$298&gt;=D349))+(N(OR(E349=TRUE(),E349="Y",E349="y",E349="YES",E349="Yes"))*(('GLASS OFFCUTS LIST'!$A$2:$A$298&gt;=D349)*('GLASS OFFCUTS LIST'!$B$2:$B$298&gt;=C349)))&gt;0))&gt;0,1,0))</f>
        <v/>
      </c>
      <c r="H349" t="str">
        <f>IF(G349="","",SUM($G$7:G349))</f>
        <v/>
      </c>
    </row>
    <row r="350" spans="1:8" x14ac:dyDescent="0.2">
      <c r="A350" s="3">
        <v>344</v>
      </c>
      <c r="B350" s="4"/>
      <c r="C350" s="3"/>
      <c r="D350" s="3"/>
      <c r="E350" s="4"/>
      <c r="F350" s="4" t="str">
        <f>IF(OR($C$3="",C350="",D350=""),"",IF(G350=0,"NO",IF(H350&lt;=SUMPRODUCT(('GLASS OFFCUTS LIST'!$D$2:$D$298=UPPER(TRIM(SUBSTITUTE(SUBSTITUTE($C$3,"   "," "),"  "," "))))*((('GLASS OFFCUTS LIST'!$A$2:$A$298&gt;=C350)*('GLASS OFFCUTS LIST'!$B$2:$B$298&gt;=D350))+(N(OR(E350=TRUE(),E350="Y",E350="y",E350="YES",E350="Yes"))*(('GLASS OFFCUTS LIST'!$A$2:$A$298&gt;=D350)*('GLASS OFFCUTS LIST'!$B$2:$B$298&gt;=C350)))&gt;0)),"YES","NO")))</f>
        <v/>
      </c>
      <c r="G350" t="str">
        <f>IF(OR($C$3="",C350="",D350=""),"",IF(SUMPRODUCT(('GLASS OFFCUTS LIST'!$D$2:$D$298=UPPER(TRIM(SUBSTITUTE(SUBSTITUTE($C$3,"   "," "),"  "," "))))*((('GLASS OFFCUTS LIST'!$A$2:$A$298&gt;=C350)*('GLASS OFFCUTS LIST'!$B$2:$B$298&gt;=D350))+(N(OR(E350=TRUE(),E350="Y",E350="y",E350="YES",E350="Yes"))*(('GLASS OFFCUTS LIST'!$A$2:$A$298&gt;=D350)*('GLASS OFFCUTS LIST'!$B$2:$B$298&gt;=C350)))&gt;0))&gt;0,1,0))</f>
        <v/>
      </c>
      <c r="H350" t="str">
        <f>IF(G350="","",SUM($G$7:G350))</f>
        <v/>
      </c>
    </row>
    <row r="351" spans="1:8" x14ac:dyDescent="0.2">
      <c r="A351" s="3">
        <v>345</v>
      </c>
      <c r="B351" s="4"/>
      <c r="C351" s="3"/>
      <c r="D351" s="3"/>
      <c r="E351" s="4"/>
      <c r="F351" s="4" t="str">
        <f>IF(OR($C$3="",C351="",D351=""),"",IF(G351=0,"NO",IF(H351&lt;=SUMPRODUCT(('GLASS OFFCUTS LIST'!$D$2:$D$298=UPPER(TRIM(SUBSTITUTE(SUBSTITUTE($C$3,"   "," "),"  "," "))))*((('GLASS OFFCUTS LIST'!$A$2:$A$298&gt;=C351)*('GLASS OFFCUTS LIST'!$B$2:$B$298&gt;=D351))+(N(OR(E351=TRUE(),E351="Y",E351="y",E351="YES",E351="Yes"))*(('GLASS OFFCUTS LIST'!$A$2:$A$298&gt;=D351)*('GLASS OFFCUTS LIST'!$B$2:$B$298&gt;=C351)))&gt;0)),"YES","NO")))</f>
        <v/>
      </c>
      <c r="G351" t="str">
        <f>IF(OR($C$3="",C351="",D351=""),"",IF(SUMPRODUCT(('GLASS OFFCUTS LIST'!$D$2:$D$298=UPPER(TRIM(SUBSTITUTE(SUBSTITUTE($C$3,"   "," "),"  "," "))))*((('GLASS OFFCUTS LIST'!$A$2:$A$298&gt;=C351)*('GLASS OFFCUTS LIST'!$B$2:$B$298&gt;=D351))+(N(OR(E351=TRUE(),E351="Y",E351="y",E351="YES",E351="Yes"))*(('GLASS OFFCUTS LIST'!$A$2:$A$298&gt;=D351)*('GLASS OFFCUTS LIST'!$B$2:$B$298&gt;=C351)))&gt;0))&gt;0,1,0))</f>
        <v/>
      </c>
      <c r="H351" t="str">
        <f>IF(G351="","",SUM($G$7:G351))</f>
        <v/>
      </c>
    </row>
    <row r="352" spans="1:8" x14ac:dyDescent="0.2">
      <c r="A352" s="3">
        <v>346</v>
      </c>
      <c r="B352" s="4"/>
      <c r="C352" s="3"/>
      <c r="D352" s="3"/>
      <c r="E352" s="4"/>
      <c r="F352" s="4" t="str">
        <f>IF(OR($C$3="",C352="",D352=""),"",IF(G352=0,"NO",IF(H352&lt;=SUMPRODUCT(('GLASS OFFCUTS LIST'!$D$2:$D$298=UPPER(TRIM(SUBSTITUTE(SUBSTITUTE($C$3,"   "," "),"  "," "))))*((('GLASS OFFCUTS LIST'!$A$2:$A$298&gt;=C352)*('GLASS OFFCUTS LIST'!$B$2:$B$298&gt;=D352))+(N(OR(E352=TRUE(),E352="Y",E352="y",E352="YES",E352="Yes"))*(('GLASS OFFCUTS LIST'!$A$2:$A$298&gt;=D352)*('GLASS OFFCUTS LIST'!$B$2:$B$298&gt;=C352)))&gt;0)),"YES","NO")))</f>
        <v/>
      </c>
      <c r="G352" t="str">
        <f>IF(OR($C$3="",C352="",D352=""),"",IF(SUMPRODUCT(('GLASS OFFCUTS LIST'!$D$2:$D$298=UPPER(TRIM(SUBSTITUTE(SUBSTITUTE($C$3,"   "," "),"  "," "))))*((('GLASS OFFCUTS LIST'!$A$2:$A$298&gt;=C352)*('GLASS OFFCUTS LIST'!$B$2:$B$298&gt;=D352))+(N(OR(E352=TRUE(),E352="Y",E352="y",E352="YES",E352="Yes"))*(('GLASS OFFCUTS LIST'!$A$2:$A$298&gt;=D352)*('GLASS OFFCUTS LIST'!$B$2:$B$298&gt;=C352)))&gt;0))&gt;0,1,0))</f>
        <v/>
      </c>
      <c r="H352" t="str">
        <f>IF(G352="","",SUM($G$7:G352))</f>
        <v/>
      </c>
    </row>
    <row r="353" spans="1:8" x14ac:dyDescent="0.2">
      <c r="A353" s="3">
        <v>347</v>
      </c>
      <c r="B353" s="4"/>
      <c r="C353" s="3"/>
      <c r="D353" s="3"/>
      <c r="E353" s="4"/>
      <c r="F353" s="4" t="str">
        <f>IF(OR($C$3="",C353="",D353=""),"",IF(G353=0,"NO",IF(H353&lt;=SUMPRODUCT(('GLASS OFFCUTS LIST'!$D$2:$D$298=UPPER(TRIM(SUBSTITUTE(SUBSTITUTE($C$3,"   "," "),"  "," "))))*((('GLASS OFFCUTS LIST'!$A$2:$A$298&gt;=C353)*('GLASS OFFCUTS LIST'!$B$2:$B$298&gt;=D353))+(N(OR(E353=TRUE(),E353="Y",E353="y",E353="YES",E353="Yes"))*(('GLASS OFFCUTS LIST'!$A$2:$A$298&gt;=D353)*('GLASS OFFCUTS LIST'!$B$2:$B$298&gt;=C353)))&gt;0)),"YES","NO")))</f>
        <v/>
      </c>
      <c r="G353" t="str">
        <f>IF(OR($C$3="",C353="",D353=""),"",IF(SUMPRODUCT(('GLASS OFFCUTS LIST'!$D$2:$D$298=UPPER(TRIM(SUBSTITUTE(SUBSTITUTE($C$3,"   "," "),"  "," "))))*((('GLASS OFFCUTS LIST'!$A$2:$A$298&gt;=C353)*('GLASS OFFCUTS LIST'!$B$2:$B$298&gt;=D353))+(N(OR(E353=TRUE(),E353="Y",E353="y",E353="YES",E353="Yes"))*(('GLASS OFFCUTS LIST'!$A$2:$A$298&gt;=D353)*('GLASS OFFCUTS LIST'!$B$2:$B$298&gt;=C353)))&gt;0))&gt;0,1,0))</f>
        <v/>
      </c>
      <c r="H353" t="str">
        <f>IF(G353="","",SUM($G$7:G353))</f>
        <v/>
      </c>
    </row>
    <row r="354" spans="1:8" x14ac:dyDescent="0.2">
      <c r="A354" s="3">
        <v>348</v>
      </c>
      <c r="B354" s="4"/>
      <c r="C354" s="3"/>
      <c r="D354" s="3"/>
      <c r="E354" s="4"/>
      <c r="F354" s="4" t="str">
        <f>IF(OR($C$3="",C354="",D354=""),"",IF(G354=0,"NO",IF(H354&lt;=SUMPRODUCT(('GLASS OFFCUTS LIST'!$D$2:$D$298=UPPER(TRIM(SUBSTITUTE(SUBSTITUTE($C$3,"   "," "),"  "," "))))*((('GLASS OFFCUTS LIST'!$A$2:$A$298&gt;=C354)*('GLASS OFFCUTS LIST'!$B$2:$B$298&gt;=D354))+(N(OR(E354=TRUE(),E354="Y",E354="y",E354="YES",E354="Yes"))*(('GLASS OFFCUTS LIST'!$A$2:$A$298&gt;=D354)*('GLASS OFFCUTS LIST'!$B$2:$B$298&gt;=C354)))&gt;0)),"YES","NO")))</f>
        <v/>
      </c>
      <c r="G354" t="str">
        <f>IF(OR($C$3="",C354="",D354=""),"",IF(SUMPRODUCT(('GLASS OFFCUTS LIST'!$D$2:$D$298=UPPER(TRIM(SUBSTITUTE(SUBSTITUTE($C$3,"   "," "),"  "," "))))*((('GLASS OFFCUTS LIST'!$A$2:$A$298&gt;=C354)*('GLASS OFFCUTS LIST'!$B$2:$B$298&gt;=D354))+(N(OR(E354=TRUE(),E354="Y",E354="y",E354="YES",E354="Yes"))*(('GLASS OFFCUTS LIST'!$A$2:$A$298&gt;=D354)*('GLASS OFFCUTS LIST'!$B$2:$B$298&gt;=C354)))&gt;0))&gt;0,1,0))</f>
        <v/>
      </c>
      <c r="H354" t="str">
        <f>IF(G354="","",SUM($G$7:G354))</f>
        <v/>
      </c>
    </row>
    <row r="355" spans="1:8" x14ac:dyDescent="0.2">
      <c r="A355" s="3">
        <v>349</v>
      </c>
      <c r="B355" s="4"/>
      <c r="C355" s="3"/>
      <c r="D355" s="3"/>
      <c r="E355" s="4"/>
      <c r="F355" s="4" t="str">
        <f>IF(OR($C$3="",C355="",D355=""),"",IF(G355=0,"NO",IF(H355&lt;=SUMPRODUCT(('GLASS OFFCUTS LIST'!$D$2:$D$298=UPPER(TRIM(SUBSTITUTE(SUBSTITUTE($C$3,"   "," "),"  "," "))))*((('GLASS OFFCUTS LIST'!$A$2:$A$298&gt;=C355)*('GLASS OFFCUTS LIST'!$B$2:$B$298&gt;=D355))+(N(OR(E355=TRUE(),E355="Y",E355="y",E355="YES",E355="Yes"))*(('GLASS OFFCUTS LIST'!$A$2:$A$298&gt;=D355)*('GLASS OFFCUTS LIST'!$B$2:$B$298&gt;=C355)))&gt;0)),"YES","NO")))</f>
        <v/>
      </c>
      <c r="G355" t="str">
        <f>IF(OR($C$3="",C355="",D355=""),"",IF(SUMPRODUCT(('GLASS OFFCUTS LIST'!$D$2:$D$298=UPPER(TRIM(SUBSTITUTE(SUBSTITUTE($C$3,"   "," "),"  "," "))))*((('GLASS OFFCUTS LIST'!$A$2:$A$298&gt;=C355)*('GLASS OFFCUTS LIST'!$B$2:$B$298&gt;=D355))+(N(OR(E355=TRUE(),E355="Y",E355="y",E355="YES",E355="Yes"))*(('GLASS OFFCUTS LIST'!$A$2:$A$298&gt;=D355)*('GLASS OFFCUTS LIST'!$B$2:$B$298&gt;=C355)))&gt;0))&gt;0,1,0))</f>
        <v/>
      </c>
      <c r="H355" t="str">
        <f>IF(G355="","",SUM($G$7:G355))</f>
        <v/>
      </c>
    </row>
    <row r="356" spans="1:8" x14ac:dyDescent="0.2">
      <c r="A356" s="3">
        <v>350</v>
      </c>
      <c r="B356" s="4"/>
      <c r="C356" s="3"/>
      <c r="D356" s="3"/>
      <c r="E356" s="4"/>
      <c r="F356" s="4" t="str">
        <f>IF(OR($C$3="",C356="",D356=""),"",IF(G356=0,"NO",IF(H356&lt;=SUMPRODUCT(('GLASS OFFCUTS LIST'!$D$2:$D$298=UPPER(TRIM(SUBSTITUTE(SUBSTITUTE($C$3,"   "," "),"  "," "))))*((('GLASS OFFCUTS LIST'!$A$2:$A$298&gt;=C356)*('GLASS OFFCUTS LIST'!$B$2:$B$298&gt;=D356))+(N(OR(E356=TRUE(),E356="Y",E356="y",E356="YES",E356="Yes"))*(('GLASS OFFCUTS LIST'!$A$2:$A$298&gt;=D356)*('GLASS OFFCUTS LIST'!$B$2:$B$298&gt;=C356)))&gt;0)),"YES","NO")))</f>
        <v/>
      </c>
      <c r="G356" t="str">
        <f>IF(OR($C$3="",C356="",D356=""),"",IF(SUMPRODUCT(('GLASS OFFCUTS LIST'!$D$2:$D$298=UPPER(TRIM(SUBSTITUTE(SUBSTITUTE($C$3,"   "," "),"  "," "))))*((('GLASS OFFCUTS LIST'!$A$2:$A$298&gt;=C356)*('GLASS OFFCUTS LIST'!$B$2:$B$298&gt;=D356))+(N(OR(E356=TRUE(),E356="Y",E356="y",E356="YES",E356="Yes"))*(('GLASS OFFCUTS LIST'!$A$2:$A$298&gt;=D356)*('GLASS OFFCUTS LIST'!$B$2:$B$298&gt;=C356)))&gt;0))&gt;0,1,0))</f>
        <v/>
      </c>
      <c r="H356" t="str">
        <f>IF(G356="","",SUM($G$7:G356))</f>
        <v/>
      </c>
    </row>
    <row r="357" spans="1:8" x14ac:dyDescent="0.2">
      <c r="A357" s="3">
        <v>351</v>
      </c>
      <c r="B357" s="4"/>
      <c r="C357" s="3"/>
      <c r="D357" s="3"/>
      <c r="E357" s="4"/>
      <c r="F357" s="4" t="str">
        <f>IF(OR($C$3="",C357="",D357=""),"",IF(G357=0,"NO",IF(H357&lt;=SUMPRODUCT(('GLASS OFFCUTS LIST'!$D$2:$D$298=UPPER(TRIM(SUBSTITUTE(SUBSTITUTE($C$3,"   "," "),"  "," "))))*((('GLASS OFFCUTS LIST'!$A$2:$A$298&gt;=C357)*('GLASS OFFCUTS LIST'!$B$2:$B$298&gt;=D357))+(N(OR(E357=TRUE(),E357="Y",E357="y",E357="YES",E357="Yes"))*(('GLASS OFFCUTS LIST'!$A$2:$A$298&gt;=D357)*('GLASS OFFCUTS LIST'!$B$2:$B$298&gt;=C357)))&gt;0)),"YES","NO")))</f>
        <v/>
      </c>
      <c r="G357" t="str">
        <f>IF(OR($C$3="",C357="",D357=""),"",IF(SUMPRODUCT(('GLASS OFFCUTS LIST'!$D$2:$D$298=UPPER(TRIM(SUBSTITUTE(SUBSTITUTE($C$3,"   "," "),"  "," "))))*((('GLASS OFFCUTS LIST'!$A$2:$A$298&gt;=C357)*('GLASS OFFCUTS LIST'!$B$2:$B$298&gt;=D357))+(N(OR(E357=TRUE(),E357="Y",E357="y",E357="YES",E357="Yes"))*(('GLASS OFFCUTS LIST'!$A$2:$A$298&gt;=D357)*('GLASS OFFCUTS LIST'!$B$2:$B$298&gt;=C357)))&gt;0))&gt;0,1,0))</f>
        <v/>
      </c>
      <c r="H357" t="str">
        <f>IF(G357="","",SUM($G$7:G357))</f>
        <v/>
      </c>
    </row>
    <row r="358" spans="1:8" x14ac:dyDescent="0.2">
      <c r="A358" s="3">
        <v>352</v>
      </c>
      <c r="B358" s="4"/>
      <c r="C358" s="3"/>
      <c r="D358" s="3"/>
      <c r="E358" s="4"/>
      <c r="F358" s="4" t="str">
        <f>IF(OR($C$3="",C358="",D358=""),"",IF(G358=0,"NO",IF(H358&lt;=SUMPRODUCT(('GLASS OFFCUTS LIST'!$D$2:$D$298=UPPER(TRIM(SUBSTITUTE(SUBSTITUTE($C$3,"   "," "),"  "," "))))*((('GLASS OFFCUTS LIST'!$A$2:$A$298&gt;=C358)*('GLASS OFFCUTS LIST'!$B$2:$B$298&gt;=D358))+(N(OR(E358=TRUE(),E358="Y",E358="y",E358="YES",E358="Yes"))*(('GLASS OFFCUTS LIST'!$A$2:$A$298&gt;=D358)*('GLASS OFFCUTS LIST'!$B$2:$B$298&gt;=C358)))&gt;0)),"YES","NO")))</f>
        <v/>
      </c>
      <c r="G358" t="str">
        <f>IF(OR($C$3="",C358="",D358=""),"",IF(SUMPRODUCT(('GLASS OFFCUTS LIST'!$D$2:$D$298=UPPER(TRIM(SUBSTITUTE(SUBSTITUTE($C$3,"   "," "),"  "," "))))*((('GLASS OFFCUTS LIST'!$A$2:$A$298&gt;=C358)*('GLASS OFFCUTS LIST'!$B$2:$B$298&gt;=D358))+(N(OR(E358=TRUE(),E358="Y",E358="y",E358="YES",E358="Yes"))*(('GLASS OFFCUTS LIST'!$A$2:$A$298&gt;=D358)*('GLASS OFFCUTS LIST'!$B$2:$B$298&gt;=C358)))&gt;0))&gt;0,1,0))</f>
        <v/>
      </c>
      <c r="H358" t="str">
        <f>IF(G358="","",SUM($G$7:G358))</f>
        <v/>
      </c>
    </row>
    <row r="359" spans="1:8" x14ac:dyDescent="0.2">
      <c r="A359" s="3">
        <v>353</v>
      </c>
      <c r="B359" s="4"/>
      <c r="C359" s="3"/>
      <c r="D359" s="3"/>
      <c r="E359" s="4"/>
      <c r="F359" s="4" t="str">
        <f>IF(OR($C$3="",C359="",D359=""),"",IF(G359=0,"NO",IF(H359&lt;=SUMPRODUCT(('GLASS OFFCUTS LIST'!$D$2:$D$298=UPPER(TRIM(SUBSTITUTE(SUBSTITUTE($C$3,"   "," "),"  "," "))))*((('GLASS OFFCUTS LIST'!$A$2:$A$298&gt;=C359)*('GLASS OFFCUTS LIST'!$B$2:$B$298&gt;=D359))+(N(OR(E359=TRUE(),E359="Y",E359="y",E359="YES",E359="Yes"))*(('GLASS OFFCUTS LIST'!$A$2:$A$298&gt;=D359)*('GLASS OFFCUTS LIST'!$B$2:$B$298&gt;=C359)))&gt;0)),"YES","NO")))</f>
        <v/>
      </c>
      <c r="G359" t="str">
        <f>IF(OR($C$3="",C359="",D359=""),"",IF(SUMPRODUCT(('GLASS OFFCUTS LIST'!$D$2:$D$298=UPPER(TRIM(SUBSTITUTE(SUBSTITUTE($C$3,"   "," "),"  "," "))))*((('GLASS OFFCUTS LIST'!$A$2:$A$298&gt;=C359)*('GLASS OFFCUTS LIST'!$B$2:$B$298&gt;=D359))+(N(OR(E359=TRUE(),E359="Y",E359="y",E359="YES",E359="Yes"))*(('GLASS OFFCUTS LIST'!$A$2:$A$298&gt;=D359)*('GLASS OFFCUTS LIST'!$B$2:$B$298&gt;=C359)))&gt;0))&gt;0,1,0))</f>
        <v/>
      </c>
      <c r="H359" t="str">
        <f>IF(G359="","",SUM($G$7:G359))</f>
        <v/>
      </c>
    </row>
    <row r="360" spans="1:8" x14ac:dyDescent="0.2">
      <c r="A360" s="3">
        <v>354</v>
      </c>
      <c r="B360" s="4"/>
      <c r="C360" s="3"/>
      <c r="D360" s="3"/>
      <c r="E360" s="4"/>
      <c r="F360" s="4" t="str">
        <f>IF(OR($C$3="",C360="",D360=""),"",IF(G360=0,"NO",IF(H360&lt;=SUMPRODUCT(('GLASS OFFCUTS LIST'!$D$2:$D$298=UPPER(TRIM(SUBSTITUTE(SUBSTITUTE($C$3,"   "," "),"  "," "))))*((('GLASS OFFCUTS LIST'!$A$2:$A$298&gt;=C360)*('GLASS OFFCUTS LIST'!$B$2:$B$298&gt;=D360))+(N(OR(E360=TRUE(),E360="Y",E360="y",E360="YES",E360="Yes"))*(('GLASS OFFCUTS LIST'!$A$2:$A$298&gt;=D360)*('GLASS OFFCUTS LIST'!$B$2:$B$298&gt;=C360)))&gt;0)),"YES","NO")))</f>
        <v/>
      </c>
      <c r="G360" t="str">
        <f>IF(OR($C$3="",C360="",D360=""),"",IF(SUMPRODUCT(('GLASS OFFCUTS LIST'!$D$2:$D$298=UPPER(TRIM(SUBSTITUTE(SUBSTITUTE($C$3,"   "," "),"  "," "))))*((('GLASS OFFCUTS LIST'!$A$2:$A$298&gt;=C360)*('GLASS OFFCUTS LIST'!$B$2:$B$298&gt;=D360))+(N(OR(E360=TRUE(),E360="Y",E360="y",E360="YES",E360="Yes"))*(('GLASS OFFCUTS LIST'!$A$2:$A$298&gt;=D360)*('GLASS OFFCUTS LIST'!$B$2:$B$298&gt;=C360)))&gt;0))&gt;0,1,0))</f>
        <v/>
      </c>
      <c r="H360" t="str">
        <f>IF(G360="","",SUM($G$7:G360))</f>
        <v/>
      </c>
    </row>
    <row r="361" spans="1:8" x14ac:dyDescent="0.2">
      <c r="A361" s="3">
        <v>355</v>
      </c>
      <c r="B361" s="4"/>
      <c r="C361" s="3"/>
      <c r="D361" s="3"/>
      <c r="E361" s="4"/>
      <c r="F361" s="4" t="str">
        <f>IF(OR($C$3="",C361="",D361=""),"",IF(G361=0,"NO",IF(H361&lt;=SUMPRODUCT(('GLASS OFFCUTS LIST'!$D$2:$D$298=UPPER(TRIM(SUBSTITUTE(SUBSTITUTE($C$3,"   "," "),"  "," "))))*((('GLASS OFFCUTS LIST'!$A$2:$A$298&gt;=C361)*('GLASS OFFCUTS LIST'!$B$2:$B$298&gt;=D361))+(N(OR(E361=TRUE(),E361="Y",E361="y",E361="YES",E361="Yes"))*(('GLASS OFFCUTS LIST'!$A$2:$A$298&gt;=D361)*('GLASS OFFCUTS LIST'!$B$2:$B$298&gt;=C361)))&gt;0)),"YES","NO")))</f>
        <v/>
      </c>
      <c r="G361" t="str">
        <f>IF(OR($C$3="",C361="",D361=""),"",IF(SUMPRODUCT(('GLASS OFFCUTS LIST'!$D$2:$D$298=UPPER(TRIM(SUBSTITUTE(SUBSTITUTE($C$3,"   "," "),"  "," "))))*((('GLASS OFFCUTS LIST'!$A$2:$A$298&gt;=C361)*('GLASS OFFCUTS LIST'!$B$2:$B$298&gt;=D361))+(N(OR(E361=TRUE(),E361="Y",E361="y",E361="YES",E361="Yes"))*(('GLASS OFFCUTS LIST'!$A$2:$A$298&gt;=D361)*('GLASS OFFCUTS LIST'!$B$2:$B$298&gt;=C361)))&gt;0))&gt;0,1,0))</f>
        <v/>
      </c>
      <c r="H361" t="str">
        <f>IF(G361="","",SUM($G$7:G361))</f>
        <v/>
      </c>
    </row>
    <row r="362" spans="1:8" x14ac:dyDescent="0.2">
      <c r="A362" s="3">
        <v>356</v>
      </c>
      <c r="B362" s="4"/>
      <c r="C362" s="3"/>
      <c r="D362" s="3"/>
      <c r="E362" s="4"/>
      <c r="F362" s="4" t="str">
        <f>IF(OR($C$3="",C362="",D362=""),"",IF(G362=0,"NO",IF(H362&lt;=SUMPRODUCT(('GLASS OFFCUTS LIST'!$D$2:$D$298=UPPER(TRIM(SUBSTITUTE(SUBSTITUTE($C$3,"   "," "),"  "," "))))*((('GLASS OFFCUTS LIST'!$A$2:$A$298&gt;=C362)*('GLASS OFFCUTS LIST'!$B$2:$B$298&gt;=D362))+(N(OR(E362=TRUE(),E362="Y",E362="y",E362="YES",E362="Yes"))*(('GLASS OFFCUTS LIST'!$A$2:$A$298&gt;=D362)*('GLASS OFFCUTS LIST'!$B$2:$B$298&gt;=C362)))&gt;0)),"YES","NO")))</f>
        <v/>
      </c>
      <c r="G362" t="str">
        <f>IF(OR($C$3="",C362="",D362=""),"",IF(SUMPRODUCT(('GLASS OFFCUTS LIST'!$D$2:$D$298=UPPER(TRIM(SUBSTITUTE(SUBSTITUTE($C$3,"   "," "),"  "," "))))*((('GLASS OFFCUTS LIST'!$A$2:$A$298&gt;=C362)*('GLASS OFFCUTS LIST'!$B$2:$B$298&gt;=D362))+(N(OR(E362=TRUE(),E362="Y",E362="y",E362="YES",E362="Yes"))*(('GLASS OFFCUTS LIST'!$A$2:$A$298&gt;=D362)*('GLASS OFFCUTS LIST'!$B$2:$B$298&gt;=C362)))&gt;0))&gt;0,1,0))</f>
        <v/>
      </c>
      <c r="H362" t="str">
        <f>IF(G362="","",SUM($G$7:G362))</f>
        <v/>
      </c>
    </row>
    <row r="363" spans="1:8" x14ac:dyDescent="0.2">
      <c r="A363" s="3">
        <v>357</v>
      </c>
      <c r="B363" s="4"/>
      <c r="C363" s="3"/>
      <c r="D363" s="3"/>
      <c r="E363" s="4"/>
      <c r="F363" s="4" t="str">
        <f>IF(OR($C$3="",C363="",D363=""),"",IF(G363=0,"NO",IF(H363&lt;=SUMPRODUCT(('GLASS OFFCUTS LIST'!$D$2:$D$298=UPPER(TRIM(SUBSTITUTE(SUBSTITUTE($C$3,"   "," "),"  "," "))))*((('GLASS OFFCUTS LIST'!$A$2:$A$298&gt;=C363)*('GLASS OFFCUTS LIST'!$B$2:$B$298&gt;=D363))+(N(OR(E363=TRUE(),E363="Y",E363="y",E363="YES",E363="Yes"))*(('GLASS OFFCUTS LIST'!$A$2:$A$298&gt;=D363)*('GLASS OFFCUTS LIST'!$B$2:$B$298&gt;=C363)))&gt;0)),"YES","NO")))</f>
        <v/>
      </c>
      <c r="G363" t="str">
        <f>IF(OR($C$3="",C363="",D363=""),"",IF(SUMPRODUCT(('GLASS OFFCUTS LIST'!$D$2:$D$298=UPPER(TRIM(SUBSTITUTE(SUBSTITUTE($C$3,"   "," "),"  "," "))))*((('GLASS OFFCUTS LIST'!$A$2:$A$298&gt;=C363)*('GLASS OFFCUTS LIST'!$B$2:$B$298&gt;=D363))+(N(OR(E363=TRUE(),E363="Y",E363="y",E363="YES",E363="Yes"))*(('GLASS OFFCUTS LIST'!$A$2:$A$298&gt;=D363)*('GLASS OFFCUTS LIST'!$B$2:$B$298&gt;=C363)))&gt;0))&gt;0,1,0))</f>
        <v/>
      </c>
      <c r="H363" t="str">
        <f>IF(G363="","",SUM($G$7:G363))</f>
        <v/>
      </c>
    </row>
    <row r="364" spans="1:8" x14ac:dyDescent="0.2">
      <c r="A364" s="3">
        <v>358</v>
      </c>
      <c r="B364" s="4"/>
      <c r="C364" s="3"/>
      <c r="D364" s="3"/>
      <c r="E364" s="4"/>
      <c r="F364" s="4" t="str">
        <f>IF(OR($C$3="",C364="",D364=""),"",IF(G364=0,"NO",IF(H364&lt;=SUMPRODUCT(('GLASS OFFCUTS LIST'!$D$2:$D$298=UPPER(TRIM(SUBSTITUTE(SUBSTITUTE($C$3,"   "," "),"  "," "))))*((('GLASS OFFCUTS LIST'!$A$2:$A$298&gt;=C364)*('GLASS OFFCUTS LIST'!$B$2:$B$298&gt;=D364))+(N(OR(E364=TRUE(),E364="Y",E364="y",E364="YES",E364="Yes"))*(('GLASS OFFCUTS LIST'!$A$2:$A$298&gt;=D364)*('GLASS OFFCUTS LIST'!$B$2:$B$298&gt;=C364)))&gt;0)),"YES","NO")))</f>
        <v/>
      </c>
      <c r="G364" t="str">
        <f>IF(OR($C$3="",C364="",D364=""),"",IF(SUMPRODUCT(('GLASS OFFCUTS LIST'!$D$2:$D$298=UPPER(TRIM(SUBSTITUTE(SUBSTITUTE($C$3,"   "," "),"  "," "))))*((('GLASS OFFCUTS LIST'!$A$2:$A$298&gt;=C364)*('GLASS OFFCUTS LIST'!$B$2:$B$298&gt;=D364))+(N(OR(E364=TRUE(),E364="Y",E364="y",E364="YES",E364="Yes"))*(('GLASS OFFCUTS LIST'!$A$2:$A$298&gt;=D364)*('GLASS OFFCUTS LIST'!$B$2:$B$298&gt;=C364)))&gt;0))&gt;0,1,0))</f>
        <v/>
      </c>
      <c r="H364" t="str">
        <f>IF(G364="","",SUM($G$7:G364))</f>
        <v/>
      </c>
    </row>
    <row r="365" spans="1:8" x14ac:dyDescent="0.2">
      <c r="A365" s="3">
        <v>359</v>
      </c>
      <c r="B365" s="4"/>
      <c r="C365" s="3"/>
      <c r="D365" s="3"/>
      <c r="E365" s="4"/>
      <c r="F365" s="4" t="str">
        <f>IF(OR($C$3="",C365="",D365=""),"",IF(G365=0,"NO",IF(H365&lt;=SUMPRODUCT(('GLASS OFFCUTS LIST'!$D$2:$D$298=UPPER(TRIM(SUBSTITUTE(SUBSTITUTE($C$3,"   "," "),"  "," "))))*((('GLASS OFFCUTS LIST'!$A$2:$A$298&gt;=C365)*('GLASS OFFCUTS LIST'!$B$2:$B$298&gt;=D365))+(N(OR(E365=TRUE(),E365="Y",E365="y",E365="YES",E365="Yes"))*(('GLASS OFFCUTS LIST'!$A$2:$A$298&gt;=D365)*('GLASS OFFCUTS LIST'!$B$2:$B$298&gt;=C365)))&gt;0)),"YES","NO")))</f>
        <v/>
      </c>
      <c r="G365" t="str">
        <f>IF(OR($C$3="",C365="",D365=""),"",IF(SUMPRODUCT(('GLASS OFFCUTS LIST'!$D$2:$D$298=UPPER(TRIM(SUBSTITUTE(SUBSTITUTE($C$3,"   "," "),"  "," "))))*((('GLASS OFFCUTS LIST'!$A$2:$A$298&gt;=C365)*('GLASS OFFCUTS LIST'!$B$2:$B$298&gt;=D365))+(N(OR(E365=TRUE(),E365="Y",E365="y",E365="YES",E365="Yes"))*(('GLASS OFFCUTS LIST'!$A$2:$A$298&gt;=D365)*('GLASS OFFCUTS LIST'!$B$2:$B$298&gt;=C365)))&gt;0))&gt;0,1,0))</f>
        <v/>
      </c>
      <c r="H365" t="str">
        <f>IF(G365="","",SUM($G$7:G365))</f>
        <v/>
      </c>
    </row>
    <row r="366" spans="1:8" x14ac:dyDescent="0.2">
      <c r="A366" s="3">
        <v>360</v>
      </c>
      <c r="B366" s="4"/>
      <c r="C366" s="3"/>
      <c r="D366" s="3"/>
      <c r="E366" s="4"/>
      <c r="F366" s="4" t="str">
        <f>IF(OR($C$3="",C366="",D366=""),"",IF(G366=0,"NO",IF(H366&lt;=SUMPRODUCT(('GLASS OFFCUTS LIST'!$D$2:$D$298=UPPER(TRIM(SUBSTITUTE(SUBSTITUTE($C$3,"   "," "),"  "," "))))*((('GLASS OFFCUTS LIST'!$A$2:$A$298&gt;=C366)*('GLASS OFFCUTS LIST'!$B$2:$B$298&gt;=D366))+(N(OR(E366=TRUE(),E366="Y",E366="y",E366="YES",E366="Yes"))*(('GLASS OFFCUTS LIST'!$A$2:$A$298&gt;=D366)*('GLASS OFFCUTS LIST'!$B$2:$B$298&gt;=C366)))&gt;0)),"YES","NO")))</f>
        <v/>
      </c>
      <c r="G366" t="str">
        <f>IF(OR($C$3="",C366="",D366=""),"",IF(SUMPRODUCT(('GLASS OFFCUTS LIST'!$D$2:$D$298=UPPER(TRIM(SUBSTITUTE(SUBSTITUTE($C$3,"   "," "),"  "," "))))*((('GLASS OFFCUTS LIST'!$A$2:$A$298&gt;=C366)*('GLASS OFFCUTS LIST'!$B$2:$B$298&gt;=D366))+(N(OR(E366=TRUE(),E366="Y",E366="y",E366="YES",E366="Yes"))*(('GLASS OFFCUTS LIST'!$A$2:$A$298&gt;=D366)*('GLASS OFFCUTS LIST'!$B$2:$B$298&gt;=C366)))&gt;0))&gt;0,1,0))</f>
        <v/>
      </c>
      <c r="H366" t="str">
        <f>IF(G366="","",SUM($G$7:G366))</f>
        <v/>
      </c>
    </row>
    <row r="367" spans="1:8" x14ac:dyDescent="0.2">
      <c r="A367" s="3">
        <v>361</v>
      </c>
      <c r="B367" s="4"/>
      <c r="C367" s="3"/>
      <c r="D367" s="3"/>
      <c r="E367" s="4"/>
      <c r="F367" s="4" t="str">
        <f>IF(OR($C$3="",C367="",D367=""),"",IF(G367=0,"NO",IF(H367&lt;=SUMPRODUCT(('GLASS OFFCUTS LIST'!$D$2:$D$298=UPPER(TRIM(SUBSTITUTE(SUBSTITUTE($C$3,"   "," "),"  "," "))))*((('GLASS OFFCUTS LIST'!$A$2:$A$298&gt;=C367)*('GLASS OFFCUTS LIST'!$B$2:$B$298&gt;=D367))+(N(OR(E367=TRUE(),E367="Y",E367="y",E367="YES",E367="Yes"))*(('GLASS OFFCUTS LIST'!$A$2:$A$298&gt;=D367)*('GLASS OFFCUTS LIST'!$B$2:$B$298&gt;=C367)))&gt;0)),"YES","NO")))</f>
        <v/>
      </c>
      <c r="G367" t="str">
        <f>IF(OR($C$3="",C367="",D367=""),"",IF(SUMPRODUCT(('GLASS OFFCUTS LIST'!$D$2:$D$298=UPPER(TRIM(SUBSTITUTE(SUBSTITUTE($C$3,"   "," "),"  "," "))))*((('GLASS OFFCUTS LIST'!$A$2:$A$298&gt;=C367)*('GLASS OFFCUTS LIST'!$B$2:$B$298&gt;=D367))+(N(OR(E367=TRUE(),E367="Y",E367="y",E367="YES",E367="Yes"))*(('GLASS OFFCUTS LIST'!$A$2:$A$298&gt;=D367)*('GLASS OFFCUTS LIST'!$B$2:$B$298&gt;=C367)))&gt;0))&gt;0,1,0))</f>
        <v/>
      </c>
      <c r="H367" t="str">
        <f>IF(G367="","",SUM($G$7:G367))</f>
        <v/>
      </c>
    </row>
    <row r="368" spans="1:8" x14ac:dyDescent="0.2">
      <c r="A368" s="3">
        <v>362</v>
      </c>
      <c r="B368" s="4"/>
      <c r="C368" s="3"/>
      <c r="D368" s="3"/>
      <c r="E368" s="4"/>
      <c r="F368" s="4" t="str">
        <f>IF(OR($C$3="",C368="",D368=""),"",IF(G368=0,"NO",IF(H368&lt;=SUMPRODUCT(('GLASS OFFCUTS LIST'!$D$2:$D$298=UPPER(TRIM(SUBSTITUTE(SUBSTITUTE($C$3,"   "," "),"  "," "))))*((('GLASS OFFCUTS LIST'!$A$2:$A$298&gt;=C368)*('GLASS OFFCUTS LIST'!$B$2:$B$298&gt;=D368))+(N(OR(E368=TRUE(),E368="Y",E368="y",E368="YES",E368="Yes"))*(('GLASS OFFCUTS LIST'!$A$2:$A$298&gt;=D368)*('GLASS OFFCUTS LIST'!$B$2:$B$298&gt;=C368)))&gt;0)),"YES","NO")))</f>
        <v/>
      </c>
      <c r="G368" t="str">
        <f>IF(OR($C$3="",C368="",D368=""),"",IF(SUMPRODUCT(('GLASS OFFCUTS LIST'!$D$2:$D$298=UPPER(TRIM(SUBSTITUTE(SUBSTITUTE($C$3,"   "," "),"  "," "))))*((('GLASS OFFCUTS LIST'!$A$2:$A$298&gt;=C368)*('GLASS OFFCUTS LIST'!$B$2:$B$298&gt;=D368))+(N(OR(E368=TRUE(),E368="Y",E368="y",E368="YES",E368="Yes"))*(('GLASS OFFCUTS LIST'!$A$2:$A$298&gt;=D368)*('GLASS OFFCUTS LIST'!$B$2:$B$298&gt;=C368)))&gt;0))&gt;0,1,0))</f>
        <v/>
      </c>
      <c r="H368" t="str">
        <f>IF(G368="","",SUM($G$7:G368))</f>
        <v/>
      </c>
    </row>
    <row r="369" spans="1:8" x14ac:dyDescent="0.2">
      <c r="A369" s="3">
        <v>363</v>
      </c>
      <c r="B369" s="4"/>
      <c r="C369" s="3"/>
      <c r="D369" s="3"/>
      <c r="E369" s="4"/>
      <c r="F369" s="4" t="str">
        <f>IF(OR($C$3="",C369="",D369=""),"",IF(G369=0,"NO",IF(H369&lt;=SUMPRODUCT(('GLASS OFFCUTS LIST'!$D$2:$D$298=UPPER(TRIM(SUBSTITUTE(SUBSTITUTE($C$3,"   "," "),"  "," "))))*((('GLASS OFFCUTS LIST'!$A$2:$A$298&gt;=C369)*('GLASS OFFCUTS LIST'!$B$2:$B$298&gt;=D369))+(N(OR(E369=TRUE(),E369="Y",E369="y",E369="YES",E369="Yes"))*(('GLASS OFFCUTS LIST'!$A$2:$A$298&gt;=D369)*('GLASS OFFCUTS LIST'!$B$2:$B$298&gt;=C369)))&gt;0)),"YES","NO")))</f>
        <v/>
      </c>
      <c r="G369" t="str">
        <f>IF(OR($C$3="",C369="",D369=""),"",IF(SUMPRODUCT(('GLASS OFFCUTS LIST'!$D$2:$D$298=UPPER(TRIM(SUBSTITUTE(SUBSTITUTE($C$3,"   "," "),"  "," "))))*((('GLASS OFFCUTS LIST'!$A$2:$A$298&gt;=C369)*('GLASS OFFCUTS LIST'!$B$2:$B$298&gt;=D369))+(N(OR(E369=TRUE(),E369="Y",E369="y",E369="YES",E369="Yes"))*(('GLASS OFFCUTS LIST'!$A$2:$A$298&gt;=D369)*('GLASS OFFCUTS LIST'!$B$2:$B$298&gt;=C369)))&gt;0))&gt;0,1,0))</f>
        <v/>
      </c>
      <c r="H369" t="str">
        <f>IF(G369="","",SUM($G$7:G369))</f>
        <v/>
      </c>
    </row>
    <row r="370" spans="1:8" x14ac:dyDescent="0.2">
      <c r="A370" s="3">
        <v>364</v>
      </c>
      <c r="B370" s="4"/>
      <c r="C370" s="3"/>
      <c r="D370" s="3"/>
      <c r="E370" s="4"/>
      <c r="F370" s="4" t="str">
        <f>IF(OR($C$3="",C370="",D370=""),"",IF(G370=0,"NO",IF(H370&lt;=SUMPRODUCT(('GLASS OFFCUTS LIST'!$D$2:$D$298=UPPER(TRIM(SUBSTITUTE(SUBSTITUTE($C$3,"   "," "),"  "," "))))*((('GLASS OFFCUTS LIST'!$A$2:$A$298&gt;=C370)*('GLASS OFFCUTS LIST'!$B$2:$B$298&gt;=D370))+(N(OR(E370=TRUE(),E370="Y",E370="y",E370="YES",E370="Yes"))*(('GLASS OFFCUTS LIST'!$A$2:$A$298&gt;=D370)*('GLASS OFFCUTS LIST'!$B$2:$B$298&gt;=C370)))&gt;0)),"YES","NO")))</f>
        <v/>
      </c>
      <c r="G370" t="str">
        <f>IF(OR($C$3="",C370="",D370=""),"",IF(SUMPRODUCT(('GLASS OFFCUTS LIST'!$D$2:$D$298=UPPER(TRIM(SUBSTITUTE(SUBSTITUTE($C$3,"   "," "),"  "," "))))*((('GLASS OFFCUTS LIST'!$A$2:$A$298&gt;=C370)*('GLASS OFFCUTS LIST'!$B$2:$B$298&gt;=D370))+(N(OR(E370=TRUE(),E370="Y",E370="y",E370="YES",E370="Yes"))*(('GLASS OFFCUTS LIST'!$A$2:$A$298&gt;=D370)*('GLASS OFFCUTS LIST'!$B$2:$B$298&gt;=C370)))&gt;0))&gt;0,1,0))</f>
        <v/>
      </c>
      <c r="H370" t="str">
        <f>IF(G370="","",SUM($G$7:G370))</f>
        <v/>
      </c>
    </row>
    <row r="371" spans="1:8" x14ac:dyDescent="0.2">
      <c r="A371" s="3">
        <v>365</v>
      </c>
      <c r="B371" s="4"/>
      <c r="C371" s="3"/>
      <c r="D371" s="3"/>
      <c r="E371" s="4"/>
      <c r="F371" s="4" t="str">
        <f>IF(OR($C$3="",C371="",D371=""),"",IF(G371=0,"NO",IF(H371&lt;=SUMPRODUCT(('GLASS OFFCUTS LIST'!$D$2:$D$298=UPPER(TRIM(SUBSTITUTE(SUBSTITUTE($C$3,"   "," "),"  "," "))))*((('GLASS OFFCUTS LIST'!$A$2:$A$298&gt;=C371)*('GLASS OFFCUTS LIST'!$B$2:$B$298&gt;=D371))+(N(OR(E371=TRUE(),E371="Y",E371="y",E371="YES",E371="Yes"))*(('GLASS OFFCUTS LIST'!$A$2:$A$298&gt;=D371)*('GLASS OFFCUTS LIST'!$B$2:$B$298&gt;=C371)))&gt;0)),"YES","NO")))</f>
        <v/>
      </c>
      <c r="G371" t="str">
        <f>IF(OR($C$3="",C371="",D371=""),"",IF(SUMPRODUCT(('GLASS OFFCUTS LIST'!$D$2:$D$298=UPPER(TRIM(SUBSTITUTE(SUBSTITUTE($C$3,"   "," "),"  "," "))))*((('GLASS OFFCUTS LIST'!$A$2:$A$298&gt;=C371)*('GLASS OFFCUTS LIST'!$B$2:$B$298&gt;=D371))+(N(OR(E371=TRUE(),E371="Y",E371="y",E371="YES",E371="Yes"))*(('GLASS OFFCUTS LIST'!$A$2:$A$298&gt;=D371)*('GLASS OFFCUTS LIST'!$B$2:$B$298&gt;=C371)))&gt;0))&gt;0,1,0))</f>
        <v/>
      </c>
      <c r="H371" t="str">
        <f>IF(G371="","",SUM($G$7:G371))</f>
        <v/>
      </c>
    </row>
    <row r="372" spans="1:8" x14ac:dyDescent="0.2">
      <c r="A372" s="3">
        <v>366</v>
      </c>
      <c r="B372" s="4"/>
      <c r="C372" s="3"/>
      <c r="D372" s="3"/>
      <c r="E372" s="4"/>
      <c r="F372" s="4" t="str">
        <f>IF(OR($C$3="",C372="",D372=""),"",IF(G372=0,"NO",IF(H372&lt;=SUMPRODUCT(('GLASS OFFCUTS LIST'!$D$2:$D$298=UPPER(TRIM(SUBSTITUTE(SUBSTITUTE($C$3,"   "," "),"  "," "))))*((('GLASS OFFCUTS LIST'!$A$2:$A$298&gt;=C372)*('GLASS OFFCUTS LIST'!$B$2:$B$298&gt;=D372))+(N(OR(E372=TRUE(),E372="Y",E372="y",E372="YES",E372="Yes"))*(('GLASS OFFCUTS LIST'!$A$2:$A$298&gt;=D372)*('GLASS OFFCUTS LIST'!$B$2:$B$298&gt;=C372)))&gt;0)),"YES","NO")))</f>
        <v/>
      </c>
      <c r="G372" t="str">
        <f>IF(OR($C$3="",C372="",D372=""),"",IF(SUMPRODUCT(('GLASS OFFCUTS LIST'!$D$2:$D$298=UPPER(TRIM(SUBSTITUTE(SUBSTITUTE($C$3,"   "," "),"  "," "))))*((('GLASS OFFCUTS LIST'!$A$2:$A$298&gt;=C372)*('GLASS OFFCUTS LIST'!$B$2:$B$298&gt;=D372))+(N(OR(E372=TRUE(),E372="Y",E372="y",E372="YES",E372="Yes"))*(('GLASS OFFCUTS LIST'!$A$2:$A$298&gt;=D372)*('GLASS OFFCUTS LIST'!$B$2:$B$298&gt;=C372)))&gt;0))&gt;0,1,0))</f>
        <v/>
      </c>
      <c r="H372" t="str">
        <f>IF(G372="","",SUM($G$7:G372))</f>
        <v/>
      </c>
    </row>
    <row r="373" spans="1:8" x14ac:dyDescent="0.2">
      <c r="A373" s="3">
        <v>367</v>
      </c>
      <c r="B373" s="4"/>
      <c r="C373" s="3"/>
      <c r="D373" s="3"/>
      <c r="E373" s="4"/>
      <c r="F373" s="4" t="str">
        <f>IF(OR($C$3="",C373="",D373=""),"",IF(G373=0,"NO",IF(H373&lt;=SUMPRODUCT(('GLASS OFFCUTS LIST'!$D$2:$D$298=UPPER(TRIM(SUBSTITUTE(SUBSTITUTE($C$3,"   "," "),"  "," "))))*((('GLASS OFFCUTS LIST'!$A$2:$A$298&gt;=C373)*('GLASS OFFCUTS LIST'!$B$2:$B$298&gt;=D373))+(N(OR(E373=TRUE(),E373="Y",E373="y",E373="YES",E373="Yes"))*(('GLASS OFFCUTS LIST'!$A$2:$A$298&gt;=D373)*('GLASS OFFCUTS LIST'!$B$2:$B$298&gt;=C373)))&gt;0)),"YES","NO")))</f>
        <v/>
      </c>
      <c r="G373" t="str">
        <f>IF(OR($C$3="",C373="",D373=""),"",IF(SUMPRODUCT(('GLASS OFFCUTS LIST'!$D$2:$D$298=UPPER(TRIM(SUBSTITUTE(SUBSTITUTE($C$3,"   "," "),"  "," "))))*((('GLASS OFFCUTS LIST'!$A$2:$A$298&gt;=C373)*('GLASS OFFCUTS LIST'!$B$2:$B$298&gt;=D373))+(N(OR(E373=TRUE(),E373="Y",E373="y",E373="YES",E373="Yes"))*(('GLASS OFFCUTS LIST'!$A$2:$A$298&gt;=D373)*('GLASS OFFCUTS LIST'!$B$2:$B$298&gt;=C373)))&gt;0))&gt;0,1,0))</f>
        <v/>
      </c>
      <c r="H373" t="str">
        <f>IF(G373="","",SUM($G$7:G373))</f>
        <v/>
      </c>
    </row>
    <row r="374" spans="1:8" x14ac:dyDescent="0.2">
      <c r="A374" s="3">
        <v>368</v>
      </c>
      <c r="B374" s="4"/>
      <c r="C374" s="3"/>
      <c r="D374" s="3"/>
      <c r="E374" s="4"/>
      <c r="F374" s="4" t="str">
        <f>IF(OR($C$3="",C374="",D374=""),"",IF(G374=0,"NO",IF(H374&lt;=SUMPRODUCT(('GLASS OFFCUTS LIST'!$D$2:$D$298=UPPER(TRIM(SUBSTITUTE(SUBSTITUTE($C$3,"   "," "),"  "," "))))*((('GLASS OFFCUTS LIST'!$A$2:$A$298&gt;=C374)*('GLASS OFFCUTS LIST'!$B$2:$B$298&gt;=D374))+(N(OR(E374=TRUE(),E374="Y",E374="y",E374="YES",E374="Yes"))*(('GLASS OFFCUTS LIST'!$A$2:$A$298&gt;=D374)*('GLASS OFFCUTS LIST'!$B$2:$B$298&gt;=C374)))&gt;0)),"YES","NO")))</f>
        <v/>
      </c>
      <c r="G374" t="str">
        <f>IF(OR($C$3="",C374="",D374=""),"",IF(SUMPRODUCT(('GLASS OFFCUTS LIST'!$D$2:$D$298=UPPER(TRIM(SUBSTITUTE(SUBSTITUTE($C$3,"   "," "),"  "," "))))*((('GLASS OFFCUTS LIST'!$A$2:$A$298&gt;=C374)*('GLASS OFFCUTS LIST'!$B$2:$B$298&gt;=D374))+(N(OR(E374=TRUE(),E374="Y",E374="y",E374="YES",E374="Yes"))*(('GLASS OFFCUTS LIST'!$A$2:$A$298&gt;=D374)*('GLASS OFFCUTS LIST'!$B$2:$B$298&gt;=C374)))&gt;0))&gt;0,1,0))</f>
        <v/>
      </c>
      <c r="H374" t="str">
        <f>IF(G374="","",SUM($G$7:G374))</f>
        <v/>
      </c>
    </row>
    <row r="375" spans="1:8" x14ac:dyDescent="0.2">
      <c r="A375" s="3">
        <v>369</v>
      </c>
      <c r="B375" s="4"/>
      <c r="C375" s="3"/>
      <c r="D375" s="3"/>
      <c r="E375" s="4"/>
      <c r="F375" s="4" t="str">
        <f>IF(OR($C$3="",C375="",D375=""),"",IF(G375=0,"NO",IF(H375&lt;=SUMPRODUCT(('GLASS OFFCUTS LIST'!$D$2:$D$298=UPPER(TRIM(SUBSTITUTE(SUBSTITUTE($C$3,"   "," "),"  "," "))))*((('GLASS OFFCUTS LIST'!$A$2:$A$298&gt;=C375)*('GLASS OFFCUTS LIST'!$B$2:$B$298&gt;=D375))+(N(OR(E375=TRUE(),E375="Y",E375="y",E375="YES",E375="Yes"))*(('GLASS OFFCUTS LIST'!$A$2:$A$298&gt;=D375)*('GLASS OFFCUTS LIST'!$B$2:$B$298&gt;=C375)))&gt;0)),"YES","NO")))</f>
        <v/>
      </c>
      <c r="G375" t="str">
        <f>IF(OR($C$3="",C375="",D375=""),"",IF(SUMPRODUCT(('GLASS OFFCUTS LIST'!$D$2:$D$298=UPPER(TRIM(SUBSTITUTE(SUBSTITUTE($C$3,"   "," "),"  "," "))))*((('GLASS OFFCUTS LIST'!$A$2:$A$298&gt;=C375)*('GLASS OFFCUTS LIST'!$B$2:$B$298&gt;=D375))+(N(OR(E375=TRUE(),E375="Y",E375="y",E375="YES",E375="Yes"))*(('GLASS OFFCUTS LIST'!$A$2:$A$298&gt;=D375)*('GLASS OFFCUTS LIST'!$B$2:$B$298&gt;=C375)))&gt;0))&gt;0,1,0))</f>
        <v/>
      </c>
      <c r="H375" t="str">
        <f>IF(G375="","",SUM($G$7:G375))</f>
        <v/>
      </c>
    </row>
    <row r="376" spans="1:8" x14ac:dyDescent="0.2">
      <c r="A376" s="3">
        <v>370</v>
      </c>
      <c r="B376" s="4"/>
      <c r="C376" s="3"/>
      <c r="D376" s="3"/>
      <c r="E376" s="4"/>
      <c r="F376" s="4" t="str">
        <f>IF(OR($C$3="",C376="",D376=""),"",IF(G376=0,"NO",IF(H376&lt;=SUMPRODUCT(('GLASS OFFCUTS LIST'!$D$2:$D$298=UPPER(TRIM(SUBSTITUTE(SUBSTITUTE($C$3,"   "," "),"  "," "))))*((('GLASS OFFCUTS LIST'!$A$2:$A$298&gt;=C376)*('GLASS OFFCUTS LIST'!$B$2:$B$298&gt;=D376))+(N(OR(E376=TRUE(),E376="Y",E376="y",E376="YES",E376="Yes"))*(('GLASS OFFCUTS LIST'!$A$2:$A$298&gt;=D376)*('GLASS OFFCUTS LIST'!$B$2:$B$298&gt;=C376)))&gt;0)),"YES","NO")))</f>
        <v/>
      </c>
      <c r="G376" t="str">
        <f>IF(OR($C$3="",C376="",D376=""),"",IF(SUMPRODUCT(('GLASS OFFCUTS LIST'!$D$2:$D$298=UPPER(TRIM(SUBSTITUTE(SUBSTITUTE($C$3,"   "," "),"  "," "))))*((('GLASS OFFCUTS LIST'!$A$2:$A$298&gt;=C376)*('GLASS OFFCUTS LIST'!$B$2:$B$298&gt;=D376))+(N(OR(E376=TRUE(),E376="Y",E376="y",E376="YES",E376="Yes"))*(('GLASS OFFCUTS LIST'!$A$2:$A$298&gt;=D376)*('GLASS OFFCUTS LIST'!$B$2:$B$298&gt;=C376)))&gt;0))&gt;0,1,0))</f>
        <v/>
      </c>
      <c r="H376" t="str">
        <f>IF(G376="","",SUM($G$7:G376))</f>
        <v/>
      </c>
    </row>
    <row r="377" spans="1:8" x14ac:dyDescent="0.2">
      <c r="A377" s="3">
        <v>371</v>
      </c>
      <c r="B377" s="4"/>
      <c r="C377" s="3"/>
      <c r="D377" s="3"/>
      <c r="E377" s="4"/>
      <c r="F377" s="4" t="str">
        <f>IF(OR($C$3="",C377="",D377=""),"",IF(G377=0,"NO",IF(H377&lt;=SUMPRODUCT(('GLASS OFFCUTS LIST'!$D$2:$D$298=UPPER(TRIM(SUBSTITUTE(SUBSTITUTE($C$3,"   "," "),"  "," "))))*((('GLASS OFFCUTS LIST'!$A$2:$A$298&gt;=C377)*('GLASS OFFCUTS LIST'!$B$2:$B$298&gt;=D377))+(N(OR(E377=TRUE(),E377="Y",E377="y",E377="YES",E377="Yes"))*(('GLASS OFFCUTS LIST'!$A$2:$A$298&gt;=D377)*('GLASS OFFCUTS LIST'!$B$2:$B$298&gt;=C377)))&gt;0)),"YES","NO")))</f>
        <v/>
      </c>
      <c r="G377" t="str">
        <f>IF(OR($C$3="",C377="",D377=""),"",IF(SUMPRODUCT(('GLASS OFFCUTS LIST'!$D$2:$D$298=UPPER(TRIM(SUBSTITUTE(SUBSTITUTE($C$3,"   "," "),"  "," "))))*((('GLASS OFFCUTS LIST'!$A$2:$A$298&gt;=C377)*('GLASS OFFCUTS LIST'!$B$2:$B$298&gt;=D377))+(N(OR(E377=TRUE(),E377="Y",E377="y",E377="YES",E377="Yes"))*(('GLASS OFFCUTS LIST'!$A$2:$A$298&gt;=D377)*('GLASS OFFCUTS LIST'!$B$2:$B$298&gt;=C377)))&gt;0))&gt;0,1,0))</f>
        <v/>
      </c>
      <c r="H377" t="str">
        <f>IF(G377="","",SUM($G$7:G377))</f>
        <v/>
      </c>
    </row>
    <row r="378" spans="1:8" x14ac:dyDescent="0.2">
      <c r="A378" s="3">
        <v>372</v>
      </c>
      <c r="B378" s="4"/>
      <c r="C378" s="3"/>
      <c r="D378" s="3"/>
      <c r="E378" s="4"/>
      <c r="F378" s="4" t="str">
        <f>IF(OR($C$3="",C378="",D378=""),"",IF(G378=0,"NO",IF(H378&lt;=SUMPRODUCT(('GLASS OFFCUTS LIST'!$D$2:$D$298=UPPER(TRIM(SUBSTITUTE(SUBSTITUTE($C$3,"   "," "),"  "," "))))*((('GLASS OFFCUTS LIST'!$A$2:$A$298&gt;=C378)*('GLASS OFFCUTS LIST'!$B$2:$B$298&gt;=D378))+(N(OR(E378=TRUE(),E378="Y",E378="y",E378="YES",E378="Yes"))*(('GLASS OFFCUTS LIST'!$A$2:$A$298&gt;=D378)*('GLASS OFFCUTS LIST'!$B$2:$B$298&gt;=C378)))&gt;0)),"YES","NO")))</f>
        <v/>
      </c>
      <c r="G378" t="str">
        <f>IF(OR($C$3="",C378="",D378=""),"",IF(SUMPRODUCT(('GLASS OFFCUTS LIST'!$D$2:$D$298=UPPER(TRIM(SUBSTITUTE(SUBSTITUTE($C$3,"   "," "),"  "," "))))*((('GLASS OFFCUTS LIST'!$A$2:$A$298&gt;=C378)*('GLASS OFFCUTS LIST'!$B$2:$B$298&gt;=D378))+(N(OR(E378=TRUE(),E378="Y",E378="y",E378="YES",E378="Yes"))*(('GLASS OFFCUTS LIST'!$A$2:$A$298&gt;=D378)*('GLASS OFFCUTS LIST'!$B$2:$B$298&gt;=C378)))&gt;0))&gt;0,1,0))</f>
        <v/>
      </c>
      <c r="H378" t="str">
        <f>IF(G378="","",SUM($G$7:G378))</f>
        <v/>
      </c>
    </row>
    <row r="379" spans="1:8" x14ac:dyDescent="0.2">
      <c r="A379" s="3">
        <v>373</v>
      </c>
      <c r="B379" s="4"/>
      <c r="C379" s="3"/>
      <c r="D379" s="3"/>
      <c r="E379" s="4"/>
      <c r="F379" s="4" t="str">
        <f>IF(OR($C$3="",C379="",D379=""),"",IF(G379=0,"NO",IF(H379&lt;=SUMPRODUCT(('GLASS OFFCUTS LIST'!$D$2:$D$298=UPPER(TRIM(SUBSTITUTE(SUBSTITUTE($C$3,"   "," "),"  "," "))))*((('GLASS OFFCUTS LIST'!$A$2:$A$298&gt;=C379)*('GLASS OFFCUTS LIST'!$B$2:$B$298&gt;=D379))+(N(OR(E379=TRUE(),E379="Y",E379="y",E379="YES",E379="Yes"))*(('GLASS OFFCUTS LIST'!$A$2:$A$298&gt;=D379)*('GLASS OFFCUTS LIST'!$B$2:$B$298&gt;=C379)))&gt;0)),"YES","NO")))</f>
        <v/>
      </c>
      <c r="G379" t="str">
        <f>IF(OR($C$3="",C379="",D379=""),"",IF(SUMPRODUCT(('GLASS OFFCUTS LIST'!$D$2:$D$298=UPPER(TRIM(SUBSTITUTE(SUBSTITUTE($C$3,"   "," "),"  "," "))))*((('GLASS OFFCUTS LIST'!$A$2:$A$298&gt;=C379)*('GLASS OFFCUTS LIST'!$B$2:$B$298&gt;=D379))+(N(OR(E379=TRUE(),E379="Y",E379="y",E379="YES",E379="Yes"))*(('GLASS OFFCUTS LIST'!$A$2:$A$298&gt;=D379)*('GLASS OFFCUTS LIST'!$B$2:$B$298&gt;=C379)))&gt;0))&gt;0,1,0))</f>
        <v/>
      </c>
      <c r="H379" t="str">
        <f>IF(G379="","",SUM($G$7:G379))</f>
        <v/>
      </c>
    </row>
    <row r="380" spans="1:8" x14ac:dyDescent="0.2">
      <c r="A380" s="3">
        <v>374</v>
      </c>
      <c r="B380" s="4"/>
      <c r="C380" s="3"/>
      <c r="D380" s="3"/>
      <c r="E380" s="4"/>
      <c r="F380" s="4" t="str">
        <f>IF(OR($C$3="",C380="",D380=""),"",IF(G380=0,"NO",IF(H380&lt;=SUMPRODUCT(('GLASS OFFCUTS LIST'!$D$2:$D$298=UPPER(TRIM(SUBSTITUTE(SUBSTITUTE($C$3,"   "," "),"  "," "))))*((('GLASS OFFCUTS LIST'!$A$2:$A$298&gt;=C380)*('GLASS OFFCUTS LIST'!$B$2:$B$298&gt;=D380))+(N(OR(E380=TRUE(),E380="Y",E380="y",E380="YES",E380="Yes"))*(('GLASS OFFCUTS LIST'!$A$2:$A$298&gt;=D380)*('GLASS OFFCUTS LIST'!$B$2:$B$298&gt;=C380)))&gt;0)),"YES","NO")))</f>
        <v/>
      </c>
      <c r="G380" t="str">
        <f>IF(OR($C$3="",C380="",D380=""),"",IF(SUMPRODUCT(('GLASS OFFCUTS LIST'!$D$2:$D$298=UPPER(TRIM(SUBSTITUTE(SUBSTITUTE($C$3,"   "," "),"  "," "))))*((('GLASS OFFCUTS LIST'!$A$2:$A$298&gt;=C380)*('GLASS OFFCUTS LIST'!$B$2:$B$298&gt;=D380))+(N(OR(E380=TRUE(),E380="Y",E380="y",E380="YES",E380="Yes"))*(('GLASS OFFCUTS LIST'!$A$2:$A$298&gt;=D380)*('GLASS OFFCUTS LIST'!$B$2:$B$298&gt;=C380)))&gt;0))&gt;0,1,0))</f>
        <v/>
      </c>
      <c r="H380" t="str">
        <f>IF(G380="","",SUM($G$7:G380))</f>
        <v/>
      </c>
    </row>
    <row r="381" spans="1:8" x14ac:dyDescent="0.2">
      <c r="A381" s="3">
        <v>375</v>
      </c>
      <c r="B381" s="4"/>
      <c r="C381" s="3"/>
      <c r="D381" s="3"/>
      <c r="E381" s="4"/>
      <c r="F381" s="4" t="str">
        <f>IF(OR($C$3="",C381="",D381=""),"",IF(G381=0,"NO",IF(H381&lt;=SUMPRODUCT(('GLASS OFFCUTS LIST'!$D$2:$D$298=UPPER(TRIM(SUBSTITUTE(SUBSTITUTE($C$3,"   "," "),"  "," "))))*((('GLASS OFFCUTS LIST'!$A$2:$A$298&gt;=C381)*('GLASS OFFCUTS LIST'!$B$2:$B$298&gt;=D381))+(N(OR(E381=TRUE(),E381="Y",E381="y",E381="YES",E381="Yes"))*(('GLASS OFFCUTS LIST'!$A$2:$A$298&gt;=D381)*('GLASS OFFCUTS LIST'!$B$2:$B$298&gt;=C381)))&gt;0)),"YES","NO")))</f>
        <v/>
      </c>
      <c r="G381" t="str">
        <f>IF(OR($C$3="",C381="",D381=""),"",IF(SUMPRODUCT(('GLASS OFFCUTS LIST'!$D$2:$D$298=UPPER(TRIM(SUBSTITUTE(SUBSTITUTE($C$3,"   "," "),"  "," "))))*((('GLASS OFFCUTS LIST'!$A$2:$A$298&gt;=C381)*('GLASS OFFCUTS LIST'!$B$2:$B$298&gt;=D381))+(N(OR(E381=TRUE(),E381="Y",E381="y",E381="YES",E381="Yes"))*(('GLASS OFFCUTS LIST'!$A$2:$A$298&gt;=D381)*('GLASS OFFCUTS LIST'!$B$2:$B$298&gt;=C381)))&gt;0))&gt;0,1,0))</f>
        <v/>
      </c>
      <c r="H381" t="str">
        <f>IF(G381="","",SUM($G$7:G381))</f>
        <v/>
      </c>
    </row>
    <row r="382" spans="1:8" x14ac:dyDescent="0.2">
      <c r="A382" s="3">
        <v>376</v>
      </c>
      <c r="B382" s="4"/>
      <c r="C382" s="3"/>
      <c r="D382" s="3"/>
      <c r="E382" s="4"/>
      <c r="F382" s="4" t="str">
        <f>IF(OR($C$3="",C382="",D382=""),"",IF(G382=0,"NO",IF(H382&lt;=SUMPRODUCT(('GLASS OFFCUTS LIST'!$D$2:$D$298=UPPER(TRIM(SUBSTITUTE(SUBSTITUTE($C$3,"   "," "),"  "," "))))*((('GLASS OFFCUTS LIST'!$A$2:$A$298&gt;=C382)*('GLASS OFFCUTS LIST'!$B$2:$B$298&gt;=D382))+(N(OR(E382=TRUE(),E382="Y",E382="y",E382="YES",E382="Yes"))*(('GLASS OFFCUTS LIST'!$A$2:$A$298&gt;=D382)*('GLASS OFFCUTS LIST'!$B$2:$B$298&gt;=C382)))&gt;0)),"YES","NO")))</f>
        <v/>
      </c>
      <c r="G382" t="str">
        <f>IF(OR($C$3="",C382="",D382=""),"",IF(SUMPRODUCT(('GLASS OFFCUTS LIST'!$D$2:$D$298=UPPER(TRIM(SUBSTITUTE(SUBSTITUTE($C$3,"   "," "),"  "," "))))*((('GLASS OFFCUTS LIST'!$A$2:$A$298&gt;=C382)*('GLASS OFFCUTS LIST'!$B$2:$B$298&gt;=D382))+(N(OR(E382=TRUE(),E382="Y",E382="y",E382="YES",E382="Yes"))*(('GLASS OFFCUTS LIST'!$A$2:$A$298&gt;=D382)*('GLASS OFFCUTS LIST'!$B$2:$B$298&gt;=C382)))&gt;0))&gt;0,1,0))</f>
        <v/>
      </c>
      <c r="H382" t="str">
        <f>IF(G382="","",SUM($G$7:G382))</f>
        <v/>
      </c>
    </row>
    <row r="383" spans="1:8" x14ac:dyDescent="0.2">
      <c r="A383" s="3">
        <v>377</v>
      </c>
      <c r="B383" s="4"/>
      <c r="C383" s="3"/>
      <c r="D383" s="3"/>
      <c r="E383" s="4"/>
      <c r="F383" s="4" t="str">
        <f>IF(OR($C$3="",C383="",D383=""),"",IF(G383=0,"NO",IF(H383&lt;=SUMPRODUCT(('GLASS OFFCUTS LIST'!$D$2:$D$298=UPPER(TRIM(SUBSTITUTE(SUBSTITUTE($C$3,"   "," "),"  "," "))))*((('GLASS OFFCUTS LIST'!$A$2:$A$298&gt;=C383)*('GLASS OFFCUTS LIST'!$B$2:$B$298&gt;=D383))+(N(OR(E383=TRUE(),E383="Y",E383="y",E383="YES",E383="Yes"))*(('GLASS OFFCUTS LIST'!$A$2:$A$298&gt;=D383)*('GLASS OFFCUTS LIST'!$B$2:$B$298&gt;=C383)))&gt;0)),"YES","NO")))</f>
        <v/>
      </c>
      <c r="G383" t="str">
        <f>IF(OR($C$3="",C383="",D383=""),"",IF(SUMPRODUCT(('GLASS OFFCUTS LIST'!$D$2:$D$298=UPPER(TRIM(SUBSTITUTE(SUBSTITUTE($C$3,"   "," "),"  "," "))))*((('GLASS OFFCUTS LIST'!$A$2:$A$298&gt;=C383)*('GLASS OFFCUTS LIST'!$B$2:$B$298&gt;=D383))+(N(OR(E383=TRUE(),E383="Y",E383="y",E383="YES",E383="Yes"))*(('GLASS OFFCUTS LIST'!$A$2:$A$298&gt;=D383)*('GLASS OFFCUTS LIST'!$B$2:$B$298&gt;=C383)))&gt;0))&gt;0,1,0))</f>
        <v/>
      </c>
      <c r="H383" t="str">
        <f>IF(G383="","",SUM($G$7:G383))</f>
        <v/>
      </c>
    </row>
    <row r="384" spans="1:8" x14ac:dyDescent="0.2">
      <c r="A384" s="3">
        <v>378</v>
      </c>
      <c r="B384" s="4"/>
      <c r="C384" s="3"/>
      <c r="D384" s="3"/>
      <c r="E384" s="4"/>
      <c r="F384" s="4" t="str">
        <f>IF(OR($C$3="",C384="",D384=""),"",IF(G384=0,"NO",IF(H384&lt;=SUMPRODUCT(('GLASS OFFCUTS LIST'!$D$2:$D$298=UPPER(TRIM(SUBSTITUTE(SUBSTITUTE($C$3,"   "," "),"  "," "))))*((('GLASS OFFCUTS LIST'!$A$2:$A$298&gt;=C384)*('GLASS OFFCUTS LIST'!$B$2:$B$298&gt;=D384))+(N(OR(E384=TRUE(),E384="Y",E384="y",E384="YES",E384="Yes"))*(('GLASS OFFCUTS LIST'!$A$2:$A$298&gt;=D384)*('GLASS OFFCUTS LIST'!$B$2:$B$298&gt;=C384)))&gt;0)),"YES","NO")))</f>
        <v/>
      </c>
      <c r="G384" t="str">
        <f>IF(OR($C$3="",C384="",D384=""),"",IF(SUMPRODUCT(('GLASS OFFCUTS LIST'!$D$2:$D$298=UPPER(TRIM(SUBSTITUTE(SUBSTITUTE($C$3,"   "," "),"  "," "))))*((('GLASS OFFCUTS LIST'!$A$2:$A$298&gt;=C384)*('GLASS OFFCUTS LIST'!$B$2:$B$298&gt;=D384))+(N(OR(E384=TRUE(),E384="Y",E384="y",E384="YES",E384="Yes"))*(('GLASS OFFCUTS LIST'!$A$2:$A$298&gt;=D384)*('GLASS OFFCUTS LIST'!$B$2:$B$298&gt;=C384)))&gt;0))&gt;0,1,0))</f>
        <v/>
      </c>
      <c r="H384" t="str">
        <f>IF(G384="","",SUM($G$7:G384))</f>
        <v/>
      </c>
    </row>
    <row r="385" spans="1:8" x14ac:dyDescent="0.2">
      <c r="A385" s="3">
        <v>379</v>
      </c>
      <c r="B385" s="4"/>
      <c r="C385" s="3"/>
      <c r="D385" s="3"/>
      <c r="E385" s="4"/>
      <c r="F385" s="4" t="str">
        <f>IF(OR($C$3="",C385="",D385=""),"",IF(G385=0,"NO",IF(H385&lt;=SUMPRODUCT(('GLASS OFFCUTS LIST'!$D$2:$D$298=UPPER(TRIM(SUBSTITUTE(SUBSTITUTE($C$3,"   "," "),"  "," "))))*((('GLASS OFFCUTS LIST'!$A$2:$A$298&gt;=C385)*('GLASS OFFCUTS LIST'!$B$2:$B$298&gt;=D385))+(N(OR(E385=TRUE(),E385="Y",E385="y",E385="YES",E385="Yes"))*(('GLASS OFFCUTS LIST'!$A$2:$A$298&gt;=D385)*('GLASS OFFCUTS LIST'!$B$2:$B$298&gt;=C385)))&gt;0)),"YES","NO")))</f>
        <v/>
      </c>
      <c r="G385" t="str">
        <f>IF(OR($C$3="",C385="",D385=""),"",IF(SUMPRODUCT(('GLASS OFFCUTS LIST'!$D$2:$D$298=UPPER(TRIM(SUBSTITUTE(SUBSTITUTE($C$3,"   "," "),"  "," "))))*((('GLASS OFFCUTS LIST'!$A$2:$A$298&gt;=C385)*('GLASS OFFCUTS LIST'!$B$2:$B$298&gt;=D385))+(N(OR(E385=TRUE(),E385="Y",E385="y",E385="YES",E385="Yes"))*(('GLASS OFFCUTS LIST'!$A$2:$A$298&gt;=D385)*('GLASS OFFCUTS LIST'!$B$2:$B$298&gt;=C385)))&gt;0))&gt;0,1,0))</f>
        <v/>
      </c>
      <c r="H385" t="str">
        <f>IF(G385="","",SUM($G$7:G385))</f>
        <v/>
      </c>
    </row>
    <row r="386" spans="1:8" x14ac:dyDescent="0.2">
      <c r="A386" s="3">
        <v>380</v>
      </c>
      <c r="B386" s="4"/>
      <c r="C386" s="3"/>
      <c r="D386" s="3"/>
      <c r="E386" s="4"/>
      <c r="F386" s="4" t="str">
        <f>IF(OR($C$3="",C386="",D386=""),"",IF(G386=0,"NO",IF(H386&lt;=SUMPRODUCT(('GLASS OFFCUTS LIST'!$D$2:$D$298=UPPER(TRIM(SUBSTITUTE(SUBSTITUTE($C$3,"   "," "),"  "," "))))*((('GLASS OFFCUTS LIST'!$A$2:$A$298&gt;=C386)*('GLASS OFFCUTS LIST'!$B$2:$B$298&gt;=D386))+(N(OR(E386=TRUE(),E386="Y",E386="y",E386="YES",E386="Yes"))*(('GLASS OFFCUTS LIST'!$A$2:$A$298&gt;=D386)*('GLASS OFFCUTS LIST'!$B$2:$B$298&gt;=C386)))&gt;0)),"YES","NO")))</f>
        <v/>
      </c>
      <c r="G386" t="str">
        <f>IF(OR($C$3="",C386="",D386=""),"",IF(SUMPRODUCT(('GLASS OFFCUTS LIST'!$D$2:$D$298=UPPER(TRIM(SUBSTITUTE(SUBSTITUTE($C$3,"   "," "),"  "," "))))*((('GLASS OFFCUTS LIST'!$A$2:$A$298&gt;=C386)*('GLASS OFFCUTS LIST'!$B$2:$B$298&gt;=D386))+(N(OR(E386=TRUE(),E386="Y",E386="y",E386="YES",E386="Yes"))*(('GLASS OFFCUTS LIST'!$A$2:$A$298&gt;=D386)*('GLASS OFFCUTS LIST'!$B$2:$B$298&gt;=C386)))&gt;0))&gt;0,1,0))</f>
        <v/>
      </c>
      <c r="H386" t="str">
        <f>IF(G386="","",SUM($G$7:G386))</f>
        <v/>
      </c>
    </row>
    <row r="387" spans="1:8" x14ac:dyDescent="0.2">
      <c r="A387" s="3">
        <v>381</v>
      </c>
      <c r="B387" s="4"/>
      <c r="C387" s="3"/>
      <c r="D387" s="3"/>
      <c r="E387" s="4"/>
      <c r="F387" s="4" t="str">
        <f>IF(OR($C$3="",C387="",D387=""),"",IF(G387=0,"NO",IF(H387&lt;=SUMPRODUCT(('GLASS OFFCUTS LIST'!$D$2:$D$298=UPPER(TRIM(SUBSTITUTE(SUBSTITUTE($C$3,"   "," "),"  "," "))))*((('GLASS OFFCUTS LIST'!$A$2:$A$298&gt;=C387)*('GLASS OFFCUTS LIST'!$B$2:$B$298&gt;=D387))+(N(OR(E387=TRUE(),E387="Y",E387="y",E387="YES",E387="Yes"))*(('GLASS OFFCUTS LIST'!$A$2:$A$298&gt;=D387)*('GLASS OFFCUTS LIST'!$B$2:$B$298&gt;=C387)))&gt;0)),"YES","NO")))</f>
        <v/>
      </c>
      <c r="G387" t="str">
        <f>IF(OR($C$3="",C387="",D387=""),"",IF(SUMPRODUCT(('GLASS OFFCUTS LIST'!$D$2:$D$298=UPPER(TRIM(SUBSTITUTE(SUBSTITUTE($C$3,"   "," "),"  "," "))))*((('GLASS OFFCUTS LIST'!$A$2:$A$298&gt;=C387)*('GLASS OFFCUTS LIST'!$B$2:$B$298&gt;=D387))+(N(OR(E387=TRUE(),E387="Y",E387="y",E387="YES",E387="Yes"))*(('GLASS OFFCUTS LIST'!$A$2:$A$298&gt;=D387)*('GLASS OFFCUTS LIST'!$B$2:$B$298&gt;=C387)))&gt;0))&gt;0,1,0))</f>
        <v/>
      </c>
      <c r="H387" t="str">
        <f>IF(G387="","",SUM($G$7:G387))</f>
        <v/>
      </c>
    </row>
    <row r="388" spans="1:8" x14ac:dyDescent="0.2">
      <c r="A388" s="3">
        <v>382</v>
      </c>
      <c r="B388" s="4"/>
      <c r="C388" s="3"/>
      <c r="D388" s="3"/>
      <c r="E388" s="4"/>
      <c r="F388" s="4" t="str">
        <f>IF(OR($C$3="",C388="",D388=""),"",IF(G388=0,"NO",IF(H388&lt;=SUMPRODUCT(('GLASS OFFCUTS LIST'!$D$2:$D$298=UPPER(TRIM(SUBSTITUTE(SUBSTITUTE($C$3,"   "," "),"  "," "))))*((('GLASS OFFCUTS LIST'!$A$2:$A$298&gt;=C388)*('GLASS OFFCUTS LIST'!$B$2:$B$298&gt;=D388))+(N(OR(E388=TRUE(),E388="Y",E388="y",E388="YES",E388="Yes"))*(('GLASS OFFCUTS LIST'!$A$2:$A$298&gt;=D388)*('GLASS OFFCUTS LIST'!$B$2:$B$298&gt;=C388)))&gt;0)),"YES","NO")))</f>
        <v/>
      </c>
      <c r="G388" t="str">
        <f>IF(OR($C$3="",C388="",D388=""),"",IF(SUMPRODUCT(('GLASS OFFCUTS LIST'!$D$2:$D$298=UPPER(TRIM(SUBSTITUTE(SUBSTITUTE($C$3,"   "," "),"  "," "))))*((('GLASS OFFCUTS LIST'!$A$2:$A$298&gt;=C388)*('GLASS OFFCUTS LIST'!$B$2:$B$298&gt;=D388))+(N(OR(E388=TRUE(),E388="Y",E388="y",E388="YES",E388="Yes"))*(('GLASS OFFCUTS LIST'!$A$2:$A$298&gt;=D388)*('GLASS OFFCUTS LIST'!$B$2:$B$298&gt;=C388)))&gt;0))&gt;0,1,0))</f>
        <v/>
      </c>
      <c r="H388" t="str">
        <f>IF(G388="","",SUM($G$7:G388))</f>
        <v/>
      </c>
    </row>
    <row r="389" spans="1:8" x14ac:dyDescent="0.2">
      <c r="A389" s="3">
        <v>383</v>
      </c>
      <c r="B389" s="4"/>
      <c r="C389" s="3"/>
      <c r="D389" s="3"/>
      <c r="E389" s="4"/>
      <c r="F389" s="4" t="str">
        <f>IF(OR($C$3="",C389="",D389=""),"",IF(G389=0,"NO",IF(H389&lt;=SUMPRODUCT(('GLASS OFFCUTS LIST'!$D$2:$D$298=UPPER(TRIM(SUBSTITUTE(SUBSTITUTE($C$3,"   "," "),"  "," "))))*((('GLASS OFFCUTS LIST'!$A$2:$A$298&gt;=C389)*('GLASS OFFCUTS LIST'!$B$2:$B$298&gt;=D389))+(N(OR(E389=TRUE(),E389="Y",E389="y",E389="YES",E389="Yes"))*(('GLASS OFFCUTS LIST'!$A$2:$A$298&gt;=D389)*('GLASS OFFCUTS LIST'!$B$2:$B$298&gt;=C389)))&gt;0)),"YES","NO")))</f>
        <v/>
      </c>
      <c r="G389" t="str">
        <f>IF(OR($C$3="",C389="",D389=""),"",IF(SUMPRODUCT(('GLASS OFFCUTS LIST'!$D$2:$D$298=UPPER(TRIM(SUBSTITUTE(SUBSTITUTE($C$3,"   "," "),"  "," "))))*((('GLASS OFFCUTS LIST'!$A$2:$A$298&gt;=C389)*('GLASS OFFCUTS LIST'!$B$2:$B$298&gt;=D389))+(N(OR(E389=TRUE(),E389="Y",E389="y",E389="YES",E389="Yes"))*(('GLASS OFFCUTS LIST'!$A$2:$A$298&gt;=D389)*('GLASS OFFCUTS LIST'!$B$2:$B$298&gt;=C389)))&gt;0))&gt;0,1,0))</f>
        <v/>
      </c>
      <c r="H389" t="str">
        <f>IF(G389="","",SUM($G$7:G389))</f>
        <v/>
      </c>
    </row>
    <row r="390" spans="1:8" x14ac:dyDescent="0.2">
      <c r="A390" s="3">
        <v>384</v>
      </c>
      <c r="B390" s="4"/>
      <c r="C390" s="3"/>
      <c r="D390" s="3"/>
      <c r="E390" s="4"/>
      <c r="F390" s="4" t="str">
        <f>IF(OR($C$3="",C390="",D390=""),"",IF(G390=0,"NO",IF(H390&lt;=SUMPRODUCT(('GLASS OFFCUTS LIST'!$D$2:$D$298=UPPER(TRIM(SUBSTITUTE(SUBSTITUTE($C$3,"   "," "),"  "," "))))*((('GLASS OFFCUTS LIST'!$A$2:$A$298&gt;=C390)*('GLASS OFFCUTS LIST'!$B$2:$B$298&gt;=D390))+(N(OR(E390=TRUE(),E390="Y",E390="y",E390="YES",E390="Yes"))*(('GLASS OFFCUTS LIST'!$A$2:$A$298&gt;=D390)*('GLASS OFFCUTS LIST'!$B$2:$B$298&gt;=C390)))&gt;0)),"YES","NO")))</f>
        <v/>
      </c>
      <c r="G390" t="str">
        <f>IF(OR($C$3="",C390="",D390=""),"",IF(SUMPRODUCT(('GLASS OFFCUTS LIST'!$D$2:$D$298=UPPER(TRIM(SUBSTITUTE(SUBSTITUTE($C$3,"   "," "),"  "," "))))*((('GLASS OFFCUTS LIST'!$A$2:$A$298&gt;=C390)*('GLASS OFFCUTS LIST'!$B$2:$B$298&gt;=D390))+(N(OR(E390=TRUE(),E390="Y",E390="y",E390="YES",E390="Yes"))*(('GLASS OFFCUTS LIST'!$A$2:$A$298&gt;=D390)*('GLASS OFFCUTS LIST'!$B$2:$B$298&gt;=C390)))&gt;0))&gt;0,1,0))</f>
        <v/>
      </c>
      <c r="H390" t="str">
        <f>IF(G390="","",SUM($G$7:G390))</f>
        <v/>
      </c>
    </row>
    <row r="391" spans="1:8" x14ac:dyDescent="0.2">
      <c r="A391" s="3">
        <v>385</v>
      </c>
      <c r="B391" s="4"/>
      <c r="C391" s="3"/>
      <c r="D391" s="3"/>
      <c r="E391" s="4"/>
      <c r="F391" s="4" t="str">
        <f>IF(OR($C$3="",C391="",D391=""),"",IF(G391=0,"NO",IF(H391&lt;=SUMPRODUCT(('GLASS OFFCUTS LIST'!$D$2:$D$298=UPPER(TRIM(SUBSTITUTE(SUBSTITUTE($C$3,"   "," "),"  "," "))))*((('GLASS OFFCUTS LIST'!$A$2:$A$298&gt;=C391)*('GLASS OFFCUTS LIST'!$B$2:$B$298&gt;=D391))+(N(OR(E391=TRUE(),E391="Y",E391="y",E391="YES",E391="Yes"))*(('GLASS OFFCUTS LIST'!$A$2:$A$298&gt;=D391)*('GLASS OFFCUTS LIST'!$B$2:$B$298&gt;=C391)))&gt;0)),"YES","NO")))</f>
        <v/>
      </c>
      <c r="G391" t="str">
        <f>IF(OR($C$3="",C391="",D391=""),"",IF(SUMPRODUCT(('GLASS OFFCUTS LIST'!$D$2:$D$298=UPPER(TRIM(SUBSTITUTE(SUBSTITUTE($C$3,"   "," "),"  "," "))))*((('GLASS OFFCUTS LIST'!$A$2:$A$298&gt;=C391)*('GLASS OFFCUTS LIST'!$B$2:$B$298&gt;=D391))+(N(OR(E391=TRUE(),E391="Y",E391="y",E391="YES",E391="Yes"))*(('GLASS OFFCUTS LIST'!$A$2:$A$298&gt;=D391)*('GLASS OFFCUTS LIST'!$B$2:$B$298&gt;=C391)))&gt;0))&gt;0,1,0))</f>
        <v/>
      </c>
      <c r="H391" t="str">
        <f>IF(G391="","",SUM($G$7:G391))</f>
        <v/>
      </c>
    </row>
    <row r="392" spans="1:8" x14ac:dyDescent="0.2">
      <c r="A392" s="3">
        <v>386</v>
      </c>
      <c r="B392" s="4"/>
      <c r="C392" s="3"/>
      <c r="D392" s="3"/>
      <c r="E392" s="4"/>
      <c r="F392" s="4" t="str">
        <f>IF(OR($C$3="",C392="",D392=""),"",IF(G392=0,"NO",IF(H392&lt;=SUMPRODUCT(('GLASS OFFCUTS LIST'!$D$2:$D$298=UPPER(TRIM(SUBSTITUTE(SUBSTITUTE($C$3,"   "," "),"  "," "))))*((('GLASS OFFCUTS LIST'!$A$2:$A$298&gt;=C392)*('GLASS OFFCUTS LIST'!$B$2:$B$298&gt;=D392))+(N(OR(E392=TRUE(),E392="Y",E392="y",E392="YES",E392="Yes"))*(('GLASS OFFCUTS LIST'!$A$2:$A$298&gt;=D392)*('GLASS OFFCUTS LIST'!$B$2:$B$298&gt;=C392)))&gt;0)),"YES","NO")))</f>
        <v/>
      </c>
      <c r="G392" t="str">
        <f>IF(OR($C$3="",C392="",D392=""),"",IF(SUMPRODUCT(('GLASS OFFCUTS LIST'!$D$2:$D$298=UPPER(TRIM(SUBSTITUTE(SUBSTITUTE($C$3,"   "," "),"  "," "))))*((('GLASS OFFCUTS LIST'!$A$2:$A$298&gt;=C392)*('GLASS OFFCUTS LIST'!$B$2:$B$298&gt;=D392))+(N(OR(E392=TRUE(),E392="Y",E392="y",E392="YES",E392="Yes"))*(('GLASS OFFCUTS LIST'!$A$2:$A$298&gt;=D392)*('GLASS OFFCUTS LIST'!$B$2:$B$298&gt;=C392)))&gt;0))&gt;0,1,0))</f>
        <v/>
      </c>
      <c r="H392" t="str">
        <f>IF(G392="","",SUM($G$7:G392))</f>
        <v/>
      </c>
    </row>
    <row r="393" spans="1:8" x14ac:dyDescent="0.2">
      <c r="A393" s="3">
        <v>387</v>
      </c>
      <c r="B393" s="4"/>
      <c r="C393" s="3"/>
      <c r="D393" s="3"/>
      <c r="E393" s="4"/>
      <c r="F393" s="4" t="str">
        <f>IF(OR($C$3="",C393="",D393=""),"",IF(G393=0,"NO",IF(H393&lt;=SUMPRODUCT(('GLASS OFFCUTS LIST'!$D$2:$D$298=UPPER(TRIM(SUBSTITUTE(SUBSTITUTE($C$3,"   "," "),"  "," "))))*((('GLASS OFFCUTS LIST'!$A$2:$A$298&gt;=C393)*('GLASS OFFCUTS LIST'!$B$2:$B$298&gt;=D393))+(N(OR(E393=TRUE(),E393="Y",E393="y",E393="YES",E393="Yes"))*(('GLASS OFFCUTS LIST'!$A$2:$A$298&gt;=D393)*('GLASS OFFCUTS LIST'!$B$2:$B$298&gt;=C393)))&gt;0)),"YES","NO")))</f>
        <v/>
      </c>
      <c r="G393" t="str">
        <f>IF(OR($C$3="",C393="",D393=""),"",IF(SUMPRODUCT(('GLASS OFFCUTS LIST'!$D$2:$D$298=UPPER(TRIM(SUBSTITUTE(SUBSTITUTE($C$3,"   "," "),"  "," "))))*((('GLASS OFFCUTS LIST'!$A$2:$A$298&gt;=C393)*('GLASS OFFCUTS LIST'!$B$2:$B$298&gt;=D393))+(N(OR(E393=TRUE(),E393="Y",E393="y",E393="YES",E393="Yes"))*(('GLASS OFFCUTS LIST'!$A$2:$A$298&gt;=D393)*('GLASS OFFCUTS LIST'!$B$2:$B$298&gt;=C393)))&gt;0))&gt;0,1,0))</f>
        <v/>
      </c>
      <c r="H393" t="str">
        <f>IF(G393="","",SUM($G$7:G393))</f>
        <v/>
      </c>
    </row>
    <row r="394" spans="1:8" x14ac:dyDescent="0.2">
      <c r="A394" s="3">
        <v>388</v>
      </c>
      <c r="B394" s="4"/>
      <c r="C394" s="3"/>
      <c r="D394" s="3"/>
      <c r="E394" s="4"/>
      <c r="F394" s="4" t="str">
        <f>IF(OR($C$3="",C394="",D394=""),"",IF(G394=0,"NO",IF(H394&lt;=SUMPRODUCT(('GLASS OFFCUTS LIST'!$D$2:$D$298=UPPER(TRIM(SUBSTITUTE(SUBSTITUTE($C$3,"   "," "),"  "," "))))*((('GLASS OFFCUTS LIST'!$A$2:$A$298&gt;=C394)*('GLASS OFFCUTS LIST'!$B$2:$B$298&gt;=D394))+(N(OR(E394=TRUE(),E394="Y",E394="y",E394="YES",E394="Yes"))*(('GLASS OFFCUTS LIST'!$A$2:$A$298&gt;=D394)*('GLASS OFFCUTS LIST'!$B$2:$B$298&gt;=C394)))&gt;0)),"YES","NO")))</f>
        <v/>
      </c>
      <c r="G394" t="str">
        <f>IF(OR($C$3="",C394="",D394=""),"",IF(SUMPRODUCT(('GLASS OFFCUTS LIST'!$D$2:$D$298=UPPER(TRIM(SUBSTITUTE(SUBSTITUTE($C$3,"   "," "),"  "," "))))*((('GLASS OFFCUTS LIST'!$A$2:$A$298&gt;=C394)*('GLASS OFFCUTS LIST'!$B$2:$B$298&gt;=D394))+(N(OR(E394=TRUE(),E394="Y",E394="y",E394="YES",E394="Yes"))*(('GLASS OFFCUTS LIST'!$A$2:$A$298&gt;=D394)*('GLASS OFFCUTS LIST'!$B$2:$B$298&gt;=C394)))&gt;0))&gt;0,1,0))</f>
        <v/>
      </c>
      <c r="H394" t="str">
        <f>IF(G394="","",SUM($G$7:G394))</f>
        <v/>
      </c>
    </row>
    <row r="395" spans="1:8" x14ac:dyDescent="0.2">
      <c r="A395" s="3">
        <v>389</v>
      </c>
      <c r="B395" s="4"/>
      <c r="C395" s="3"/>
      <c r="D395" s="3"/>
      <c r="E395" s="4"/>
      <c r="F395" s="4" t="str">
        <f>IF(OR($C$3="",C395="",D395=""),"",IF(G395=0,"NO",IF(H395&lt;=SUMPRODUCT(('GLASS OFFCUTS LIST'!$D$2:$D$298=UPPER(TRIM(SUBSTITUTE(SUBSTITUTE($C$3,"   "," "),"  "," "))))*((('GLASS OFFCUTS LIST'!$A$2:$A$298&gt;=C395)*('GLASS OFFCUTS LIST'!$B$2:$B$298&gt;=D395))+(N(OR(E395=TRUE(),E395="Y",E395="y",E395="YES",E395="Yes"))*(('GLASS OFFCUTS LIST'!$A$2:$A$298&gt;=D395)*('GLASS OFFCUTS LIST'!$B$2:$B$298&gt;=C395)))&gt;0)),"YES","NO")))</f>
        <v/>
      </c>
      <c r="G395" t="str">
        <f>IF(OR($C$3="",C395="",D395=""),"",IF(SUMPRODUCT(('GLASS OFFCUTS LIST'!$D$2:$D$298=UPPER(TRIM(SUBSTITUTE(SUBSTITUTE($C$3,"   "," "),"  "," "))))*((('GLASS OFFCUTS LIST'!$A$2:$A$298&gt;=C395)*('GLASS OFFCUTS LIST'!$B$2:$B$298&gt;=D395))+(N(OR(E395=TRUE(),E395="Y",E395="y",E395="YES",E395="Yes"))*(('GLASS OFFCUTS LIST'!$A$2:$A$298&gt;=D395)*('GLASS OFFCUTS LIST'!$B$2:$B$298&gt;=C395)))&gt;0))&gt;0,1,0))</f>
        <v/>
      </c>
      <c r="H395" t="str">
        <f>IF(G395="","",SUM($G$7:G395))</f>
        <v/>
      </c>
    </row>
    <row r="396" spans="1:8" x14ac:dyDescent="0.2">
      <c r="A396" s="3">
        <v>390</v>
      </c>
      <c r="B396" s="4"/>
      <c r="C396" s="3"/>
      <c r="D396" s="3"/>
      <c r="E396" s="4"/>
      <c r="F396" s="4" t="str">
        <f>IF(OR($C$3="",C396="",D396=""),"",IF(G396=0,"NO",IF(H396&lt;=SUMPRODUCT(('GLASS OFFCUTS LIST'!$D$2:$D$298=UPPER(TRIM(SUBSTITUTE(SUBSTITUTE($C$3,"   "," "),"  "," "))))*((('GLASS OFFCUTS LIST'!$A$2:$A$298&gt;=C396)*('GLASS OFFCUTS LIST'!$B$2:$B$298&gt;=D396))+(N(OR(E396=TRUE(),E396="Y",E396="y",E396="YES",E396="Yes"))*(('GLASS OFFCUTS LIST'!$A$2:$A$298&gt;=D396)*('GLASS OFFCUTS LIST'!$B$2:$B$298&gt;=C396)))&gt;0)),"YES","NO")))</f>
        <v/>
      </c>
      <c r="G396" t="str">
        <f>IF(OR($C$3="",C396="",D396=""),"",IF(SUMPRODUCT(('GLASS OFFCUTS LIST'!$D$2:$D$298=UPPER(TRIM(SUBSTITUTE(SUBSTITUTE($C$3,"   "," "),"  "," "))))*((('GLASS OFFCUTS LIST'!$A$2:$A$298&gt;=C396)*('GLASS OFFCUTS LIST'!$B$2:$B$298&gt;=D396))+(N(OR(E396=TRUE(),E396="Y",E396="y",E396="YES",E396="Yes"))*(('GLASS OFFCUTS LIST'!$A$2:$A$298&gt;=D396)*('GLASS OFFCUTS LIST'!$B$2:$B$298&gt;=C396)))&gt;0))&gt;0,1,0))</f>
        <v/>
      </c>
      <c r="H396" t="str">
        <f>IF(G396="","",SUM($G$7:G396))</f>
        <v/>
      </c>
    </row>
    <row r="397" spans="1:8" x14ac:dyDescent="0.2">
      <c r="A397" s="3">
        <v>391</v>
      </c>
      <c r="B397" s="4"/>
      <c r="C397" s="3"/>
      <c r="D397" s="3"/>
      <c r="E397" s="4"/>
      <c r="F397" s="4" t="str">
        <f>IF(OR($C$3="",C397="",D397=""),"",IF(G397=0,"NO",IF(H397&lt;=SUMPRODUCT(('GLASS OFFCUTS LIST'!$D$2:$D$298=UPPER(TRIM(SUBSTITUTE(SUBSTITUTE($C$3,"   "," "),"  "," "))))*((('GLASS OFFCUTS LIST'!$A$2:$A$298&gt;=C397)*('GLASS OFFCUTS LIST'!$B$2:$B$298&gt;=D397))+(N(OR(E397=TRUE(),E397="Y",E397="y",E397="YES",E397="Yes"))*(('GLASS OFFCUTS LIST'!$A$2:$A$298&gt;=D397)*('GLASS OFFCUTS LIST'!$B$2:$B$298&gt;=C397)))&gt;0)),"YES","NO")))</f>
        <v/>
      </c>
      <c r="G397" t="str">
        <f>IF(OR($C$3="",C397="",D397=""),"",IF(SUMPRODUCT(('GLASS OFFCUTS LIST'!$D$2:$D$298=UPPER(TRIM(SUBSTITUTE(SUBSTITUTE($C$3,"   "," "),"  "," "))))*((('GLASS OFFCUTS LIST'!$A$2:$A$298&gt;=C397)*('GLASS OFFCUTS LIST'!$B$2:$B$298&gt;=D397))+(N(OR(E397=TRUE(),E397="Y",E397="y",E397="YES",E397="Yes"))*(('GLASS OFFCUTS LIST'!$A$2:$A$298&gt;=D397)*('GLASS OFFCUTS LIST'!$B$2:$B$298&gt;=C397)))&gt;0))&gt;0,1,0))</f>
        <v/>
      </c>
      <c r="H397" t="str">
        <f>IF(G397="","",SUM($G$7:G397))</f>
        <v/>
      </c>
    </row>
    <row r="398" spans="1:8" x14ac:dyDescent="0.2">
      <c r="A398" s="3">
        <v>392</v>
      </c>
      <c r="B398" s="4"/>
      <c r="C398" s="3"/>
      <c r="D398" s="3"/>
      <c r="E398" s="4"/>
      <c r="F398" s="4" t="str">
        <f>IF(OR($C$3="",C398="",D398=""),"",IF(G398=0,"NO",IF(H398&lt;=SUMPRODUCT(('GLASS OFFCUTS LIST'!$D$2:$D$298=UPPER(TRIM(SUBSTITUTE(SUBSTITUTE($C$3,"   "," "),"  "," "))))*((('GLASS OFFCUTS LIST'!$A$2:$A$298&gt;=C398)*('GLASS OFFCUTS LIST'!$B$2:$B$298&gt;=D398))+(N(OR(E398=TRUE(),E398="Y",E398="y",E398="YES",E398="Yes"))*(('GLASS OFFCUTS LIST'!$A$2:$A$298&gt;=D398)*('GLASS OFFCUTS LIST'!$B$2:$B$298&gt;=C398)))&gt;0)),"YES","NO")))</f>
        <v/>
      </c>
      <c r="G398" t="str">
        <f>IF(OR($C$3="",C398="",D398=""),"",IF(SUMPRODUCT(('GLASS OFFCUTS LIST'!$D$2:$D$298=UPPER(TRIM(SUBSTITUTE(SUBSTITUTE($C$3,"   "," "),"  "," "))))*((('GLASS OFFCUTS LIST'!$A$2:$A$298&gt;=C398)*('GLASS OFFCUTS LIST'!$B$2:$B$298&gt;=D398))+(N(OR(E398=TRUE(),E398="Y",E398="y",E398="YES",E398="Yes"))*(('GLASS OFFCUTS LIST'!$A$2:$A$298&gt;=D398)*('GLASS OFFCUTS LIST'!$B$2:$B$298&gt;=C398)))&gt;0))&gt;0,1,0))</f>
        <v/>
      </c>
      <c r="H398" t="str">
        <f>IF(G398="","",SUM($G$7:G398))</f>
        <v/>
      </c>
    </row>
    <row r="399" spans="1:8" x14ac:dyDescent="0.2">
      <c r="A399" s="3">
        <v>393</v>
      </c>
      <c r="B399" s="4"/>
      <c r="C399" s="3"/>
      <c r="D399" s="3"/>
      <c r="E399" s="4"/>
      <c r="F399" s="4" t="str">
        <f>IF(OR($C$3="",C399="",D399=""),"",IF(G399=0,"NO",IF(H399&lt;=SUMPRODUCT(('GLASS OFFCUTS LIST'!$D$2:$D$298=UPPER(TRIM(SUBSTITUTE(SUBSTITUTE($C$3,"   "," "),"  "," "))))*((('GLASS OFFCUTS LIST'!$A$2:$A$298&gt;=C399)*('GLASS OFFCUTS LIST'!$B$2:$B$298&gt;=D399))+(N(OR(E399=TRUE(),E399="Y",E399="y",E399="YES",E399="Yes"))*(('GLASS OFFCUTS LIST'!$A$2:$A$298&gt;=D399)*('GLASS OFFCUTS LIST'!$B$2:$B$298&gt;=C399)))&gt;0)),"YES","NO")))</f>
        <v/>
      </c>
      <c r="G399" t="str">
        <f>IF(OR($C$3="",C399="",D399=""),"",IF(SUMPRODUCT(('GLASS OFFCUTS LIST'!$D$2:$D$298=UPPER(TRIM(SUBSTITUTE(SUBSTITUTE($C$3,"   "," "),"  "," "))))*((('GLASS OFFCUTS LIST'!$A$2:$A$298&gt;=C399)*('GLASS OFFCUTS LIST'!$B$2:$B$298&gt;=D399))+(N(OR(E399=TRUE(),E399="Y",E399="y",E399="YES",E399="Yes"))*(('GLASS OFFCUTS LIST'!$A$2:$A$298&gt;=D399)*('GLASS OFFCUTS LIST'!$B$2:$B$298&gt;=C399)))&gt;0))&gt;0,1,0))</f>
        <v/>
      </c>
      <c r="H399" t="str">
        <f>IF(G399="","",SUM($G$7:G399))</f>
        <v/>
      </c>
    </row>
    <row r="400" spans="1:8" x14ac:dyDescent="0.2">
      <c r="A400" s="3">
        <v>394</v>
      </c>
      <c r="B400" s="4"/>
      <c r="C400" s="3"/>
      <c r="D400" s="3"/>
      <c r="E400" s="4"/>
      <c r="F400" s="4" t="str">
        <f>IF(OR($C$3="",C400="",D400=""),"",IF(G400=0,"NO",IF(H400&lt;=SUMPRODUCT(('GLASS OFFCUTS LIST'!$D$2:$D$298=UPPER(TRIM(SUBSTITUTE(SUBSTITUTE($C$3,"   "," "),"  "," "))))*((('GLASS OFFCUTS LIST'!$A$2:$A$298&gt;=C400)*('GLASS OFFCUTS LIST'!$B$2:$B$298&gt;=D400))+(N(OR(E400=TRUE(),E400="Y",E400="y",E400="YES",E400="Yes"))*(('GLASS OFFCUTS LIST'!$A$2:$A$298&gt;=D400)*('GLASS OFFCUTS LIST'!$B$2:$B$298&gt;=C400)))&gt;0)),"YES","NO")))</f>
        <v/>
      </c>
      <c r="G400" t="str">
        <f>IF(OR($C$3="",C400="",D400=""),"",IF(SUMPRODUCT(('GLASS OFFCUTS LIST'!$D$2:$D$298=UPPER(TRIM(SUBSTITUTE(SUBSTITUTE($C$3,"   "," "),"  "," "))))*((('GLASS OFFCUTS LIST'!$A$2:$A$298&gt;=C400)*('GLASS OFFCUTS LIST'!$B$2:$B$298&gt;=D400))+(N(OR(E400=TRUE(),E400="Y",E400="y",E400="YES",E400="Yes"))*(('GLASS OFFCUTS LIST'!$A$2:$A$298&gt;=D400)*('GLASS OFFCUTS LIST'!$B$2:$B$298&gt;=C400)))&gt;0))&gt;0,1,0))</f>
        <v/>
      </c>
      <c r="H400" t="str">
        <f>IF(G400="","",SUM($G$7:G400))</f>
        <v/>
      </c>
    </row>
    <row r="401" spans="1:8" x14ac:dyDescent="0.2">
      <c r="A401" s="3">
        <v>395</v>
      </c>
      <c r="B401" s="4"/>
      <c r="C401" s="3"/>
      <c r="D401" s="3"/>
      <c r="E401" s="4"/>
      <c r="F401" s="4" t="str">
        <f>IF(OR($C$3="",C401="",D401=""),"",IF(G401=0,"NO",IF(H401&lt;=SUMPRODUCT(('GLASS OFFCUTS LIST'!$D$2:$D$298=UPPER(TRIM(SUBSTITUTE(SUBSTITUTE($C$3,"   "," "),"  "," "))))*((('GLASS OFFCUTS LIST'!$A$2:$A$298&gt;=C401)*('GLASS OFFCUTS LIST'!$B$2:$B$298&gt;=D401))+(N(OR(E401=TRUE(),E401="Y",E401="y",E401="YES",E401="Yes"))*(('GLASS OFFCUTS LIST'!$A$2:$A$298&gt;=D401)*('GLASS OFFCUTS LIST'!$B$2:$B$298&gt;=C401)))&gt;0)),"YES","NO")))</f>
        <v/>
      </c>
      <c r="G401" t="str">
        <f>IF(OR($C$3="",C401="",D401=""),"",IF(SUMPRODUCT(('GLASS OFFCUTS LIST'!$D$2:$D$298=UPPER(TRIM(SUBSTITUTE(SUBSTITUTE($C$3,"   "," "),"  "," "))))*((('GLASS OFFCUTS LIST'!$A$2:$A$298&gt;=C401)*('GLASS OFFCUTS LIST'!$B$2:$B$298&gt;=D401))+(N(OR(E401=TRUE(),E401="Y",E401="y",E401="YES",E401="Yes"))*(('GLASS OFFCUTS LIST'!$A$2:$A$298&gt;=D401)*('GLASS OFFCUTS LIST'!$B$2:$B$298&gt;=C401)))&gt;0))&gt;0,1,0))</f>
        <v/>
      </c>
      <c r="H401" t="str">
        <f>IF(G401="","",SUM($G$7:G401))</f>
        <v/>
      </c>
    </row>
    <row r="402" spans="1:8" x14ac:dyDescent="0.2">
      <c r="A402" s="3">
        <v>396</v>
      </c>
      <c r="B402" s="4"/>
      <c r="C402" s="3"/>
      <c r="D402" s="3"/>
      <c r="E402" s="4"/>
      <c r="F402" s="4" t="str">
        <f>IF(OR($C$3="",C402="",D402=""),"",IF(G402=0,"NO",IF(H402&lt;=SUMPRODUCT(('GLASS OFFCUTS LIST'!$D$2:$D$298=UPPER(TRIM(SUBSTITUTE(SUBSTITUTE($C$3,"   "," "),"  "," "))))*((('GLASS OFFCUTS LIST'!$A$2:$A$298&gt;=C402)*('GLASS OFFCUTS LIST'!$B$2:$B$298&gt;=D402))+(N(OR(E402=TRUE(),E402="Y",E402="y",E402="YES",E402="Yes"))*(('GLASS OFFCUTS LIST'!$A$2:$A$298&gt;=D402)*('GLASS OFFCUTS LIST'!$B$2:$B$298&gt;=C402)))&gt;0)),"YES","NO")))</f>
        <v/>
      </c>
      <c r="G402" t="str">
        <f>IF(OR($C$3="",C402="",D402=""),"",IF(SUMPRODUCT(('GLASS OFFCUTS LIST'!$D$2:$D$298=UPPER(TRIM(SUBSTITUTE(SUBSTITUTE($C$3,"   "," "),"  "," "))))*((('GLASS OFFCUTS LIST'!$A$2:$A$298&gt;=C402)*('GLASS OFFCUTS LIST'!$B$2:$B$298&gt;=D402))+(N(OR(E402=TRUE(),E402="Y",E402="y",E402="YES",E402="Yes"))*(('GLASS OFFCUTS LIST'!$A$2:$A$298&gt;=D402)*('GLASS OFFCUTS LIST'!$B$2:$B$298&gt;=C402)))&gt;0))&gt;0,1,0))</f>
        <v/>
      </c>
      <c r="H402" t="str">
        <f>IF(G402="","",SUM($G$7:G402))</f>
        <v/>
      </c>
    </row>
    <row r="403" spans="1:8" x14ac:dyDescent="0.2">
      <c r="A403" s="3">
        <v>397</v>
      </c>
      <c r="B403" s="4"/>
      <c r="C403" s="3"/>
      <c r="D403" s="3"/>
      <c r="E403" s="4"/>
      <c r="F403" s="4" t="str">
        <f>IF(OR($C$3="",C403="",D403=""),"",IF(G403=0,"NO",IF(H403&lt;=SUMPRODUCT(('GLASS OFFCUTS LIST'!$D$2:$D$298=UPPER(TRIM(SUBSTITUTE(SUBSTITUTE($C$3,"   "," "),"  "," "))))*((('GLASS OFFCUTS LIST'!$A$2:$A$298&gt;=C403)*('GLASS OFFCUTS LIST'!$B$2:$B$298&gt;=D403))+(N(OR(E403=TRUE(),E403="Y",E403="y",E403="YES",E403="Yes"))*(('GLASS OFFCUTS LIST'!$A$2:$A$298&gt;=D403)*('GLASS OFFCUTS LIST'!$B$2:$B$298&gt;=C403)))&gt;0)),"YES","NO")))</f>
        <v/>
      </c>
      <c r="G403" t="str">
        <f>IF(OR($C$3="",C403="",D403=""),"",IF(SUMPRODUCT(('GLASS OFFCUTS LIST'!$D$2:$D$298=UPPER(TRIM(SUBSTITUTE(SUBSTITUTE($C$3,"   "," "),"  "," "))))*((('GLASS OFFCUTS LIST'!$A$2:$A$298&gt;=C403)*('GLASS OFFCUTS LIST'!$B$2:$B$298&gt;=D403))+(N(OR(E403=TRUE(),E403="Y",E403="y",E403="YES",E403="Yes"))*(('GLASS OFFCUTS LIST'!$A$2:$A$298&gt;=D403)*('GLASS OFFCUTS LIST'!$B$2:$B$298&gt;=C403)))&gt;0))&gt;0,1,0))</f>
        <v/>
      </c>
      <c r="H403" t="str">
        <f>IF(G403="","",SUM($G$7:G403))</f>
        <v/>
      </c>
    </row>
    <row r="404" spans="1:8" x14ac:dyDescent="0.2">
      <c r="A404" s="3">
        <v>398</v>
      </c>
      <c r="B404" s="4"/>
      <c r="C404" s="3"/>
      <c r="D404" s="3"/>
      <c r="E404" s="4"/>
      <c r="F404" s="4" t="str">
        <f>IF(OR($C$3="",C404="",D404=""),"",IF(G404=0,"NO",IF(H404&lt;=SUMPRODUCT(('GLASS OFFCUTS LIST'!$D$2:$D$298=UPPER(TRIM(SUBSTITUTE(SUBSTITUTE($C$3,"   "," "),"  "," "))))*((('GLASS OFFCUTS LIST'!$A$2:$A$298&gt;=C404)*('GLASS OFFCUTS LIST'!$B$2:$B$298&gt;=D404))+(N(OR(E404=TRUE(),E404="Y",E404="y",E404="YES",E404="Yes"))*(('GLASS OFFCUTS LIST'!$A$2:$A$298&gt;=D404)*('GLASS OFFCUTS LIST'!$B$2:$B$298&gt;=C404)))&gt;0)),"YES","NO")))</f>
        <v/>
      </c>
      <c r="G404" t="str">
        <f>IF(OR($C$3="",C404="",D404=""),"",IF(SUMPRODUCT(('GLASS OFFCUTS LIST'!$D$2:$D$298=UPPER(TRIM(SUBSTITUTE(SUBSTITUTE($C$3,"   "," "),"  "," "))))*((('GLASS OFFCUTS LIST'!$A$2:$A$298&gt;=C404)*('GLASS OFFCUTS LIST'!$B$2:$B$298&gt;=D404))+(N(OR(E404=TRUE(),E404="Y",E404="y",E404="YES",E404="Yes"))*(('GLASS OFFCUTS LIST'!$A$2:$A$298&gt;=D404)*('GLASS OFFCUTS LIST'!$B$2:$B$298&gt;=C404)))&gt;0))&gt;0,1,0))</f>
        <v/>
      </c>
      <c r="H404" t="str">
        <f>IF(G404="","",SUM($G$7:G404))</f>
        <v/>
      </c>
    </row>
    <row r="405" spans="1:8" x14ac:dyDescent="0.2">
      <c r="A405" s="3">
        <v>399</v>
      </c>
      <c r="B405" s="4"/>
      <c r="C405" s="3"/>
      <c r="D405" s="3"/>
      <c r="E405" s="4"/>
      <c r="F405" s="4" t="str">
        <f>IF(OR($C$3="",C405="",D405=""),"",IF(G405=0,"NO",IF(H405&lt;=SUMPRODUCT(('GLASS OFFCUTS LIST'!$D$2:$D$298=UPPER(TRIM(SUBSTITUTE(SUBSTITUTE($C$3,"   "," "),"  "," "))))*((('GLASS OFFCUTS LIST'!$A$2:$A$298&gt;=C405)*('GLASS OFFCUTS LIST'!$B$2:$B$298&gt;=D405))+(N(OR(E405=TRUE(),E405="Y",E405="y",E405="YES",E405="Yes"))*(('GLASS OFFCUTS LIST'!$A$2:$A$298&gt;=D405)*('GLASS OFFCUTS LIST'!$B$2:$B$298&gt;=C405)))&gt;0)),"YES","NO")))</f>
        <v/>
      </c>
      <c r="G405" t="str">
        <f>IF(OR($C$3="",C405="",D405=""),"",IF(SUMPRODUCT(('GLASS OFFCUTS LIST'!$D$2:$D$298=UPPER(TRIM(SUBSTITUTE(SUBSTITUTE($C$3,"   "," "),"  "," "))))*((('GLASS OFFCUTS LIST'!$A$2:$A$298&gt;=C405)*('GLASS OFFCUTS LIST'!$B$2:$B$298&gt;=D405))+(N(OR(E405=TRUE(),E405="Y",E405="y",E405="YES",E405="Yes"))*(('GLASS OFFCUTS LIST'!$A$2:$A$298&gt;=D405)*('GLASS OFFCUTS LIST'!$B$2:$B$298&gt;=C405)))&gt;0))&gt;0,1,0))</f>
        <v/>
      </c>
      <c r="H405" t="str">
        <f>IF(G405="","",SUM($G$7:G405))</f>
        <v/>
      </c>
    </row>
    <row r="406" spans="1:8" ht="15.75" customHeight="1" x14ac:dyDescent="0.2">
      <c r="A406" s="5">
        <v>400</v>
      </c>
      <c r="B406" s="4"/>
      <c r="C406" s="3"/>
      <c r="D406" s="3"/>
      <c r="E406" s="4"/>
      <c r="F406" s="4" t="str">
        <f>IF(OR($C$3="",C406="",D406=""),"",IF(G406=0,"NO",IF(H406&lt;=SUMPRODUCT(('GLASS OFFCUTS LIST'!$D$2:$D$298=UPPER(TRIM(SUBSTITUTE(SUBSTITUTE($C$3,"   "," "),"  "," "))))*((('GLASS OFFCUTS LIST'!$A$2:$A$298&gt;=C406)*('GLASS OFFCUTS LIST'!$B$2:$B$298&gt;=D406))+(N(OR(E406=TRUE(),E406="Y",E406="y",E406="YES",E406="Yes"))*(('GLASS OFFCUTS LIST'!$A$2:$A$298&gt;=D406)*('GLASS OFFCUTS LIST'!$B$2:$B$298&gt;=C406)))&gt;0)),"YES","NO")))</f>
        <v/>
      </c>
      <c r="G406" t="str">
        <f>IF(OR($C$3="",C406="",D406=""),"",IF(SUMPRODUCT(('GLASS OFFCUTS LIST'!$D$2:$D$298=UPPER(TRIM(SUBSTITUTE(SUBSTITUTE($C$3,"   "," "),"  "," "))))*((('GLASS OFFCUTS LIST'!$A$2:$A$298&gt;=C406)*('GLASS OFFCUTS LIST'!$B$2:$B$298&gt;=D406))+(N(OR(E406=TRUE(),E406="Y",E406="y",E406="YES",E406="Yes"))*(('GLASS OFFCUTS LIST'!$A$2:$A$298&gt;=D406)*('GLASS OFFCUTS LIST'!$B$2:$B$298&gt;=C406)))&gt;0))&gt;0,1,0))</f>
        <v/>
      </c>
      <c r="H406" t="str">
        <f>IF(G406="","",SUM($G$7:G406))</f>
        <v/>
      </c>
    </row>
    <row r="407" spans="1:8" ht="15.75" customHeight="1" x14ac:dyDescent="0.2">
      <c r="A407" s="6" t="str">
        <f t="array" aca="1" ref="A407" ca="1">IF(INDIRECT("R[-1]C",0)="","",INDIRECT("R[-1]C",0) &amp; " NOS")</f>
        <v>400 NOS</v>
      </c>
      <c r="F407" t="str">
        <f>IF(OR($C$3="",C407="",D407=""),"",IF(G407=0,"NO",IF(H407&lt;=SUMPRODUCT(('GLASS OFFCUTS LIST'!$D$2:$D$298=UPPER(TRIM(SUBSTITUTE(SUBSTITUTE($C$3,"   "," "),"  "," "))))*((('GLASS OFFCUTS LIST'!$A$2:$A$298&gt;=C407)*('GLASS OFFCUTS LIST'!$B$2:$B$298&gt;=D407))+(N(OR(E407=TRUE(),E407="Y",E407="y",E407="YES",E407="Yes"))*(('GLASS OFFCUTS LIST'!$A$2:$A$298&gt;=D407)*('GLASS OFFCUTS LIST'!$B$2:$B$298&gt;=C407)))&gt;0)),"YES","NO")))</f>
        <v/>
      </c>
      <c r="G407" t="str">
        <f>IF(OR($C$3="",C407="",D407=""),"",IF(SUMPRODUCT(('GLASS OFFCUTS LIST'!$D$2:$D$298=UPPER(TRIM(SUBSTITUTE(SUBSTITUTE($C$3,"   "," "),"  "," "))))*((('GLASS OFFCUTS LIST'!$A$2:$A$298&gt;=C407)*('GLASS OFFCUTS LIST'!$B$2:$B$298&gt;=D407))+(N(OR(E407=TRUE(),E407="Y",E407="y",E407="YES",E407="Yes"))*(('GLASS OFFCUTS LIST'!$A$2:$A$298&gt;=D407)*('GLASS OFFCUTS LIST'!$B$2:$B$298&gt;=C407)))&gt;0))&gt;0,1,0))</f>
        <v/>
      </c>
      <c r="H407" t="str">
        <f>IF(G407="","",SUM($G$7:G407))</f>
        <v/>
      </c>
    </row>
  </sheetData>
  <mergeCells count="7">
    <mergeCell ref="A5:F5"/>
    <mergeCell ref="A1:B1"/>
    <mergeCell ref="C1:F1"/>
    <mergeCell ref="A2:B2"/>
    <mergeCell ref="C2:F2"/>
    <mergeCell ref="A3:B3"/>
    <mergeCell ref="C3:F3"/>
  </mergeCells>
  <conditionalFormatting sqref="F7:F406">
    <cfRule type="cellIs" dxfId="1" priority="2" operator="equal">
      <formula>"YES"</formula>
    </cfRule>
    <cfRule type="cellIs" dxfId="0" priority="3" operator="equal">
      <formula>"NO"</formula>
    </cfRule>
  </conditionalFormatting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9F8456-5AA7-1B49-A086-CE4A998D596E}">
          <x14:formula1>
            <xm:f>'GLASS SPECIFICATIONS'!$A:$A</xm:f>
          </x14:formula1>
          <xm:sqref>C3:F3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98"/>
  <sheetViews>
    <sheetView topLeftCell="A101" zoomScaleNormal="100" workbookViewId="0">
      <selection activeCell="F3" sqref="F3"/>
    </sheetView>
  </sheetViews>
  <sheetFormatPr baseColWidth="10" defaultColWidth="10.6640625" defaultRowHeight="15" customHeight="1" x14ac:dyDescent="0.2"/>
  <cols>
    <col min="1" max="1" width="11.1640625" customWidth="1"/>
    <col min="3" max="3" width="35.83203125" customWidth="1"/>
    <col min="4" max="4" width="13" hidden="1" customWidth="1"/>
  </cols>
  <sheetData>
    <row r="1" spans="1:4" s="7" customFormat="1" x14ac:dyDescent="0.2">
      <c r="A1" s="7" t="s">
        <v>13</v>
      </c>
      <c r="B1" s="7" t="s">
        <v>14</v>
      </c>
      <c r="C1" s="7" t="s">
        <v>26</v>
      </c>
      <c r="D1" s="7" t="s">
        <v>15</v>
      </c>
    </row>
    <row r="2" spans="1:4" x14ac:dyDescent="0.2">
      <c r="A2">
        <v>1010</v>
      </c>
      <c r="B2">
        <v>1030</v>
      </c>
      <c r="C2" t="s">
        <v>3</v>
      </c>
      <c r="D2" t="str">
        <f t="shared" ref="D2:D65" si="0">UPPER(TRIM(SUBSTITUTE(SUBSTITUTE(C2,"   "," "),"  "," ")))</f>
        <v>8.38MM BRONZE TINTED LAMINATED GLASS</v>
      </c>
    </row>
    <row r="3" spans="1:4" x14ac:dyDescent="0.2">
      <c r="A3">
        <v>1010</v>
      </c>
      <c r="B3">
        <v>1030</v>
      </c>
      <c r="C3" t="s">
        <v>3</v>
      </c>
      <c r="D3" t="str">
        <f t="shared" si="0"/>
        <v>8.38MM BRONZE TINTED LAMINATED GLASS</v>
      </c>
    </row>
    <row r="4" spans="1:4" x14ac:dyDescent="0.2">
      <c r="A4">
        <v>890</v>
      </c>
      <c r="B4">
        <v>990</v>
      </c>
      <c r="C4" t="s">
        <v>3</v>
      </c>
      <c r="D4" t="str">
        <f t="shared" si="0"/>
        <v>8.38MM BRONZE TINTED LAMINATED GLASS</v>
      </c>
    </row>
    <row r="5" spans="1:4" x14ac:dyDescent="0.2">
      <c r="A5">
        <v>500</v>
      </c>
      <c r="B5">
        <v>2140</v>
      </c>
      <c r="C5" t="s">
        <v>3</v>
      </c>
      <c r="D5" t="str">
        <f t="shared" si="0"/>
        <v>8.38MM BRONZE TINTED LAMINATED GLASS</v>
      </c>
    </row>
    <row r="6" spans="1:4" x14ac:dyDescent="0.2">
      <c r="A6">
        <v>460</v>
      </c>
      <c r="B6">
        <v>2140</v>
      </c>
      <c r="C6" t="s">
        <v>3</v>
      </c>
      <c r="D6" t="str">
        <f t="shared" si="0"/>
        <v>8.38MM BRONZE TINTED LAMINATED GLASS</v>
      </c>
    </row>
    <row r="7" spans="1:4" x14ac:dyDescent="0.2">
      <c r="A7">
        <v>400</v>
      </c>
      <c r="B7">
        <v>1400</v>
      </c>
      <c r="C7" t="s">
        <v>3</v>
      </c>
      <c r="D7" t="str">
        <f t="shared" si="0"/>
        <v>8.38MM BRONZE TINTED LAMINATED GLASS</v>
      </c>
    </row>
    <row r="8" spans="1:4" x14ac:dyDescent="0.2">
      <c r="A8">
        <v>470</v>
      </c>
      <c r="B8">
        <v>1360</v>
      </c>
      <c r="C8" t="s">
        <v>3</v>
      </c>
      <c r="D8" t="str">
        <f t="shared" si="0"/>
        <v>8.38MM BRONZE TINTED LAMINATED GLASS</v>
      </c>
    </row>
    <row r="9" spans="1:4" x14ac:dyDescent="0.2">
      <c r="A9">
        <v>470</v>
      </c>
      <c r="B9">
        <v>1360</v>
      </c>
      <c r="C9" t="s">
        <v>3</v>
      </c>
      <c r="D9" t="str">
        <f t="shared" si="0"/>
        <v>8.38MM BRONZE TINTED LAMINATED GLASS</v>
      </c>
    </row>
    <row r="10" spans="1:4" x14ac:dyDescent="0.2">
      <c r="A10">
        <v>470</v>
      </c>
      <c r="B10">
        <v>1360</v>
      </c>
      <c r="C10" t="s">
        <v>3</v>
      </c>
      <c r="D10" t="str">
        <f t="shared" si="0"/>
        <v>8.38MM BRONZE TINTED LAMINATED GLASS</v>
      </c>
    </row>
    <row r="11" spans="1:4" x14ac:dyDescent="0.2">
      <c r="A11">
        <v>390</v>
      </c>
      <c r="B11">
        <v>1080</v>
      </c>
      <c r="C11" t="s">
        <v>3</v>
      </c>
      <c r="D11" t="str">
        <f t="shared" si="0"/>
        <v>8.38MM BRONZE TINTED LAMINATED GLASS</v>
      </c>
    </row>
    <row r="12" spans="1:4" x14ac:dyDescent="0.2">
      <c r="A12">
        <v>480</v>
      </c>
      <c r="B12">
        <v>1360</v>
      </c>
      <c r="C12" t="s">
        <v>3</v>
      </c>
      <c r="D12" t="str">
        <f t="shared" si="0"/>
        <v>8.38MM BRONZE TINTED LAMINATED GLASS</v>
      </c>
    </row>
    <row r="13" spans="1:4" x14ac:dyDescent="0.2">
      <c r="A13">
        <v>755</v>
      </c>
      <c r="B13">
        <v>1200</v>
      </c>
      <c r="C13" t="s">
        <v>3</v>
      </c>
      <c r="D13" t="str">
        <f t="shared" si="0"/>
        <v>8.38MM BRONZE TINTED LAMINATED GLASS</v>
      </c>
    </row>
    <row r="14" spans="1:4" x14ac:dyDescent="0.2">
      <c r="A14">
        <v>410</v>
      </c>
      <c r="B14">
        <v>1400</v>
      </c>
      <c r="C14" t="s">
        <v>3</v>
      </c>
      <c r="D14" t="str">
        <f t="shared" si="0"/>
        <v>8.38MM BRONZE TINTED LAMINATED GLASS</v>
      </c>
    </row>
    <row r="15" spans="1:4" x14ac:dyDescent="0.2">
      <c r="A15">
        <v>385</v>
      </c>
      <c r="B15">
        <v>1400</v>
      </c>
      <c r="C15" t="s">
        <v>3</v>
      </c>
      <c r="D15" t="str">
        <f t="shared" si="0"/>
        <v>8.38MM BRONZE TINTED LAMINATED GLASS</v>
      </c>
    </row>
    <row r="16" spans="1:4" x14ac:dyDescent="0.2">
      <c r="A16">
        <v>690</v>
      </c>
      <c r="B16">
        <v>1000</v>
      </c>
      <c r="C16" t="s">
        <v>3</v>
      </c>
      <c r="D16" t="str">
        <f t="shared" si="0"/>
        <v>8.38MM BRONZE TINTED LAMINATED GLASS</v>
      </c>
    </row>
    <row r="17" spans="1:4" x14ac:dyDescent="0.2">
      <c r="A17">
        <v>320</v>
      </c>
      <c r="B17">
        <v>1560</v>
      </c>
      <c r="C17" t="s">
        <v>3</v>
      </c>
      <c r="D17" t="str">
        <f t="shared" si="0"/>
        <v>8.38MM BRONZE TINTED LAMINATED GLASS</v>
      </c>
    </row>
    <row r="18" spans="1:4" x14ac:dyDescent="0.2">
      <c r="A18">
        <v>550</v>
      </c>
      <c r="B18">
        <v>1050</v>
      </c>
      <c r="C18" t="s">
        <v>3</v>
      </c>
      <c r="D18" t="str">
        <f t="shared" si="0"/>
        <v>8.38MM BRONZE TINTED LAMINATED GLASS</v>
      </c>
    </row>
    <row r="19" spans="1:4" x14ac:dyDescent="0.2">
      <c r="A19">
        <v>380</v>
      </c>
      <c r="B19">
        <v>1385</v>
      </c>
      <c r="C19" t="s">
        <v>3</v>
      </c>
      <c r="D19" t="str">
        <f t="shared" si="0"/>
        <v>8.38MM BRONZE TINTED LAMINATED GLASS</v>
      </c>
    </row>
    <row r="20" spans="1:4" x14ac:dyDescent="0.2">
      <c r="A20">
        <v>725</v>
      </c>
      <c r="B20">
        <v>900</v>
      </c>
      <c r="C20" t="s">
        <v>3</v>
      </c>
      <c r="D20" t="str">
        <f t="shared" si="0"/>
        <v>8.38MM BRONZE TINTED LAMINATED GLASS</v>
      </c>
    </row>
    <row r="21" spans="1:4" x14ac:dyDescent="0.2">
      <c r="A21">
        <v>650</v>
      </c>
      <c r="B21">
        <v>900</v>
      </c>
      <c r="C21" t="s">
        <v>3</v>
      </c>
      <c r="D21" t="str">
        <f t="shared" si="0"/>
        <v>8.38MM BRONZE TINTED LAMINATED GLASS</v>
      </c>
    </row>
    <row r="22" spans="1:4" x14ac:dyDescent="0.2">
      <c r="A22">
        <v>580</v>
      </c>
      <c r="B22">
        <v>560</v>
      </c>
      <c r="C22" t="s">
        <v>3</v>
      </c>
      <c r="D22" t="str">
        <f t="shared" si="0"/>
        <v>8.38MM BRONZE TINTED LAMINATED GLASS</v>
      </c>
    </row>
    <row r="23" spans="1:4" x14ac:dyDescent="0.2">
      <c r="A23">
        <v>420</v>
      </c>
      <c r="B23">
        <v>730</v>
      </c>
      <c r="C23" t="s">
        <v>3</v>
      </c>
      <c r="D23" t="str">
        <f t="shared" si="0"/>
        <v>8.38MM BRONZE TINTED LAMINATED GLASS</v>
      </c>
    </row>
    <row r="24" spans="1:4" x14ac:dyDescent="0.2">
      <c r="A24">
        <v>520</v>
      </c>
      <c r="B24">
        <v>650</v>
      </c>
      <c r="C24" t="s">
        <v>3</v>
      </c>
      <c r="D24" t="str">
        <f t="shared" si="0"/>
        <v>8.38MM BRONZE TINTED LAMINATED GLASS</v>
      </c>
    </row>
    <row r="25" spans="1:4" x14ac:dyDescent="0.2">
      <c r="A25">
        <v>400</v>
      </c>
      <c r="B25">
        <v>670</v>
      </c>
      <c r="C25" t="s">
        <v>3</v>
      </c>
      <c r="D25" t="str">
        <f t="shared" si="0"/>
        <v>8.38MM BRONZE TINTED LAMINATED GLASS</v>
      </c>
    </row>
    <row r="26" spans="1:4" x14ac:dyDescent="0.2">
      <c r="A26">
        <v>420</v>
      </c>
      <c r="B26">
        <v>765</v>
      </c>
      <c r="C26" t="s">
        <v>3</v>
      </c>
      <c r="D26" t="str">
        <f t="shared" si="0"/>
        <v>8.38MM BRONZE TINTED LAMINATED GLASS</v>
      </c>
    </row>
    <row r="27" spans="1:4" x14ac:dyDescent="0.2">
      <c r="A27">
        <v>580</v>
      </c>
      <c r="B27">
        <v>700</v>
      </c>
      <c r="C27" t="s">
        <v>3</v>
      </c>
      <c r="D27" t="str">
        <f t="shared" si="0"/>
        <v>8.38MM BRONZE TINTED LAMINATED GLASS</v>
      </c>
    </row>
    <row r="28" spans="1:4" x14ac:dyDescent="0.2">
      <c r="A28">
        <v>960</v>
      </c>
      <c r="B28">
        <v>1025</v>
      </c>
      <c r="C28" t="s">
        <v>3</v>
      </c>
      <c r="D28" t="str">
        <f t="shared" si="0"/>
        <v>8.38MM BRONZE TINTED LAMINATED GLASS</v>
      </c>
    </row>
    <row r="29" spans="1:4" x14ac:dyDescent="0.2">
      <c r="A29">
        <v>1040</v>
      </c>
      <c r="B29">
        <v>700</v>
      </c>
      <c r="C29" t="s">
        <v>3</v>
      </c>
      <c r="D29" t="str">
        <f t="shared" si="0"/>
        <v>8.38MM BRONZE TINTED LAMINATED GLASS</v>
      </c>
    </row>
    <row r="30" spans="1:4" x14ac:dyDescent="0.2">
      <c r="A30">
        <v>630</v>
      </c>
      <c r="B30">
        <v>2140</v>
      </c>
      <c r="C30" t="s">
        <v>3</v>
      </c>
      <c r="D30" t="str">
        <f t="shared" si="0"/>
        <v>8.38MM BRONZE TINTED LAMINATED GLASS</v>
      </c>
    </row>
    <row r="31" spans="1:4" x14ac:dyDescent="0.2">
      <c r="A31">
        <v>590</v>
      </c>
      <c r="B31">
        <v>635</v>
      </c>
      <c r="C31" t="s">
        <v>3</v>
      </c>
      <c r="D31" t="str">
        <f t="shared" si="0"/>
        <v>8.38MM BRONZE TINTED LAMINATED GLASS</v>
      </c>
    </row>
    <row r="32" spans="1:4" x14ac:dyDescent="0.2">
      <c r="A32">
        <v>480</v>
      </c>
      <c r="B32">
        <v>1090</v>
      </c>
      <c r="C32" t="s">
        <v>3</v>
      </c>
      <c r="D32" t="str">
        <f t="shared" si="0"/>
        <v>8.38MM BRONZE TINTED LAMINATED GLASS</v>
      </c>
    </row>
    <row r="33" spans="1:4" x14ac:dyDescent="0.2">
      <c r="A33">
        <v>480</v>
      </c>
      <c r="B33">
        <v>1080</v>
      </c>
      <c r="C33" t="s">
        <v>3</v>
      </c>
      <c r="D33" t="str">
        <f t="shared" si="0"/>
        <v>8.38MM BRONZE TINTED LAMINATED GLASS</v>
      </c>
    </row>
    <row r="34" spans="1:4" x14ac:dyDescent="0.2">
      <c r="A34">
        <v>545</v>
      </c>
      <c r="B34">
        <v>930</v>
      </c>
      <c r="C34" t="s">
        <v>3</v>
      </c>
      <c r="D34" t="str">
        <f t="shared" si="0"/>
        <v>8.38MM BRONZE TINTED LAMINATED GLASS</v>
      </c>
    </row>
    <row r="35" spans="1:4" x14ac:dyDescent="0.2">
      <c r="A35">
        <v>470</v>
      </c>
      <c r="B35">
        <v>1575</v>
      </c>
      <c r="C35" t="s">
        <v>3</v>
      </c>
      <c r="D35" t="str">
        <f t="shared" si="0"/>
        <v>8.38MM BRONZE TINTED LAMINATED GLASS</v>
      </c>
    </row>
    <row r="36" spans="1:4" x14ac:dyDescent="0.2">
      <c r="A36">
        <v>640</v>
      </c>
      <c r="B36">
        <v>345</v>
      </c>
      <c r="C36" t="s">
        <v>16</v>
      </c>
      <c r="D36" t="str">
        <f t="shared" si="0"/>
        <v>6.38MM MILKY LAMINATED GLASS</v>
      </c>
    </row>
    <row r="37" spans="1:4" x14ac:dyDescent="0.2">
      <c r="A37">
        <v>1350</v>
      </c>
      <c r="B37">
        <v>345</v>
      </c>
      <c r="C37" t="s">
        <v>16</v>
      </c>
      <c r="D37" t="str">
        <f t="shared" si="0"/>
        <v>6.38MM MILKY LAMINATED GLASS</v>
      </c>
    </row>
    <row r="38" spans="1:4" x14ac:dyDescent="0.2">
      <c r="A38">
        <v>1350</v>
      </c>
      <c r="B38">
        <v>345</v>
      </c>
      <c r="C38" t="s">
        <v>16</v>
      </c>
      <c r="D38" t="str">
        <f t="shared" si="0"/>
        <v>6.38MM MILKY LAMINATED GLASS</v>
      </c>
    </row>
    <row r="39" spans="1:4" x14ac:dyDescent="0.2">
      <c r="A39">
        <v>1345</v>
      </c>
      <c r="B39">
        <v>345</v>
      </c>
      <c r="C39" t="s">
        <v>16</v>
      </c>
      <c r="D39" t="str">
        <f t="shared" si="0"/>
        <v>6.38MM MILKY LAMINATED GLASS</v>
      </c>
    </row>
    <row r="40" spans="1:4" x14ac:dyDescent="0.2">
      <c r="A40">
        <v>330</v>
      </c>
      <c r="B40">
        <v>645</v>
      </c>
      <c r="C40" t="s">
        <v>16</v>
      </c>
      <c r="D40" t="str">
        <f t="shared" si="0"/>
        <v>6.38MM MILKY LAMINATED GLASS</v>
      </c>
    </row>
    <row r="41" spans="1:4" x14ac:dyDescent="0.2">
      <c r="A41">
        <v>350</v>
      </c>
      <c r="B41">
        <v>645</v>
      </c>
      <c r="C41" t="s">
        <v>16</v>
      </c>
      <c r="D41" t="str">
        <f t="shared" si="0"/>
        <v>6.38MM MILKY LAMINATED GLASS</v>
      </c>
    </row>
    <row r="42" spans="1:4" x14ac:dyDescent="0.2">
      <c r="A42">
        <v>645</v>
      </c>
      <c r="B42">
        <v>660</v>
      </c>
      <c r="C42" t="s">
        <v>16</v>
      </c>
      <c r="D42" t="str">
        <f t="shared" si="0"/>
        <v>6.38MM MILKY LAMINATED GLASS</v>
      </c>
    </row>
    <row r="43" spans="1:4" x14ac:dyDescent="0.2">
      <c r="A43">
        <v>370</v>
      </c>
      <c r="B43">
        <v>645</v>
      </c>
      <c r="C43" t="s">
        <v>16</v>
      </c>
      <c r="D43" t="str">
        <f t="shared" si="0"/>
        <v>6.38MM MILKY LAMINATED GLASS</v>
      </c>
    </row>
    <row r="44" spans="1:4" x14ac:dyDescent="0.2">
      <c r="A44">
        <v>410</v>
      </c>
      <c r="B44">
        <v>620</v>
      </c>
      <c r="C44" t="s">
        <v>16</v>
      </c>
      <c r="D44" t="str">
        <f t="shared" si="0"/>
        <v>6.38MM MILKY LAMINATED GLASS</v>
      </c>
    </row>
    <row r="45" spans="1:4" x14ac:dyDescent="0.2">
      <c r="A45">
        <v>340</v>
      </c>
      <c r="B45">
        <v>645</v>
      </c>
      <c r="C45" t="s">
        <v>16</v>
      </c>
      <c r="D45" t="str">
        <f t="shared" si="0"/>
        <v>6.38MM MILKY LAMINATED GLASS</v>
      </c>
    </row>
    <row r="46" spans="1:4" x14ac:dyDescent="0.2">
      <c r="A46">
        <v>525</v>
      </c>
      <c r="B46">
        <v>680</v>
      </c>
      <c r="C46" t="s">
        <v>16</v>
      </c>
      <c r="D46" t="str">
        <f t="shared" si="0"/>
        <v>6.38MM MILKY LAMINATED GLASS</v>
      </c>
    </row>
    <row r="47" spans="1:4" x14ac:dyDescent="0.2">
      <c r="A47">
        <v>395</v>
      </c>
      <c r="B47">
        <v>690</v>
      </c>
      <c r="C47" t="s">
        <v>16</v>
      </c>
      <c r="D47" t="str">
        <f t="shared" si="0"/>
        <v>6.38MM MILKY LAMINATED GLASS</v>
      </c>
    </row>
    <row r="48" spans="1:4" x14ac:dyDescent="0.2">
      <c r="A48">
        <v>450</v>
      </c>
      <c r="B48">
        <v>745</v>
      </c>
      <c r="C48" t="s">
        <v>16</v>
      </c>
      <c r="D48" t="str">
        <f t="shared" si="0"/>
        <v>6.38MM MILKY LAMINATED GLASS</v>
      </c>
    </row>
    <row r="49" spans="1:4" x14ac:dyDescent="0.2">
      <c r="A49">
        <v>820</v>
      </c>
      <c r="B49">
        <v>1150</v>
      </c>
      <c r="C49" t="s">
        <v>17</v>
      </c>
      <c r="D49" t="str">
        <f t="shared" si="0"/>
        <v>6.38MM CLEAR LAMINATED GLASS</v>
      </c>
    </row>
    <row r="50" spans="1:4" x14ac:dyDescent="0.2">
      <c r="A50">
        <v>820</v>
      </c>
      <c r="B50">
        <v>1150</v>
      </c>
      <c r="C50" t="s">
        <v>17</v>
      </c>
      <c r="D50" t="str">
        <f t="shared" si="0"/>
        <v>6.38MM CLEAR LAMINATED GLASS</v>
      </c>
    </row>
    <row r="51" spans="1:4" x14ac:dyDescent="0.2">
      <c r="A51">
        <v>820</v>
      </c>
      <c r="B51">
        <v>1150</v>
      </c>
      <c r="C51" t="s">
        <v>17</v>
      </c>
      <c r="D51" t="str">
        <f t="shared" si="0"/>
        <v>6.38MM CLEAR LAMINATED GLASS</v>
      </c>
    </row>
    <row r="52" spans="1:4" x14ac:dyDescent="0.2">
      <c r="A52">
        <v>460</v>
      </c>
      <c r="B52">
        <v>965</v>
      </c>
      <c r="C52" t="s">
        <v>17</v>
      </c>
      <c r="D52" t="str">
        <f t="shared" si="0"/>
        <v>6.38MM CLEAR LAMINATED GLASS</v>
      </c>
    </row>
    <row r="53" spans="1:4" x14ac:dyDescent="0.2">
      <c r="A53">
        <v>400</v>
      </c>
      <c r="B53">
        <v>735</v>
      </c>
      <c r="C53" t="s">
        <v>17</v>
      </c>
      <c r="D53" t="str">
        <f t="shared" si="0"/>
        <v>6.38MM CLEAR LAMINATED GLASS</v>
      </c>
    </row>
    <row r="54" spans="1:4" x14ac:dyDescent="0.2">
      <c r="A54">
        <v>525</v>
      </c>
      <c r="B54">
        <v>1440</v>
      </c>
      <c r="C54" t="s">
        <v>17</v>
      </c>
      <c r="D54" t="str">
        <f t="shared" si="0"/>
        <v>6.38MM CLEAR LAMINATED GLASS</v>
      </c>
    </row>
    <row r="55" spans="1:4" x14ac:dyDescent="0.2">
      <c r="A55">
        <v>1000</v>
      </c>
      <c r="B55">
        <v>2140</v>
      </c>
      <c r="C55" t="s">
        <v>17</v>
      </c>
      <c r="D55" t="str">
        <f t="shared" si="0"/>
        <v>6.38MM CLEAR LAMINATED GLASS</v>
      </c>
    </row>
    <row r="56" spans="1:4" x14ac:dyDescent="0.2">
      <c r="A56">
        <v>460</v>
      </c>
      <c r="B56">
        <v>2400</v>
      </c>
      <c r="C56" t="s">
        <v>17</v>
      </c>
      <c r="D56" t="str">
        <f t="shared" si="0"/>
        <v>6.38MM CLEAR LAMINATED GLASS</v>
      </c>
    </row>
    <row r="57" spans="1:4" x14ac:dyDescent="0.2">
      <c r="A57">
        <v>460</v>
      </c>
      <c r="B57">
        <v>2400</v>
      </c>
      <c r="C57" t="s">
        <v>17</v>
      </c>
      <c r="D57" t="str">
        <f t="shared" si="0"/>
        <v>6.38MM CLEAR LAMINATED GLASS</v>
      </c>
    </row>
    <row r="58" spans="1:4" x14ac:dyDescent="0.2">
      <c r="A58">
        <v>460</v>
      </c>
      <c r="B58">
        <v>2400</v>
      </c>
      <c r="C58" t="s">
        <v>17</v>
      </c>
      <c r="D58" t="str">
        <f t="shared" si="0"/>
        <v>6.38MM CLEAR LAMINATED GLASS</v>
      </c>
    </row>
    <row r="59" spans="1:4" x14ac:dyDescent="0.2">
      <c r="A59">
        <v>460</v>
      </c>
      <c r="B59">
        <v>2400</v>
      </c>
      <c r="C59" t="s">
        <v>17</v>
      </c>
      <c r="D59" t="str">
        <f t="shared" si="0"/>
        <v>6.38MM CLEAR LAMINATED GLASS</v>
      </c>
    </row>
    <row r="60" spans="1:4" x14ac:dyDescent="0.2">
      <c r="A60">
        <v>700</v>
      </c>
      <c r="B60">
        <v>2400</v>
      </c>
      <c r="C60" t="s">
        <v>17</v>
      </c>
      <c r="D60" t="str">
        <f t="shared" si="0"/>
        <v>6.38MM CLEAR LAMINATED GLASS</v>
      </c>
    </row>
    <row r="61" spans="1:4" x14ac:dyDescent="0.2">
      <c r="A61">
        <v>700</v>
      </c>
      <c r="B61">
        <v>2400</v>
      </c>
      <c r="C61" t="s">
        <v>17</v>
      </c>
      <c r="D61" t="str">
        <f t="shared" si="0"/>
        <v>6.38MM CLEAR LAMINATED GLASS</v>
      </c>
    </row>
    <row r="62" spans="1:4" x14ac:dyDescent="0.2">
      <c r="A62">
        <v>990</v>
      </c>
      <c r="B62">
        <v>2140</v>
      </c>
      <c r="C62" t="s">
        <v>17</v>
      </c>
      <c r="D62" t="str">
        <f t="shared" si="0"/>
        <v>6.38MM CLEAR LAMINATED GLASS</v>
      </c>
    </row>
    <row r="63" spans="1:4" x14ac:dyDescent="0.2">
      <c r="A63">
        <v>770</v>
      </c>
      <c r="B63">
        <v>2350</v>
      </c>
      <c r="C63" t="s">
        <v>17</v>
      </c>
      <c r="D63" t="str">
        <f t="shared" si="0"/>
        <v>6.38MM CLEAR LAMINATED GLASS</v>
      </c>
    </row>
    <row r="64" spans="1:4" x14ac:dyDescent="0.2">
      <c r="A64">
        <v>955</v>
      </c>
      <c r="B64">
        <v>2140</v>
      </c>
      <c r="C64" t="s">
        <v>17</v>
      </c>
      <c r="D64" t="str">
        <f t="shared" si="0"/>
        <v>6.38MM CLEAR LAMINATED GLASS</v>
      </c>
    </row>
    <row r="65" spans="1:4" x14ac:dyDescent="0.2">
      <c r="A65">
        <v>665</v>
      </c>
      <c r="B65">
        <v>2140</v>
      </c>
      <c r="C65" t="s">
        <v>17</v>
      </c>
      <c r="D65" t="str">
        <f t="shared" si="0"/>
        <v>6.38MM CLEAR LAMINATED GLASS</v>
      </c>
    </row>
    <row r="66" spans="1:4" x14ac:dyDescent="0.2">
      <c r="A66">
        <v>550</v>
      </c>
      <c r="B66">
        <v>1120</v>
      </c>
      <c r="C66" t="s">
        <v>3</v>
      </c>
      <c r="D66" t="str">
        <f t="shared" ref="D66:D129" si="1">UPPER(TRIM(SUBSTITUTE(SUBSTITUTE(C66,"   "," "),"  "," ")))</f>
        <v>8.38MM BRONZE TINTED LAMINATED GLASS</v>
      </c>
    </row>
    <row r="67" spans="1:4" x14ac:dyDescent="0.2">
      <c r="A67">
        <v>550</v>
      </c>
      <c r="B67">
        <v>1120</v>
      </c>
      <c r="C67" t="s">
        <v>3</v>
      </c>
      <c r="D67" t="str">
        <f t="shared" si="1"/>
        <v>8.38MM BRONZE TINTED LAMINATED GLASS</v>
      </c>
    </row>
    <row r="68" spans="1:4" x14ac:dyDescent="0.2">
      <c r="A68">
        <v>590</v>
      </c>
      <c r="B68">
        <v>730</v>
      </c>
      <c r="C68" t="s">
        <v>3</v>
      </c>
      <c r="D68" t="str">
        <f t="shared" si="1"/>
        <v>8.38MM BRONZE TINTED LAMINATED GLASS</v>
      </c>
    </row>
    <row r="69" spans="1:4" x14ac:dyDescent="0.2">
      <c r="A69">
        <v>430</v>
      </c>
      <c r="B69">
        <v>1180</v>
      </c>
      <c r="C69" t="s">
        <v>3</v>
      </c>
      <c r="D69" t="str">
        <f t="shared" si="1"/>
        <v>8.38MM BRONZE TINTED LAMINATED GLASS</v>
      </c>
    </row>
    <row r="70" spans="1:4" x14ac:dyDescent="0.2">
      <c r="A70">
        <v>380</v>
      </c>
      <c r="B70">
        <v>2140</v>
      </c>
      <c r="C70" t="s">
        <v>3</v>
      </c>
      <c r="D70" t="str">
        <f t="shared" si="1"/>
        <v>8.38MM BRONZE TINTED LAMINATED GLASS</v>
      </c>
    </row>
    <row r="71" spans="1:4" x14ac:dyDescent="0.2">
      <c r="A71">
        <v>870</v>
      </c>
      <c r="B71">
        <v>1150</v>
      </c>
      <c r="C71" t="s">
        <v>3</v>
      </c>
      <c r="D71" t="str">
        <f t="shared" si="1"/>
        <v>8.38MM BRONZE TINTED LAMINATED GLASS</v>
      </c>
    </row>
    <row r="72" spans="1:4" x14ac:dyDescent="0.2">
      <c r="A72">
        <v>875</v>
      </c>
      <c r="B72">
        <v>1000</v>
      </c>
      <c r="C72" t="s">
        <v>3</v>
      </c>
      <c r="D72" t="str">
        <f t="shared" si="1"/>
        <v>8.38MM BRONZE TINTED LAMINATED GLASS</v>
      </c>
    </row>
    <row r="73" spans="1:4" x14ac:dyDescent="0.2">
      <c r="A73">
        <v>480</v>
      </c>
      <c r="B73">
        <v>680</v>
      </c>
      <c r="C73" t="s">
        <v>18</v>
      </c>
      <c r="D73" t="str">
        <f t="shared" si="1"/>
        <v>6.38MM BRONZE TINTED LAMINATED GLASS</v>
      </c>
    </row>
    <row r="74" spans="1:4" x14ac:dyDescent="0.2">
      <c r="A74">
        <v>645</v>
      </c>
      <c r="B74">
        <v>890</v>
      </c>
      <c r="C74" t="s">
        <v>18</v>
      </c>
      <c r="D74" t="str">
        <f t="shared" si="1"/>
        <v>6.38MM BRONZE TINTED LAMINATED GLASS</v>
      </c>
    </row>
    <row r="75" spans="1:4" x14ac:dyDescent="0.2">
      <c r="A75">
        <v>430</v>
      </c>
      <c r="B75">
        <v>1050</v>
      </c>
      <c r="C75" t="s">
        <v>18</v>
      </c>
      <c r="D75" t="str">
        <f t="shared" si="1"/>
        <v>6.38MM BRONZE TINTED LAMINATED GLASS</v>
      </c>
    </row>
    <row r="76" spans="1:4" x14ac:dyDescent="0.2">
      <c r="A76">
        <v>530</v>
      </c>
      <c r="B76">
        <v>1470</v>
      </c>
      <c r="C76" t="s">
        <v>18</v>
      </c>
      <c r="D76" t="str">
        <f t="shared" si="1"/>
        <v>6.38MM BRONZE TINTED LAMINATED GLASS</v>
      </c>
    </row>
    <row r="77" spans="1:4" x14ac:dyDescent="0.2">
      <c r="A77">
        <v>530</v>
      </c>
      <c r="B77">
        <v>1340</v>
      </c>
      <c r="C77" t="s">
        <v>18</v>
      </c>
      <c r="D77" t="str">
        <f t="shared" si="1"/>
        <v>6.38MM BRONZE TINTED LAMINATED GLASS</v>
      </c>
    </row>
    <row r="78" spans="1:4" x14ac:dyDescent="0.2">
      <c r="A78">
        <v>530</v>
      </c>
      <c r="B78">
        <v>1340</v>
      </c>
      <c r="C78" t="s">
        <v>18</v>
      </c>
      <c r="D78" t="str">
        <f t="shared" si="1"/>
        <v>6.38MM BRONZE TINTED LAMINATED GLASS</v>
      </c>
    </row>
    <row r="79" spans="1:4" x14ac:dyDescent="0.2">
      <c r="A79">
        <v>800</v>
      </c>
      <c r="B79">
        <v>915</v>
      </c>
      <c r="C79" t="s">
        <v>18</v>
      </c>
      <c r="D79" t="str">
        <f t="shared" si="1"/>
        <v>6.38MM BRONZE TINTED LAMINATED GLASS</v>
      </c>
    </row>
    <row r="80" spans="1:4" x14ac:dyDescent="0.2">
      <c r="A80">
        <v>675</v>
      </c>
      <c r="B80">
        <v>980</v>
      </c>
      <c r="C80" t="s">
        <v>18</v>
      </c>
      <c r="D80" t="str">
        <f t="shared" si="1"/>
        <v>6.38MM BRONZE TINTED LAMINATED GLASS</v>
      </c>
    </row>
    <row r="81" spans="1:4" x14ac:dyDescent="0.2">
      <c r="A81">
        <v>675</v>
      </c>
      <c r="B81">
        <v>980</v>
      </c>
      <c r="C81" t="s">
        <v>18</v>
      </c>
      <c r="D81" t="str">
        <f t="shared" si="1"/>
        <v>6.38MM BRONZE TINTED LAMINATED GLASS</v>
      </c>
    </row>
    <row r="82" spans="1:4" x14ac:dyDescent="0.2">
      <c r="A82">
        <v>675</v>
      </c>
      <c r="B82">
        <v>1220</v>
      </c>
      <c r="C82" t="s">
        <v>18</v>
      </c>
      <c r="D82" t="str">
        <f t="shared" si="1"/>
        <v>6.38MM BRONZE TINTED LAMINATED GLASS</v>
      </c>
    </row>
    <row r="83" spans="1:4" x14ac:dyDescent="0.2">
      <c r="A83">
        <v>720</v>
      </c>
      <c r="B83">
        <v>825</v>
      </c>
      <c r="C83" t="s">
        <v>18</v>
      </c>
      <c r="D83" t="str">
        <f t="shared" si="1"/>
        <v>6.38MM BRONZE TINTED LAMINATED GLASS</v>
      </c>
    </row>
    <row r="84" spans="1:4" x14ac:dyDescent="0.2">
      <c r="A84">
        <v>700</v>
      </c>
      <c r="B84">
        <v>935</v>
      </c>
      <c r="C84" t="s">
        <v>18</v>
      </c>
      <c r="D84" t="str">
        <f t="shared" si="1"/>
        <v>6.38MM BRONZE TINTED LAMINATED GLASS</v>
      </c>
    </row>
    <row r="85" spans="1:4" x14ac:dyDescent="0.2">
      <c r="A85">
        <v>870</v>
      </c>
      <c r="B85">
        <v>1040</v>
      </c>
      <c r="C85" t="s">
        <v>18</v>
      </c>
      <c r="D85" t="str">
        <f t="shared" si="1"/>
        <v>6.38MM BRONZE TINTED LAMINATED GLASS</v>
      </c>
    </row>
    <row r="86" spans="1:4" x14ac:dyDescent="0.2">
      <c r="A86">
        <v>1100</v>
      </c>
      <c r="B86">
        <v>1400</v>
      </c>
      <c r="C86" t="s">
        <v>18</v>
      </c>
      <c r="D86" t="str">
        <f t="shared" si="1"/>
        <v>6.38MM BRONZE TINTED LAMINATED GLASS</v>
      </c>
    </row>
    <row r="87" spans="1:4" x14ac:dyDescent="0.2">
      <c r="A87">
        <v>520</v>
      </c>
      <c r="B87">
        <v>1360</v>
      </c>
      <c r="C87" t="s">
        <v>18</v>
      </c>
      <c r="D87" t="str">
        <f t="shared" si="1"/>
        <v>6.38MM BRONZE TINTED LAMINATED GLASS</v>
      </c>
    </row>
    <row r="88" spans="1:4" x14ac:dyDescent="0.2">
      <c r="A88">
        <v>520</v>
      </c>
      <c r="B88">
        <v>1300</v>
      </c>
      <c r="C88" t="s">
        <v>18</v>
      </c>
      <c r="D88" t="str">
        <f t="shared" si="1"/>
        <v>6.38MM BRONZE TINTED LAMINATED GLASS</v>
      </c>
    </row>
    <row r="89" spans="1:4" x14ac:dyDescent="0.2">
      <c r="A89">
        <v>520</v>
      </c>
      <c r="B89">
        <v>1300</v>
      </c>
      <c r="C89" t="s">
        <v>18</v>
      </c>
      <c r="D89" t="str">
        <f t="shared" si="1"/>
        <v>6.38MM BRONZE TINTED LAMINATED GLASS</v>
      </c>
    </row>
    <row r="90" spans="1:4" x14ac:dyDescent="0.2">
      <c r="A90">
        <v>505</v>
      </c>
      <c r="B90">
        <v>1600</v>
      </c>
      <c r="C90" t="s">
        <v>18</v>
      </c>
      <c r="D90" t="str">
        <f t="shared" si="1"/>
        <v>6.38MM BRONZE TINTED LAMINATED GLASS</v>
      </c>
    </row>
    <row r="91" spans="1:4" x14ac:dyDescent="0.2">
      <c r="A91">
        <v>505</v>
      </c>
      <c r="B91">
        <v>1600</v>
      </c>
      <c r="C91" t="s">
        <v>18</v>
      </c>
      <c r="D91" t="str">
        <f t="shared" si="1"/>
        <v>6.38MM BRONZE TINTED LAMINATED GLASS</v>
      </c>
    </row>
    <row r="92" spans="1:4" x14ac:dyDescent="0.2">
      <c r="A92">
        <v>530</v>
      </c>
      <c r="B92">
        <v>1360</v>
      </c>
      <c r="C92" t="s">
        <v>18</v>
      </c>
      <c r="D92" t="str">
        <f t="shared" si="1"/>
        <v>6.38MM BRONZE TINTED LAMINATED GLASS</v>
      </c>
    </row>
    <row r="93" spans="1:4" x14ac:dyDescent="0.2">
      <c r="A93">
        <v>510</v>
      </c>
      <c r="B93">
        <v>1600</v>
      </c>
      <c r="C93" t="s">
        <v>18</v>
      </c>
      <c r="D93" t="str">
        <f t="shared" si="1"/>
        <v>6.38MM BRONZE TINTED LAMINATED GLASS</v>
      </c>
    </row>
    <row r="94" spans="1:4" x14ac:dyDescent="0.2">
      <c r="A94">
        <v>520</v>
      </c>
      <c r="B94">
        <v>1580</v>
      </c>
      <c r="C94" t="s">
        <v>18</v>
      </c>
      <c r="D94" t="str">
        <f t="shared" si="1"/>
        <v>6.38MM BRONZE TINTED LAMINATED GLASS</v>
      </c>
    </row>
    <row r="95" spans="1:4" x14ac:dyDescent="0.2">
      <c r="A95">
        <v>520</v>
      </c>
      <c r="B95">
        <v>1580</v>
      </c>
      <c r="C95" t="s">
        <v>18</v>
      </c>
      <c r="D95" t="str">
        <f t="shared" si="1"/>
        <v>6.38MM BRONZE TINTED LAMINATED GLASS</v>
      </c>
    </row>
    <row r="96" spans="1:4" x14ac:dyDescent="0.2">
      <c r="A96">
        <v>530</v>
      </c>
      <c r="B96">
        <v>1000</v>
      </c>
      <c r="C96" t="s">
        <v>18</v>
      </c>
      <c r="D96" t="str">
        <f t="shared" si="1"/>
        <v>6.38MM BRONZE TINTED LAMINATED GLASS</v>
      </c>
    </row>
    <row r="97" spans="1:4" x14ac:dyDescent="0.2">
      <c r="A97">
        <v>530</v>
      </c>
      <c r="B97">
        <v>1000</v>
      </c>
      <c r="C97" t="s">
        <v>18</v>
      </c>
      <c r="D97" t="str">
        <f t="shared" si="1"/>
        <v>6.38MM BRONZE TINTED LAMINATED GLASS</v>
      </c>
    </row>
    <row r="98" spans="1:4" x14ac:dyDescent="0.2">
      <c r="A98">
        <v>535</v>
      </c>
      <c r="B98">
        <v>1475</v>
      </c>
      <c r="C98" t="s">
        <v>18</v>
      </c>
      <c r="D98" t="str">
        <f t="shared" si="1"/>
        <v>6.38MM BRONZE TINTED LAMINATED GLASS</v>
      </c>
    </row>
    <row r="99" spans="1:4" x14ac:dyDescent="0.2">
      <c r="A99">
        <v>435</v>
      </c>
      <c r="B99">
        <v>1400</v>
      </c>
      <c r="C99" t="s">
        <v>18</v>
      </c>
      <c r="D99" t="str">
        <f t="shared" si="1"/>
        <v>6.38MM BRONZE TINTED LAMINATED GLASS</v>
      </c>
    </row>
    <row r="100" spans="1:4" x14ac:dyDescent="0.2">
      <c r="A100">
        <v>515</v>
      </c>
      <c r="B100">
        <v>1265</v>
      </c>
      <c r="C100" t="s">
        <v>18</v>
      </c>
      <c r="D100" t="str">
        <f t="shared" si="1"/>
        <v>6.38MM BRONZE TINTED LAMINATED GLASS</v>
      </c>
    </row>
    <row r="101" spans="1:4" x14ac:dyDescent="0.2">
      <c r="A101">
        <v>400</v>
      </c>
      <c r="B101">
        <v>2130</v>
      </c>
      <c r="C101" t="s">
        <v>18</v>
      </c>
      <c r="D101" t="str">
        <f t="shared" si="1"/>
        <v>6.38MM BRONZE TINTED LAMINATED GLASS</v>
      </c>
    </row>
    <row r="102" spans="1:4" x14ac:dyDescent="0.2">
      <c r="A102">
        <v>400</v>
      </c>
      <c r="B102">
        <v>2130</v>
      </c>
      <c r="C102" t="s">
        <v>18</v>
      </c>
      <c r="D102" t="str">
        <f t="shared" si="1"/>
        <v>6.38MM BRONZE TINTED LAMINATED GLASS</v>
      </c>
    </row>
    <row r="103" spans="1:4" x14ac:dyDescent="0.2">
      <c r="A103">
        <v>400</v>
      </c>
      <c r="B103">
        <v>2130</v>
      </c>
      <c r="C103" t="s">
        <v>18</v>
      </c>
      <c r="D103" t="str">
        <f t="shared" si="1"/>
        <v>6.38MM BRONZE TINTED LAMINATED GLASS</v>
      </c>
    </row>
    <row r="104" spans="1:4" x14ac:dyDescent="0.2">
      <c r="A104">
        <v>895</v>
      </c>
      <c r="B104">
        <v>2140</v>
      </c>
      <c r="C104" t="s">
        <v>18</v>
      </c>
      <c r="D104" t="str">
        <f t="shared" si="1"/>
        <v>6.38MM BRONZE TINTED LAMINATED GLASS</v>
      </c>
    </row>
    <row r="105" spans="1:4" x14ac:dyDescent="0.2">
      <c r="A105">
        <v>930</v>
      </c>
      <c r="B105">
        <v>930</v>
      </c>
      <c r="C105" t="s">
        <v>18</v>
      </c>
      <c r="D105" t="str">
        <f t="shared" si="1"/>
        <v>6.38MM BRONZE TINTED LAMINATED GLASS</v>
      </c>
    </row>
    <row r="106" spans="1:4" x14ac:dyDescent="0.2">
      <c r="A106">
        <v>1090</v>
      </c>
      <c r="B106">
        <v>1100</v>
      </c>
      <c r="C106" t="s">
        <v>18</v>
      </c>
      <c r="D106" t="str">
        <f t="shared" si="1"/>
        <v>6.38MM BRONZE TINTED LAMINATED GLASS</v>
      </c>
    </row>
    <row r="107" spans="1:4" x14ac:dyDescent="0.2">
      <c r="A107">
        <v>935</v>
      </c>
      <c r="B107">
        <v>910</v>
      </c>
      <c r="C107" t="s">
        <v>18</v>
      </c>
      <c r="D107" t="str">
        <f t="shared" si="1"/>
        <v>6.38MM BRONZE TINTED LAMINATED GLASS</v>
      </c>
    </row>
    <row r="108" spans="1:4" x14ac:dyDescent="0.2">
      <c r="A108">
        <v>1200</v>
      </c>
      <c r="B108">
        <v>675</v>
      </c>
      <c r="C108" t="s">
        <v>18</v>
      </c>
      <c r="D108" t="str">
        <f t="shared" si="1"/>
        <v>6.38MM BRONZE TINTED LAMINATED GLASS</v>
      </c>
    </row>
    <row r="109" spans="1:4" x14ac:dyDescent="0.2">
      <c r="A109">
        <v>1090</v>
      </c>
      <c r="B109">
        <v>950</v>
      </c>
      <c r="C109" t="s">
        <v>18</v>
      </c>
      <c r="D109" t="str">
        <f t="shared" si="1"/>
        <v>6.38MM BRONZE TINTED LAMINATED GLASS</v>
      </c>
    </row>
    <row r="110" spans="1:4" x14ac:dyDescent="0.2">
      <c r="A110">
        <v>740</v>
      </c>
      <c r="B110">
        <v>2140</v>
      </c>
      <c r="C110" t="s">
        <v>19</v>
      </c>
      <c r="D110" t="str">
        <f t="shared" si="1"/>
        <v>8.38MM BRONZE ONEWAY LAMINATED GLASS</v>
      </c>
    </row>
    <row r="111" spans="1:4" x14ac:dyDescent="0.2">
      <c r="A111">
        <v>765</v>
      </c>
      <c r="B111">
        <v>2140</v>
      </c>
      <c r="C111" t="s">
        <v>19</v>
      </c>
      <c r="D111" t="str">
        <f t="shared" si="1"/>
        <v>8.38MM BRONZE ONEWAY LAMINATED GLASS</v>
      </c>
    </row>
    <row r="112" spans="1:4" x14ac:dyDescent="0.2">
      <c r="A112">
        <v>870</v>
      </c>
      <c r="B112">
        <v>2140</v>
      </c>
      <c r="C112" t="s">
        <v>19</v>
      </c>
      <c r="D112" t="str">
        <f t="shared" si="1"/>
        <v>8.38MM BRONZE ONEWAY LAMINATED GLASS</v>
      </c>
    </row>
    <row r="113" spans="1:4" x14ac:dyDescent="0.2">
      <c r="A113">
        <v>790</v>
      </c>
      <c r="B113">
        <v>2140</v>
      </c>
      <c r="C113" t="s">
        <v>19</v>
      </c>
      <c r="D113" t="str">
        <f t="shared" si="1"/>
        <v>8.38MM BRONZE ONEWAY LAMINATED GLASS</v>
      </c>
    </row>
    <row r="114" spans="1:4" x14ac:dyDescent="0.2">
      <c r="A114">
        <v>790</v>
      </c>
      <c r="B114">
        <v>2140</v>
      </c>
      <c r="C114" t="s">
        <v>19</v>
      </c>
      <c r="D114" t="str">
        <f t="shared" si="1"/>
        <v>8.38MM BRONZE ONEWAY LAMINATED GLASS</v>
      </c>
    </row>
    <row r="115" spans="1:4" x14ac:dyDescent="0.2">
      <c r="A115">
        <v>740</v>
      </c>
      <c r="B115">
        <v>2530</v>
      </c>
      <c r="C115" t="s">
        <v>19</v>
      </c>
      <c r="D115" t="str">
        <f t="shared" si="1"/>
        <v>8.38MM BRONZE ONEWAY LAMINATED GLASS</v>
      </c>
    </row>
    <row r="116" spans="1:4" x14ac:dyDescent="0.2">
      <c r="A116">
        <v>740</v>
      </c>
      <c r="B116">
        <v>2530</v>
      </c>
      <c r="C116" t="s">
        <v>19</v>
      </c>
      <c r="D116" t="str">
        <f t="shared" si="1"/>
        <v>8.38MM BRONZE ONEWAY LAMINATED GLASS</v>
      </c>
    </row>
    <row r="117" spans="1:4" x14ac:dyDescent="0.2">
      <c r="A117">
        <v>745</v>
      </c>
      <c r="B117">
        <v>2470</v>
      </c>
      <c r="C117" t="s">
        <v>19</v>
      </c>
      <c r="D117" t="str">
        <f t="shared" si="1"/>
        <v>8.38MM BRONZE ONEWAY LAMINATED GLASS</v>
      </c>
    </row>
    <row r="118" spans="1:4" x14ac:dyDescent="0.2">
      <c r="A118">
        <v>745</v>
      </c>
      <c r="B118">
        <v>2500</v>
      </c>
      <c r="C118" t="s">
        <v>19</v>
      </c>
      <c r="D118" t="str">
        <f t="shared" si="1"/>
        <v>8.38MM BRONZE ONEWAY LAMINATED GLASS</v>
      </c>
    </row>
    <row r="119" spans="1:4" x14ac:dyDescent="0.2">
      <c r="A119">
        <v>500</v>
      </c>
      <c r="B119">
        <v>2140</v>
      </c>
      <c r="C119" t="s">
        <v>19</v>
      </c>
      <c r="D119" t="str">
        <f t="shared" si="1"/>
        <v>8.38MM BRONZE ONEWAY LAMINATED GLASS</v>
      </c>
    </row>
    <row r="120" spans="1:4" x14ac:dyDescent="0.2">
      <c r="A120">
        <v>500</v>
      </c>
      <c r="B120">
        <v>2140</v>
      </c>
      <c r="C120" t="s">
        <v>19</v>
      </c>
      <c r="D120" t="str">
        <f t="shared" si="1"/>
        <v>8.38MM BRONZE ONEWAY LAMINATED GLASS</v>
      </c>
    </row>
    <row r="121" spans="1:4" x14ac:dyDescent="0.2">
      <c r="A121">
        <v>500</v>
      </c>
      <c r="B121">
        <v>2140</v>
      </c>
      <c r="C121" t="s">
        <v>19</v>
      </c>
      <c r="D121" t="str">
        <f t="shared" si="1"/>
        <v>8.38MM BRONZE ONEWAY LAMINATED GLASS</v>
      </c>
    </row>
    <row r="122" spans="1:4" x14ac:dyDescent="0.2">
      <c r="A122">
        <v>470</v>
      </c>
      <c r="B122">
        <v>700</v>
      </c>
      <c r="C122" t="s">
        <v>20</v>
      </c>
      <c r="D122" t="str">
        <f t="shared" si="1"/>
        <v>6.38MM GREY TINTED LAMINATED GLASS</v>
      </c>
    </row>
    <row r="123" spans="1:4" x14ac:dyDescent="0.2">
      <c r="A123">
        <v>595</v>
      </c>
      <c r="B123">
        <v>1050</v>
      </c>
      <c r="C123" t="s">
        <v>20</v>
      </c>
      <c r="D123" t="str">
        <f t="shared" si="1"/>
        <v>6.38MM GREY TINTED LAMINATED GLASS</v>
      </c>
    </row>
    <row r="124" spans="1:4" x14ac:dyDescent="0.2">
      <c r="A124">
        <v>510</v>
      </c>
      <c r="B124">
        <v>1075</v>
      </c>
      <c r="C124" t="s">
        <v>20</v>
      </c>
      <c r="D124" t="str">
        <f t="shared" si="1"/>
        <v>6.38MM GREY TINTED LAMINATED GLASS</v>
      </c>
    </row>
    <row r="125" spans="1:4" x14ac:dyDescent="0.2">
      <c r="A125">
        <v>480</v>
      </c>
      <c r="B125">
        <v>750</v>
      </c>
      <c r="C125" t="s">
        <v>20</v>
      </c>
      <c r="D125" t="str">
        <f t="shared" si="1"/>
        <v>6.38MM GREY TINTED LAMINATED GLASS</v>
      </c>
    </row>
    <row r="126" spans="1:4" x14ac:dyDescent="0.2">
      <c r="A126">
        <v>500</v>
      </c>
      <c r="B126">
        <v>550</v>
      </c>
      <c r="C126" t="s">
        <v>20</v>
      </c>
      <c r="D126" t="str">
        <f t="shared" si="1"/>
        <v>6.38MM GREY TINTED LAMINATED GLASS</v>
      </c>
    </row>
    <row r="127" spans="1:4" x14ac:dyDescent="0.2">
      <c r="A127">
        <v>600</v>
      </c>
      <c r="B127">
        <v>920</v>
      </c>
      <c r="C127" t="s">
        <v>20</v>
      </c>
      <c r="D127" t="str">
        <f t="shared" si="1"/>
        <v>6.38MM GREY TINTED LAMINATED GLASS</v>
      </c>
    </row>
    <row r="128" spans="1:4" x14ac:dyDescent="0.2">
      <c r="A128">
        <v>600</v>
      </c>
      <c r="B128">
        <v>920</v>
      </c>
      <c r="C128" t="s">
        <v>20</v>
      </c>
      <c r="D128" t="str">
        <f t="shared" si="1"/>
        <v>6.38MM GREY TINTED LAMINATED GLASS</v>
      </c>
    </row>
    <row r="129" spans="1:4" x14ac:dyDescent="0.2">
      <c r="A129">
        <v>525</v>
      </c>
      <c r="B129">
        <v>875</v>
      </c>
      <c r="C129" t="s">
        <v>20</v>
      </c>
      <c r="D129" t="str">
        <f t="shared" si="1"/>
        <v>6.38MM GREY TINTED LAMINATED GLASS</v>
      </c>
    </row>
    <row r="130" spans="1:4" x14ac:dyDescent="0.2">
      <c r="A130">
        <v>460</v>
      </c>
      <c r="B130">
        <v>1250</v>
      </c>
      <c r="C130" t="s">
        <v>20</v>
      </c>
      <c r="D130" t="str">
        <f t="shared" ref="D130:D193" si="2">UPPER(TRIM(SUBSTITUTE(SUBSTITUTE(C130,"   "," "),"  "," ")))</f>
        <v>6.38MM GREY TINTED LAMINATED GLASS</v>
      </c>
    </row>
    <row r="131" spans="1:4" x14ac:dyDescent="0.2">
      <c r="A131">
        <v>405</v>
      </c>
      <c r="B131">
        <v>1000</v>
      </c>
      <c r="C131" t="s">
        <v>20</v>
      </c>
      <c r="D131" t="str">
        <f t="shared" si="2"/>
        <v>6.38MM GREY TINTED LAMINATED GLASS</v>
      </c>
    </row>
    <row r="132" spans="1:4" x14ac:dyDescent="0.2">
      <c r="A132">
        <v>395</v>
      </c>
      <c r="B132">
        <v>1115</v>
      </c>
      <c r="C132" t="s">
        <v>20</v>
      </c>
      <c r="D132" t="str">
        <f t="shared" si="2"/>
        <v>6.38MM GREY TINTED LAMINATED GLASS</v>
      </c>
    </row>
    <row r="133" spans="1:4" x14ac:dyDescent="0.2">
      <c r="A133">
        <v>395</v>
      </c>
      <c r="B133">
        <v>1115</v>
      </c>
      <c r="C133" t="s">
        <v>20</v>
      </c>
      <c r="D133" t="str">
        <f t="shared" si="2"/>
        <v>6.38MM GREY TINTED LAMINATED GLASS</v>
      </c>
    </row>
    <row r="134" spans="1:4" x14ac:dyDescent="0.2">
      <c r="A134">
        <v>430</v>
      </c>
      <c r="B134">
        <v>1015</v>
      </c>
      <c r="C134" t="s">
        <v>20</v>
      </c>
      <c r="D134" t="str">
        <f t="shared" si="2"/>
        <v>6.38MM GREY TINTED LAMINATED GLASS</v>
      </c>
    </row>
    <row r="135" spans="1:4" x14ac:dyDescent="0.2">
      <c r="A135">
        <v>425</v>
      </c>
      <c r="B135">
        <v>1080</v>
      </c>
      <c r="C135" t="s">
        <v>20</v>
      </c>
      <c r="D135" t="str">
        <f t="shared" si="2"/>
        <v>6.38MM GREY TINTED LAMINATED GLASS</v>
      </c>
    </row>
    <row r="136" spans="1:4" x14ac:dyDescent="0.2">
      <c r="A136">
        <v>420</v>
      </c>
      <c r="B136">
        <v>1020</v>
      </c>
      <c r="C136" t="s">
        <v>20</v>
      </c>
      <c r="D136" t="str">
        <f t="shared" si="2"/>
        <v>6.38MM GREY TINTED LAMINATED GLASS</v>
      </c>
    </row>
    <row r="137" spans="1:4" x14ac:dyDescent="0.2">
      <c r="A137">
        <v>850</v>
      </c>
      <c r="B137">
        <v>870</v>
      </c>
      <c r="C137" t="s">
        <v>20</v>
      </c>
      <c r="D137" t="str">
        <f t="shared" si="2"/>
        <v>6.38MM GREY TINTED LAMINATED GLASS</v>
      </c>
    </row>
    <row r="138" spans="1:4" x14ac:dyDescent="0.2">
      <c r="A138">
        <v>440</v>
      </c>
      <c r="B138">
        <v>950</v>
      </c>
      <c r="C138" t="s">
        <v>20</v>
      </c>
      <c r="D138" t="str">
        <f t="shared" si="2"/>
        <v>6.38MM GREY TINTED LAMINATED GLASS</v>
      </c>
    </row>
    <row r="139" spans="1:4" x14ac:dyDescent="0.2">
      <c r="A139">
        <v>365</v>
      </c>
      <c r="B139">
        <v>2210</v>
      </c>
      <c r="C139" t="s">
        <v>20</v>
      </c>
      <c r="D139" t="str">
        <f t="shared" si="2"/>
        <v>6.38MM GREY TINTED LAMINATED GLASS</v>
      </c>
    </row>
    <row r="140" spans="1:4" x14ac:dyDescent="0.2">
      <c r="A140">
        <v>370</v>
      </c>
      <c r="B140">
        <v>2030</v>
      </c>
      <c r="C140" t="s">
        <v>20</v>
      </c>
      <c r="D140" t="str">
        <f t="shared" si="2"/>
        <v>6.38MM GREY TINTED LAMINATED GLASS</v>
      </c>
    </row>
    <row r="141" spans="1:4" x14ac:dyDescent="0.2">
      <c r="A141">
        <v>360</v>
      </c>
      <c r="B141">
        <v>2200</v>
      </c>
      <c r="C141" t="s">
        <v>20</v>
      </c>
      <c r="D141" t="str">
        <f t="shared" si="2"/>
        <v>6.38MM GREY TINTED LAMINATED GLASS</v>
      </c>
    </row>
    <row r="142" spans="1:4" x14ac:dyDescent="0.2">
      <c r="A142">
        <v>410</v>
      </c>
      <c r="B142">
        <v>1410</v>
      </c>
      <c r="C142" t="s">
        <v>20</v>
      </c>
      <c r="D142" t="str">
        <f t="shared" si="2"/>
        <v>6.38MM GREY TINTED LAMINATED GLASS</v>
      </c>
    </row>
    <row r="143" spans="1:4" x14ac:dyDescent="0.2">
      <c r="A143">
        <v>900</v>
      </c>
      <c r="B143">
        <v>800</v>
      </c>
      <c r="C143" t="s">
        <v>21</v>
      </c>
      <c r="D143" t="str">
        <f t="shared" si="2"/>
        <v>8MM CLEAR ORDINARY GLASS</v>
      </c>
    </row>
    <row r="144" spans="1:4" x14ac:dyDescent="0.2">
      <c r="A144">
        <v>900</v>
      </c>
      <c r="B144">
        <v>940</v>
      </c>
      <c r="C144" t="s">
        <v>21</v>
      </c>
      <c r="D144" t="str">
        <f t="shared" si="2"/>
        <v>8MM CLEAR ORDINARY GLASS</v>
      </c>
    </row>
    <row r="145" spans="1:4" x14ac:dyDescent="0.2">
      <c r="A145">
        <v>615</v>
      </c>
      <c r="B145">
        <v>980</v>
      </c>
      <c r="C145" t="s">
        <v>21</v>
      </c>
      <c r="D145" t="str">
        <f t="shared" si="2"/>
        <v>8MM CLEAR ORDINARY GLASS</v>
      </c>
    </row>
    <row r="146" spans="1:4" x14ac:dyDescent="0.2">
      <c r="A146">
        <v>550</v>
      </c>
      <c r="B146">
        <v>1115</v>
      </c>
      <c r="C146" t="s">
        <v>21</v>
      </c>
      <c r="D146" t="str">
        <f t="shared" si="2"/>
        <v>8MM CLEAR ORDINARY GLASS</v>
      </c>
    </row>
    <row r="147" spans="1:4" x14ac:dyDescent="0.2">
      <c r="A147">
        <v>600</v>
      </c>
      <c r="B147">
        <v>1075</v>
      </c>
      <c r="C147" t="s">
        <v>21</v>
      </c>
      <c r="D147" t="str">
        <f t="shared" si="2"/>
        <v>8MM CLEAR ORDINARY GLASS</v>
      </c>
    </row>
    <row r="148" spans="1:4" x14ac:dyDescent="0.2">
      <c r="A148">
        <v>650</v>
      </c>
      <c r="B148">
        <v>620</v>
      </c>
      <c r="C148" t="s">
        <v>21</v>
      </c>
      <c r="D148" t="str">
        <f t="shared" si="2"/>
        <v>8MM CLEAR ORDINARY GLASS</v>
      </c>
    </row>
    <row r="149" spans="1:4" x14ac:dyDescent="0.2">
      <c r="A149">
        <v>460</v>
      </c>
      <c r="B149">
        <v>550</v>
      </c>
      <c r="C149" t="s">
        <v>21</v>
      </c>
      <c r="D149" t="str">
        <f t="shared" si="2"/>
        <v>8MM CLEAR ORDINARY GLASS</v>
      </c>
    </row>
    <row r="150" spans="1:4" x14ac:dyDescent="0.2">
      <c r="A150">
        <v>475</v>
      </c>
      <c r="B150">
        <v>545</v>
      </c>
      <c r="C150" t="s">
        <v>21</v>
      </c>
      <c r="D150" t="str">
        <f t="shared" si="2"/>
        <v>8MM CLEAR ORDINARY GLASS</v>
      </c>
    </row>
    <row r="151" spans="1:4" x14ac:dyDescent="0.2">
      <c r="A151">
        <v>600</v>
      </c>
      <c r="B151">
        <v>2140</v>
      </c>
      <c r="C151" t="s">
        <v>21</v>
      </c>
      <c r="D151" t="str">
        <f t="shared" si="2"/>
        <v>8MM CLEAR ORDINARY GLASS</v>
      </c>
    </row>
    <row r="152" spans="1:4" x14ac:dyDescent="0.2">
      <c r="A152">
        <v>530</v>
      </c>
      <c r="B152">
        <v>2140</v>
      </c>
      <c r="C152" t="s">
        <v>21</v>
      </c>
      <c r="D152" t="str">
        <f t="shared" si="2"/>
        <v>8MM CLEAR ORDINARY GLASS</v>
      </c>
    </row>
    <row r="153" spans="1:4" x14ac:dyDescent="0.2">
      <c r="A153">
        <v>990</v>
      </c>
      <c r="B153">
        <v>2140</v>
      </c>
      <c r="C153" t="s">
        <v>21</v>
      </c>
      <c r="D153" t="str">
        <f t="shared" si="2"/>
        <v>8MM CLEAR ORDINARY GLASS</v>
      </c>
    </row>
    <row r="154" spans="1:4" x14ac:dyDescent="0.2">
      <c r="A154">
        <v>1100</v>
      </c>
      <c r="B154">
        <v>2140</v>
      </c>
      <c r="C154" t="s">
        <v>21</v>
      </c>
      <c r="D154" t="str">
        <f t="shared" si="2"/>
        <v>8MM CLEAR ORDINARY GLASS</v>
      </c>
    </row>
    <row r="155" spans="1:4" x14ac:dyDescent="0.2">
      <c r="A155">
        <v>540</v>
      </c>
      <c r="B155">
        <v>2140</v>
      </c>
      <c r="C155" t="s">
        <v>21</v>
      </c>
      <c r="D155" t="str">
        <f t="shared" si="2"/>
        <v>8MM CLEAR ORDINARY GLASS</v>
      </c>
    </row>
    <row r="156" spans="1:4" x14ac:dyDescent="0.2">
      <c r="A156">
        <v>645</v>
      </c>
      <c r="B156">
        <v>2140</v>
      </c>
      <c r="C156" t="s">
        <v>21</v>
      </c>
      <c r="D156" t="str">
        <f t="shared" si="2"/>
        <v>8MM CLEAR ORDINARY GLASS</v>
      </c>
    </row>
    <row r="157" spans="1:4" x14ac:dyDescent="0.2">
      <c r="A157">
        <v>1400</v>
      </c>
      <c r="B157">
        <v>2000</v>
      </c>
      <c r="C157" t="s">
        <v>21</v>
      </c>
      <c r="D157" t="str">
        <f t="shared" si="2"/>
        <v>8MM CLEAR ORDINARY GLASS</v>
      </c>
    </row>
    <row r="158" spans="1:4" x14ac:dyDescent="0.2">
      <c r="A158">
        <v>950</v>
      </c>
      <c r="B158">
        <v>2000</v>
      </c>
      <c r="C158" t="s">
        <v>21</v>
      </c>
      <c r="D158" t="str">
        <f t="shared" si="2"/>
        <v>8MM CLEAR ORDINARY GLASS</v>
      </c>
    </row>
    <row r="159" spans="1:4" x14ac:dyDescent="0.2">
      <c r="A159">
        <v>715</v>
      </c>
      <c r="B159">
        <v>2500</v>
      </c>
      <c r="C159" t="s">
        <v>21</v>
      </c>
      <c r="D159" t="str">
        <f t="shared" si="2"/>
        <v>8MM CLEAR ORDINARY GLASS</v>
      </c>
    </row>
    <row r="160" spans="1:4" x14ac:dyDescent="0.2">
      <c r="A160">
        <v>600</v>
      </c>
      <c r="B160">
        <v>2140</v>
      </c>
      <c r="C160" t="s">
        <v>21</v>
      </c>
      <c r="D160" t="str">
        <f t="shared" si="2"/>
        <v>8MM CLEAR ORDINARY GLASS</v>
      </c>
    </row>
    <row r="161" spans="1:4" x14ac:dyDescent="0.2">
      <c r="A161">
        <v>1140</v>
      </c>
      <c r="B161">
        <v>2140</v>
      </c>
      <c r="C161" t="s">
        <v>21</v>
      </c>
      <c r="D161" t="str">
        <f t="shared" si="2"/>
        <v>8MM CLEAR ORDINARY GLASS</v>
      </c>
    </row>
    <row r="162" spans="1:4" x14ac:dyDescent="0.2">
      <c r="A162">
        <v>1140</v>
      </c>
      <c r="B162">
        <v>2140</v>
      </c>
      <c r="C162" t="s">
        <v>21</v>
      </c>
      <c r="D162" t="str">
        <f t="shared" si="2"/>
        <v>8MM CLEAR ORDINARY GLASS</v>
      </c>
    </row>
    <row r="163" spans="1:4" x14ac:dyDescent="0.2">
      <c r="A163">
        <v>1135</v>
      </c>
      <c r="B163">
        <v>2140</v>
      </c>
      <c r="C163" t="s">
        <v>21</v>
      </c>
      <c r="D163" t="str">
        <f t="shared" si="2"/>
        <v>8MM CLEAR ORDINARY GLASS</v>
      </c>
    </row>
    <row r="164" spans="1:4" x14ac:dyDescent="0.2">
      <c r="A164">
        <v>1170</v>
      </c>
      <c r="B164">
        <v>2140</v>
      </c>
      <c r="C164" t="s">
        <v>21</v>
      </c>
      <c r="D164" t="str">
        <f t="shared" si="2"/>
        <v>8MM CLEAR ORDINARY GLASS</v>
      </c>
    </row>
    <row r="165" spans="1:4" x14ac:dyDescent="0.2">
      <c r="A165">
        <v>760</v>
      </c>
      <c r="B165">
        <v>2140</v>
      </c>
      <c r="C165" t="s">
        <v>21</v>
      </c>
      <c r="D165" t="str">
        <f t="shared" si="2"/>
        <v>8MM CLEAR ORDINARY GLASS</v>
      </c>
    </row>
    <row r="166" spans="1:4" x14ac:dyDescent="0.2">
      <c r="A166">
        <v>800</v>
      </c>
      <c r="B166">
        <v>2140</v>
      </c>
      <c r="C166" t="s">
        <v>21</v>
      </c>
      <c r="D166" t="str">
        <f t="shared" si="2"/>
        <v>8MM CLEAR ORDINARY GLASS</v>
      </c>
    </row>
    <row r="167" spans="1:4" x14ac:dyDescent="0.2">
      <c r="A167">
        <v>1100</v>
      </c>
      <c r="B167">
        <v>2140</v>
      </c>
      <c r="C167" t="s">
        <v>21</v>
      </c>
      <c r="D167" t="str">
        <f t="shared" si="2"/>
        <v>8MM CLEAR ORDINARY GLASS</v>
      </c>
    </row>
    <row r="168" spans="1:4" x14ac:dyDescent="0.2">
      <c r="A168">
        <v>1100</v>
      </c>
      <c r="B168">
        <v>2140</v>
      </c>
      <c r="C168" t="s">
        <v>21</v>
      </c>
      <c r="D168" t="str">
        <f t="shared" si="2"/>
        <v>8MM CLEAR ORDINARY GLASS</v>
      </c>
    </row>
    <row r="169" spans="1:4" x14ac:dyDescent="0.2">
      <c r="A169">
        <v>970</v>
      </c>
      <c r="B169">
        <v>2140</v>
      </c>
      <c r="C169" t="s">
        <v>21</v>
      </c>
      <c r="D169" t="str">
        <f t="shared" si="2"/>
        <v>8MM CLEAR ORDINARY GLASS</v>
      </c>
    </row>
    <row r="170" spans="1:4" x14ac:dyDescent="0.2">
      <c r="A170">
        <v>1000</v>
      </c>
      <c r="B170">
        <v>2140</v>
      </c>
      <c r="C170" t="s">
        <v>21</v>
      </c>
      <c r="D170" t="str">
        <f t="shared" si="2"/>
        <v>8MM CLEAR ORDINARY GLASS</v>
      </c>
    </row>
    <row r="171" spans="1:4" x14ac:dyDescent="0.2">
      <c r="A171">
        <v>1000</v>
      </c>
      <c r="B171">
        <v>2140</v>
      </c>
      <c r="C171" t="s">
        <v>21</v>
      </c>
      <c r="D171" t="str">
        <f t="shared" si="2"/>
        <v>8MM CLEAR ORDINARY GLASS</v>
      </c>
    </row>
    <row r="172" spans="1:4" x14ac:dyDescent="0.2">
      <c r="A172">
        <v>880</v>
      </c>
      <c r="B172">
        <v>2140</v>
      </c>
      <c r="C172" t="s">
        <v>21</v>
      </c>
      <c r="D172" t="str">
        <f t="shared" si="2"/>
        <v>8MM CLEAR ORDINARY GLASS</v>
      </c>
    </row>
    <row r="173" spans="1:4" x14ac:dyDescent="0.2">
      <c r="A173">
        <v>830</v>
      </c>
      <c r="B173">
        <v>2400</v>
      </c>
      <c r="C173" t="s">
        <v>21</v>
      </c>
      <c r="D173" t="str">
        <f t="shared" si="2"/>
        <v>8MM CLEAR ORDINARY GLASS</v>
      </c>
    </row>
    <row r="174" spans="1:4" x14ac:dyDescent="0.2">
      <c r="A174">
        <v>830</v>
      </c>
      <c r="B174">
        <v>2300</v>
      </c>
      <c r="C174" t="s">
        <v>21</v>
      </c>
      <c r="D174" t="str">
        <f t="shared" si="2"/>
        <v>8MM CLEAR ORDINARY GLASS</v>
      </c>
    </row>
    <row r="175" spans="1:4" x14ac:dyDescent="0.2">
      <c r="A175">
        <v>600</v>
      </c>
      <c r="B175">
        <v>750</v>
      </c>
      <c r="C175" t="s">
        <v>22</v>
      </c>
      <c r="D175" t="str">
        <f t="shared" si="2"/>
        <v>8.38MM CLEAR LAMINATED GLASS</v>
      </c>
    </row>
    <row r="176" spans="1:4" x14ac:dyDescent="0.2">
      <c r="A176">
        <v>420</v>
      </c>
      <c r="B176">
        <v>760</v>
      </c>
      <c r="C176" t="s">
        <v>22</v>
      </c>
      <c r="D176" t="str">
        <f t="shared" si="2"/>
        <v>8.38MM CLEAR LAMINATED GLASS</v>
      </c>
    </row>
    <row r="177" spans="1:4" x14ac:dyDescent="0.2">
      <c r="A177">
        <v>650</v>
      </c>
      <c r="B177">
        <v>430</v>
      </c>
      <c r="C177" t="s">
        <v>22</v>
      </c>
      <c r="D177" t="str">
        <f t="shared" si="2"/>
        <v>8.38MM CLEAR LAMINATED GLASS</v>
      </c>
    </row>
    <row r="178" spans="1:4" x14ac:dyDescent="0.2">
      <c r="A178">
        <v>300</v>
      </c>
      <c r="B178">
        <v>1260</v>
      </c>
      <c r="C178" t="s">
        <v>22</v>
      </c>
      <c r="D178" t="str">
        <f t="shared" si="2"/>
        <v>8.38MM CLEAR LAMINATED GLASS</v>
      </c>
    </row>
    <row r="179" spans="1:4" x14ac:dyDescent="0.2">
      <c r="A179">
        <v>475</v>
      </c>
      <c r="B179">
        <v>545</v>
      </c>
      <c r="C179" t="s">
        <v>22</v>
      </c>
      <c r="D179" t="str">
        <f t="shared" si="2"/>
        <v>8.38MM CLEAR LAMINATED GLASS</v>
      </c>
    </row>
    <row r="180" spans="1:4" x14ac:dyDescent="0.2">
      <c r="A180">
        <v>480</v>
      </c>
      <c r="B180">
        <v>550</v>
      </c>
      <c r="C180" t="s">
        <v>22</v>
      </c>
      <c r="D180" t="str">
        <f t="shared" si="2"/>
        <v>8.38MM CLEAR LAMINATED GLASS</v>
      </c>
    </row>
    <row r="181" spans="1:4" x14ac:dyDescent="0.2">
      <c r="A181">
        <v>500</v>
      </c>
      <c r="B181">
        <v>545</v>
      </c>
      <c r="C181" t="s">
        <v>22</v>
      </c>
      <c r="D181" t="str">
        <f t="shared" si="2"/>
        <v>8.38MM CLEAR LAMINATED GLASS</v>
      </c>
    </row>
    <row r="182" spans="1:4" x14ac:dyDescent="0.2">
      <c r="A182">
        <v>520</v>
      </c>
      <c r="B182">
        <v>680</v>
      </c>
      <c r="C182" t="s">
        <v>22</v>
      </c>
      <c r="D182" t="str">
        <f t="shared" si="2"/>
        <v>8.38MM CLEAR LAMINATED GLASS</v>
      </c>
    </row>
    <row r="183" spans="1:4" x14ac:dyDescent="0.2">
      <c r="A183">
        <v>415</v>
      </c>
      <c r="B183">
        <v>830</v>
      </c>
      <c r="C183" t="s">
        <v>22</v>
      </c>
      <c r="D183" t="str">
        <f t="shared" si="2"/>
        <v>8.38MM CLEAR LAMINATED GLASS</v>
      </c>
    </row>
    <row r="184" spans="1:4" x14ac:dyDescent="0.2">
      <c r="A184">
        <v>475</v>
      </c>
      <c r="B184">
        <v>2100</v>
      </c>
      <c r="C184" t="s">
        <v>23</v>
      </c>
      <c r="D184" t="str">
        <f t="shared" si="2"/>
        <v>8.38MM BRONZE MILKY LAMINATED GLASS</v>
      </c>
    </row>
    <row r="185" spans="1:4" x14ac:dyDescent="0.2">
      <c r="A185">
        <v>1075</v>
      </c>
      <c r="B185">
        <v>1580</v>
      </c>
      <c r="C185" t="s">
        <v>24</v>
      </c>
      <c r="D185" t="str">
        <f t="shared" si="2"/>
        <v>5MM BRONZE TINTED ORDINARY GLASS</v>
      </c>
    </row>
    <row r="186" spans="1:4" x14ac:dyDescent="0.2">
      <c r="A186">
        <v>1050</v>
      </c>
      <c r="B186">
        <v>2140</v>
      </c>
      <c r="C186" t="s">
        <v>24</v>
      </c>
      <c r="D186" t="str">
        <f t="shared" si="2"/>
        <v>5MM BRONZE TINTED ORDINARY GLASS</v>
      </c>
    </row>
    <row r="187" spans="1:4" x14ac:dyDescent="0.2">
      <c r="A187">
        <v>1050</v>
      </c>
      <c r="B187">
        <v>2140</v>
      </c>
      <c r="C187" t="s">
        <v>24</v>
      </c>
      <c r="D187" t="str">
        <f t="shared" si="2"/>
        <v>5MM BRONZE TINTED ORDINARY GLASS</v>
      </c>
    </row>
    <row r="188" spans="1:4" x14ac:dyDescent="0.2">
      <c r="A188">
        <v>1050</v>
      </c>
      <c r="B188">
        <v>2140</v>
      </c>
      <c r="C188" t="s">
        <v>24</v>
      </c>
      <c r="D188" t="str">
        <f t="shared" si="2"/>
        <v>5MM BRONZE TINTED ORDINARY GLASS</v>
      </c>
    </row>
    <row r="189" spans="1:4" x14ac:dyDescent="0.2">
      <c r="A189">
        <v>1050</v>
      </c>
      <c r="B189">
        <v>2140</v>
      </c>
      <c r="C189" t="s">
        <v>24</v>
      </c>
      <c r="D189" t="str">
        <f t="shared" si="2"/>
        <v>5MM BRONZE TINTED ORDINARY GLASS</v>
      </c>
    </row>
    <row r="190" spans="1:4" x14ac:dyDescent="0.2">
      <c r="A190">
        <v>1050</v>
      </c>
      <c r="B190">
        <v>2140</v>
      </c>
      <c r="C190" t="s">
        <v>24</v>
      </c>
      <c r="D190" t="str">
        <f t="shared" si="2"/>
        <v>5MM BRONZE TINTED ORDINARY GLASS</v>
      </c>
    </row>
    <row r="191" spans="1:4" x14ac:dyDescent="0.2">
      <c r="A191">
        <v>1050</v>
      </c>
      <c r="B191">
        <v>2140</v>
      </c>
      <c r="C191" t="s">
        <v>24</v>
      </c>
      <c r="D191" t="str">
        <f t="shared" si="2"/>
        <v>5MM BRONZE TINTED ORDINARY GLASS</v>
      </c>
    </row>
    <row r="192" spans="1:4" x14ac:dyDescent="0.2">
      <c r="A192">
        <v>1050</v>
      </c>
      <c r="B192">
        <v>2140</v>
      </c>
      <c r="C192" t="s">
        <v>24</v>
      </c>
      <c r="D192" t="str">
        <f t="shared" si="2"/>
        <v>5MM BRONZE TINTED ORDINARY GLASS</v>
      </c>
    </row>
    <row r="193" spans="1:4" x14ac:dyDescent="0.2">
      <c r="A193">
        <v>1050</v>
      </c>
      <c r="B193">
        <v>2140</v>
      </c>
      <c r="C193" t="s">
        <v>24</v>
      </c>
      <c r="D193" t="str">
        <f t="shared" si="2"/>
        <v>5MM BRONZE TINTED ORDINARY GLASS</v>
      </c>
    </row>
    <row r="194" spans="1:4" x14ac:dyDescent="0.2">
      <c r="A194">
        <v>1050</v>
      </c>
      <c r="B194">
        <v>2140</v>
      </c>
      <c r="C194" t="s">
        <v>24</v>
      </c>
      <c r="D194" t="str">
        <f t="shared" ref="D194:D257" si="3">UPPER(TRIM(SUBSTITUTE(SUBSTITUTE(C194,"   "," "),"  "," ")))</f>
        <v>5MM BRONZE TINTED ORDINARY GLASS</v>
      </c>
    </row>
    <row r="195" spans="1:4" x14ac:dyDescent="0.2">
      <c r="A195">
        <v>1050</v>
      </c>
      <c r="B195">
        <v>2140</v>
      </c>
      <c r="C195" t="s">
        <v>24</v>
      </c>
      <c r="D195" t="str">
        <f t="shared" si="3"/>
        <v>5MM BRONZE TINTED ORDINARY GLASS</v>
      </c>
    </row>
    <row r="196" spans="1:4" x14ac:dyDescent="0.2">
      <c r="A196">
        <v>1050</v>
      </c>
      <c r="B196">
        <v>2140</v>
      </c>
      <c r="C196" t="s">
        <v>24</v>
      </c>
      <c r="D196" t="str">
        <f t="shared" si="3"/>
        <v>5MM BRONZE TINTED ORDINARY GLASS</v>
      </c>
    </row>
    <row r="197" spans="1:4" x14ac:dyDescent="0.2">
      <c r="A197">
        <v>1050</v>
      </c>
      <c r="B197">
        <v>2140</v>
      </c>
      <c r="C197" t="s">
        <v>24</v>
      </c>
      <c r="D197" t="str">
        <f t="shared" si="3"/>
        <v>5MM BRONZE TINTED ORDINARY GLASS</v>
      </c>
    </row>
    <row r="198" spans="1:4" x14ac:dyDescent="0.2">
      <c r="A198">
        <v>1050</v>
      </c>
      <c r="B198">
        <v>2140</v>
      </c>
      <c r="C198" t="s">
        <v>24</v>
      </c>
      <c r="D198" t="str">
        <f t="shared" si="3"/>
        <v>5MM BRONZE TINTED ORDINARY GLASS</v>
      </c>
    </row>
    <row r="199" spans="1:4" x14ac:dyDescent="0.2">
      <c r="A199">
        <v>1050</v>
      </c>
      <c r="B199">
        <v>2140</v>
      </c>
      <c r="C199" t="s">
        <v>24</v>
      </c>
      <c r="D199" t="str">
        <f t="shared" si="3"/>
        <v>5MM BRONZE TINTED ORDINARY GLASS</v>
      </c>
    </row>
    <row r="200" spans="1:4" x14ac:dyDescent="0.2">
      <c r="A200">
        <v>1050</v>
      </c>
      <c r="B200">
        <v>2140</v>
      </c>
      <c r="C200" t="s">
        <v>24</v>
      </c>
      <c r="D200" t="str">
        <f t="shared" si="3"/>
        <v>5MM BRONZE TINTED ORDINARY GLASS</v>
      </c>
    </row>
    <row r="201" spans="1:4" x14ac:dyDescent="0.2">
      <c r="A201">
        <v>1050</v>
      </c>
      <c r="B201">
        <v>2140</v>
      </c>
      <c r="C201" t="s">
        <v>24</v>
      </c>
      <c r="D201" t="str">
        <f t="shared" si="3"/>
        <v>5MM BRONZE TINTED ORDINARY GLASS</v>
      </c>
    </row>
    <row r="202" spans="1:4" x14ac:dyDescent="0.2">
      <c r="A202">
        <v>1050</v>
      </c>
      <c r="B202">
        <v>2140</v>
      </c>
      <c r="C202" t="s">
        <v>24</v>
      </c>
      <c r="D202" t="str">
        <f t="shared" si="3"/>
        <v>5MM BRONZE TINTED ORDINARY GLASS</v>
      </c>
    </row>
    <row r="203" spans="1:4" x14ac:dyDescent="0.2">
      <c r="A203">
        <v>1050</v>
      </c>
      <c r="B203">
        <v>2140</v>
      </c>
      <c r="C203" t="s">
        <v>24</v>
      </c>
      <c r="D203" t="str">
        <f t="shared" si="3"/>
        <v>5MM BRONZE TINTED ORDINARY GLASS</v>
      </c>
    </row>
    <row r="204" spans="1:4" x14ac:dyDescent="0.2">
      <c r="A204">
        <v>1050</v>
      </c>
      <c r="B204">
        <v>2140</v>
      </c>
      <c r="C204" t="s">
        <v>24</v>
      </c>
      <c r="D204" t="str">
        <f t="shared" si="3"/>
        <v>5MM BRONZE TINTED ORDINARY GLASS</v>
      </c>
    </row>
    <row r="205" spans="1:4" x14ac:dyDescent="0.2">
      <c r="A205">
        <v>1050</v>
      </c>
      <c r="B205">
        <v>2140</v>
      </c>
      <c r="C205" t="s">
        <v>24</v>
      </c>
      <c r="D205" t="str">
        <f t="shared" si="3"/>
        <v>5MM BRONZE TINTED ORDINARY GLASS</v>
      </c>
    </row>
    <row r="206" spans="1:4" x14ac:dyDescent="0.2">
      <c r="A206">
        <v>1050</v>
      </c>
      <c r="B206">
        <v>2140</v>
      </c>
      <c r="C206" t="s">
        <v>24</v>
      </c>
      <c r="D206" t="str">
        <f t="shared" si="3"/>
        <v>5MM BRONZE TINTED ORDINARY GLASS</v>
      </c>
    </row>
    <row r="207" spans="1:4" x14ac:dyDescent="0.2">
      <c r="A207">
        <v>1050</v>
      </c>
      <c r="B207">
        <v>2140</v>
      </c>
      <c r="C207" t="s">
        <v>24</v>
      </c>
      <c r="D207" t="str">
        <f t="shared" si="3"/>
        <v>5MM BRONZE TINTED ORDINARY GLASS</v>
      </c>
    </row>
    <row r="208" spans="1:4" x14ac:dyDescent="0.2">
      <c r="A208">
        <v>1050</v>
      </c>
      <c r="B208">
        <v>2140</v>
      </c>
      <c r="C208" t="s">
        <v>24</v>
      </c>
      <c r="D208" t="str">
        <f t="shared" si="3"/>
        <v>5MM BRONZE TINTED ORDINARY GLASS</v>
      </c>
    </row>
    <row r="209" spans="1:4" x14ac:dyDescent="0.2">
      <c r="A209">
        <v>1050</v>
      </c>
      <c r="B209">
        <v>2140</v>
      </c>
      <c r="C209" t="s">
        <v>24</v>
      </c>
      <c r="D209" t="str">
        <f t="shared" si="3"/>
        <v>5MM BRONZE TINTED ORDINARY GLASS</v>
      </c>
    </row>
    <row r="210" spans="1:4" x14ac:dyDescent="0.2">
      <c r="A210">
        <v>1050</v>
      </c>
      <c r="B210">
        <v>2140</v>
      </c>
      <c r="C210" t="s">
        <v>24</v>
      </c>
      <c r="D210" t="str">
        <f t="shared" si="3"/>
        <v>5MM BRONZE TINTED ORDINARY GLASS</v>
      </c>
    </row>
    <row r="211" spans="1:4" x14ac:dyDescent="0.2">
      <c r="A211">
        <v>1050</v>
      </c>
      <c r="B211">
        <v>2140</v>
      </c>
      <c r="C211" t="s">
        <v>24</v>
      </c>
      <c r="D211" t="str">
        <f t="shared" si="3"/>
        <v>5MM BRONZE TINTED ORDINARY GLASS</v>
      </c>
    </row>
    <row r="212" spans="1:4" x14ac:dyDescent="0.2">
      <c r="A212">
        <v>1050</v>
      </c>
      <c r="B212">
        <v>2140</v>
      </c>
      <c r="C212" t="s">
        <v>24</v>
      </c>
      <c r="D212" t="str">
        <f t="shared" si="3"/>
        <v>5MM BRONZE TINTED ORDINARY GLASS</v>
      </c>
    </row>
    <row r="213" spans="1:4" x14ac:dyDescent="0.2">
      <c r="A213">
        <v>1050</v>
      </c>
      <c r="B213">
        <v>2140</v>
      </c>
      <c r="C213" t="s">
        <v>24</v>
      </c>
      <c r="D213" t="str">
        <f t="shared" si="3"/>
        <v>5MM BRONZE TINTED ORDINARY GLASS</v>
      </c>
    </row>
    <row r="214" spans="1:4" x14ac:dyDescent="0.2">
      <c r="A214">
        <v>1050</v>
      </c>
      <c r="B214">
        <v>2140</v>
      </c>
      <c r="C214" t="s">
        <v>24</v>
      </c>
      <c r="D214" t="str">
        <f t="shared" si="3"/>
        <v>5MM BRONZE TINTED ORDINARY GLASS</v>
      </c>
    </row>
    <row r="215" spans="1:4" x14ac:dyDescent="0.2">
      <c r="A215">
        <v>1050</v>
      </c>
      <c r="B215">
        <v>2140</v>
      </c>
      <c r="C215" t="s">
        <v>24</v>
      </c>
      <c r="D215" t="str">
        <f t="shared" si="3"/>
        <v>5MM BRONZE TINTED ORDINARY GLASS</v>
      </c>
    </row>
    <row r="216" spans="1:4" x14ac:dyDescent="0.2">
      <c r="A216">
        <v>1050</v>
      </c>
      <c r="B216">
        <v>2140</v>
      </c>
      <c r="C216" t="s">
        <v>24</v>
      </c>
      <c r="D216" t="str">
        <f t="shared" si="3"/>
        <v>5MM BRONZE TINTED ORDINARY GLASS</v>
      </c>
    </row>
    <row r="217" spans="1:4" x14ac:dyDescent="0.2">
      <c r="A217">
        <v>1050</v>
      </c>
      <c r="B217">
        <v>2140</v>
      </c>
      <c r="C217" t="s">
        <v>24</v>
      </c>
      <c r="D217" t="str">
        <f t="shared" si="3"/>
        <v>5MM BRONZE TINTED ORDINARY GLASS</v>
      </c>
    </row>
    <row r="218" spans="1:4" x14ac:dyDescent="0.2">
      <c r="A218">
        <v>1050</v>
      </c>
      <c r="B218">
        <v>2140</v>
      </c>
      <c r="C218" t="s">
        <v>24</v>
      </c>
      <c r="D218" t="str">
        <f t="shared" si="3"/>
        <v>5MM BRONZE TINTED ORDINARY GLASS</v>
      </c>
    </row>
    <row r="219" spans="1:4" x14ac:dyDescent="0.2">
      <c r="A219">
        <v>1050</v>
      </c>
      <c r="B219">
        <v>2140</v>
      </c>
      <c r="C219" t="s">
        <v>24</v>
      </c>
      <c r="D219" t="str">
        <f t="shared" si="3"/>
        <v>5MM BRONZE TINTED ORDINARY GLASS</v>
      </c>
    </row>
    <row r="220" spans="1:4" x14ac:dyDescent="0.2">
      <c r="A220">
        <v>1050</v>
      </c>
      <c r="B220">
        <v>2140</v>
      </c>
      <c r="C220" t="s">
        <v>24</v>
      </c>
      <c r="D220" t="str">
        <f t="shared" si="3"/>
        <v>5MM BRONZE TINTED ORDINARY GLASS</v>
      </c>
    </row>
    <row r="221" spans="1:4" x14ac:dyDescent="0.2">
      <c r="A221">
        <v>1050</v>
      </c>
      <c r="B221">
        <v>2140</v>
      </c>
      <c r="C221" t="s">
        <v>24</v>
      </c>
      <c r="D221" t="str">
        <f t="shared" si="3"/>
        <v>5MM BRONZE TINTED ORDINARY GLASS</v>
      </c>
    </row>
    <row r="222" spans="1:4" x14ac:dyDescent="0.2">
      <c r="A222">
        <v>1050</v>
      </c>
      <c r="B222">
        <v>2140</v>
      </c>
      <c r="C222" t="s">
        <v>24</v>
      </c>
      <c r="D222" t="str">
        <f t="shared" si="3"/>
        <v>5MM BRONZE TINTED ORDINARY GLASS</v>
      </c>
    </row>
    <row r="223" spans="1:4" x14ac:dyDescent="0.2">
      <c r="A223">
        <v>1050</v>
      </c>
      <c r="B223">
        <v>2140</v>
      </c>
      <c r="C223" t="s">
        <v>24</v>
      </c>
      <c r="D223" t="str">
        <f t="shared" si="3"/>
        <v>5MM BRONZE TINTED ORDINARY GLASS</v>
      </c>
    </row>
    <row r="224" spans="1:4" x14ac:dyDescent="0.2">
      <c r="A224">
        <v>1050</v>
      </c>
      <c r="B224">
        <v>2140</v>
      </c>
      <c r="C224" t="s">
        <v>24</v>
      </c>
      <c r="D224" t="str">
        <f t="shared" si="3"/>
        <v>5MM BRONZE TINTED ORDINARY GLASS</v>
      </c>
    </row>
    <row r="225" spans="1:4" x14ac:dyDescent="0.2">
      <c r="A225">
        <v>1050</v>
      </c>
      <c r="B225">
        <v>2140</v>
      </c>
      <c r="C225" t="s">
        <v>24</v>
      </c>
      <c r="D225" t="str">
        <f t="shared" si="3"/>
        <v>5MM BRONZE TINTED ORDINARY GLASS</v>
      </c>
    </row>
    <row r="226" spans="1:4" x14ac:dyDescent="0.2">
      <c r="A226">
        <v>1050</v>
      </c>
      <c r="B226">
        <v>2140</v>
      </c>
      <c r="C226" t="s">
        <v>24</v>
      </c>
      <c r="D226" t="str">
        <f t="shared" si="3"/>
        <v>5MM BRONZE TINTED ORDINARY GLASS</v>
      </c>
    </row>
    <row r="227" spans="1:4" x14ac:dyDescent="0.2">
      <c r="A227">
        <v>1050</v>
      </c>
      <c r="B227">
        <v>2140</v>
      </c>
      <c r="C227" t="s">
        <v>24</v>
      </c>
      <c r="D227" t="str">
        <f t="shared" si="3"/>
        <v>5MM BRONZE TINTED ORDINARY GLASS</v>
      </c>
    </row>
    <row r="228" spans="1:4" x14ac:dyDescent="0.2">
      <c r="A228">
        <v>1050</v>
      </c>
      <c r="B228">
        <v>2140</v>
      </c>
      <c r="C228" t="s">
        <v>24</v>
      </c>
      <c r="D228" t="str">
        <f t="shared" si="3"/>
        <v>5MM BRONZE TINTED ORDINARY GLASS</v>
      </c>
    </row>
    <row r="229" spans="1:4" x14ac:dyDescent="0.2">
      <c r="A229">
        <v>1050</v>
      </c>
      <c r="B229">
        <v>2140</v>
      </c>
      <c r="C229" t="s">
        <v>24</v>
      </c>
      <c r="D229" t="str">
        <f t="shared" si="3"/>
        <v>5MM BRONZE TINTED ORDINARY GLASS</v>
      </c>
    </row>
    <row r="230" spans="1:4" x14ac:dyDescent="0.2">
      <c r="A230">
        <v>1050</v>
      </c>
      <c r="B230">
        <v>2140</v>
      </c>
      <c r="C230" t="s">
        <v>24</v>
      </c>
      <c r="D230" t="str">
        <f t="shared" si="3"/>
        <v>5MM BRONZE TINTED ORDINARY GLASS</v>
      </c>
    </row>
    <row r="231" spans="1:4" x14ac:dyDescent="0.2">
      <c r="A231">
        <v>1050</v>
      </c>
      <c r="B231">
        <v>2140</v>
      </c>
      <c r="C231" t="s">
        <v>24</v>
      </c>
      <c r="D231" t="str">
        <f t="shared" si="3"/>
        <v>5MM BRONZE TINTED ORDINARY GLASS</v>
      </c>
    </row>
    <row r="232" spans="1:4" x14ac:dyDescent="0.2">
      <c r="A232">
        <v>1050</v>
      </c>
      <c r="B232">
        <v>2140</v>
      </c>
      <c r="C232" t="s">
        <v>24</v>
      </c>
      <c r="D232" t="str">
        <f t="shared" si="3"/>
        <v>5MM BRONZE TINTED ORDINARY GLASS</v>
      </c>
    </row>
    <row r="233" spans="1:4" x14ac:dyDescent="0.2">
      <c r="A233">
        <v>1050</v>
      </c>
      <c r="B233">
        <v>2140</v>
      </c>
      <c r="C233" t="s">
        <v>24</v>
      </c>
      <c r="D233" t="str">
        <f t="shared" si="3"/>
        <v>5MM BRONZE TINTED ORDINARY GLASS</v>
      </c>
    </row>
    <row r="234" spans="1:4" x14ac:dyDescent="0.2">
      <c r="A234">
        <v>1050</v>
      </c>
      <c r="B234">
        <v>2140</v>
      </c>
      <c r="C234" t="s">
        <v>24</v>
      </c>
      <c r="D234" t="str">
        <f t="shared" si="3"/>
        <v>5MM BRONZE TINTED ORDINARY GLASS</v>
      </c>
    </row>
    <row r="235" spans="1:4" x14ac:dyDescent="0.2">
      <c r="A235">
        <v>1050</v>
      </c>
      <c r="B235">
        <v>2140</v>
      </c>
      <c r="C235" t="s">
        <v>24</v>
      </c>
      <c r="D235" t="str">
        <f t="shared" si="3"/>
        <v>5MM BRONZE TINTED ORDINARY GLASS</v>
      </c>
    </row>
    <row r="236" spans="1:4" x14ac:dyDescent="0.2">
      <c r="A236">
        <v>1050</v>
      </c>
      <c r="B236">
        <v>2140</v>
      </c>
      <c r="C236" t="s">
        <v>24</v>
      </c>
      <c r="D236" t="str">
        <f t="shared" si="3"/>
        <v>5MM BRONZE TINTED ORDINARY GLASS</v>
      </c>
    </row>
    <row r="237" spans="1:4" x14ac:dyDescent="0.2">
      <c r="A237">
        <v>1050</v>
      </c>
      <c r="B237">
        <v>2140</v>
      </c>
      <c r="C237" t="s">
        <v>24</v>
      </c>
      <c r="D237" t="str">
        <f t="shared" si="3"/>
        <v>5MM BRONZE TINTED ORDINARY GLASS</v>
      </c>
    </row>
    <row r="238" spans="1:4" x14ac:dyDescent="0.2">
      <c r="A238">
        <v>1050</v>
      </c>
      <c r="B238">
        <v>2140</v>
      </c>
      <c r="C238" t="s">
        <v>24</v>
      </c>
      <c r="D238" t="str">
        <f t="shared" si="3"/>
        <v>5MM BRONZE TINTED ORDINARY GLASS</v>
      </c>
    </row>
    <row r="239" spans="1:4" x14ac:dyDescent="0.2">
      <c r="A239">
        <v>1050</v>
      </c>
      <c r="B239">
        <v>2140</v>
      </c>
      <c r="C239" t="s">
        <v>24</v>
      </c>
      <c r="D239" t="str">
        <f t="shared" si="3"/>
        <v>5MM BRONZE TINTED ORDINARY GLASS</v>
      </c>
    </row>
    <row r="240" spans="1:4" x14ac:dyDescent="0.2">
      <c r="A240">
        <v>1050</v>
      </c>
      <c r="B240">
        <v>2140</v>
      </c>
      <c r="C240" t="s">
        <v>24</v>
      </c>
      <c r="D240" t="str">
        <f t="shared" si="3"/>
        <v>5MM BRONZE TINTED ORDINARY GLASS</v>
      </c>
    </row>
    <row r="241" spans="1:4" x14ac:dyDescent="0.2">
      <c r="A241">
        <v>1050</v>
      </c>
      <c r="B241">
        <v>2140</v>
      </c>
      <c r="C241" t="s">
        <v>24</v>
      </c>
      <c r="D241" t="str">
        <f t="shared" si="3"/>
        <v>5MM BRONZE TINTED ORDINARY GLASS</v>
      </c>
    </row>
    <row r="242" spans="1:4" x14ac:dyDescent="0.2">
      <c r="A242">
        <v>1050</v>
      </c>
      <c r="B242">
        <v>2140</v>
      </c>
      <c r="C242" t="s">
        <v>24</v>
      </c>
      <c r="D242" t="str">
        <f t="shared" si="3"/>
        <v>5MM BRONZE TINTED ORDINARY GLASS</v>
      </c>
    </row>
    <row r="243" spans="1:4" x14ac:dyDescent="0.2">
      <c r="A243">
        <v>1050</v>
      </c>
      <c r="B243">
        <v>2140</v>
      </c>
      <c r="C243" t="s">
        <v>24</v>
      </c>
      <c r="D243" t="str">
        <f t="shared" si="3"/>
        <v>5MM BRONZE TINTED ORDINARY GLASS</v>
      </c>
    </row>
    <row r="244" spans="1:4" x14ac:dyDescent="0.2">
      <c r="A244">
        <v>850</v>
      </c>
      <c r="B244">
        <v>2200</v>
      </c>
      <c r="C244" t="s">
        <v>24</v>
      </c>
      <c r="D244" t="str">
        <f t="shared" si="3"/>
        <v>5MM BRONZE TINTED ORDINARY GLASS</v>
      </c>
    </row>
    <row r="245" spans="1:4" x14ac:dyDescent="0.2">
      <c r="A245">
        <v>850</v>
      </c>
      <c r="B245">
        <v>2200</v>
      </c>
      <c r="C245" t="s">
        <v>24</v>
      </c>
      <c r="D245" t="str">
        <f t="shared" si="3"/>
        <v>5MM BRONZE TINTED ORDINARY GLASS</v>
      </c>
    </row>
    <row r="246" spans="1:4" x14ac:dyDescent="0.2">
      <c r="A246">
        <v>850</v>
      </c>
      <c r="B246">
        <v>2200</v>
      </c>
      <c r="C246" t="s">
        <v>24</v>
      </c>
      <c r="D246" t="str">
        <f t="shared" si="3"/>
        <v>5MM BRONZE TINTED ORDINARY GLASS</v>
      </c>
    </row>
    <row r="247" spans="1:4" x14ac:dyDescent="0.2">
      <c r="A247">
        <v>850</v>
      </c>
      <c r="B247">
        <v>2200</v>
      </c>
      <c r="C247" t="s">
        <v>24</v>
      </c>
      <c r="D247" t="str">
        <f t="shared" si="3"/>
        <v>5MM BRONZE TINTED ORDINARY GLASS</v>
      </c>
    </row>
    <row r="248" spans="1:4" x14ac:dyDescent="0.2">
      <c r="A248">
        <v>850</v>
      </c>
      <c r="B248">
        <v>2200</v>
      </c>
      <c r="C248" t="s">
        <v>24</v>
      </c>
      <c r="D248" t="str">
        <f t="shared" si="3"/>
        <v>5MM BRONZE TINTED ORDINARY GLASS</v>
      </c>
    </row>
    <row r="249" spans="1:4" x14ac:dyDescent="0.2">
      <c r="A249">
        <v>850</v>
      </c>
      <c r="B249">
        <v>2200</v>
      </c>
      <c r="C249" t="s">
        <v>24</v>
      </c>
      <c r="D249" t="str">
        <f t="shared" si="3"/>
        <v>5MM BRONZE TINTED ORDINARY GLASS</v>
      </c>
    </row>
    <row r="250" spans="1:4" x14ac:dyDescent="0.2">
      <c r="A250">
        <v>850</v>
      </c>
      <c r="B250">
        <v>2200</v>
      </c>
      <c r="C250" t="s">
        <v>24</v>
      </c>
      <c r="D250" t="str">
        <f t="shared" si="3"/>
        <v>5MM BRONZE TINTED ORDINARY GLASS</v>
      </c>
    </row>
    <row r="251" spans="1:4" x14ac:dyDescent="0.2">
      <c r="A251">
        <v>850</v>
      </c>
      <c r="B251">
        <v>2200</v>
      </c>
      <c r="C251" t="s">
        <v>24</v>
      </c>
      <c r="D251" t="str">
        <f t="shared" si="3"/>
        <v>5MM BRONZE TINTED ORDINARY GLASS</v>
      </c>
    </row>
    <row r="252" spans="1:4" x14ac:dyDescent="0.2">
      <c r="A252">
        <v>850</v>
      </c>
      <c r="B252">
        <v>2200</v>
      </c>
      <c r="C252" t="s">
        <v>24</v>
      </c>
      <c r="D252" t="str">
        <f t="shared" si="3"/>
        <v>5MM BRONZE TINTED ORDINARY GLASS</v>
      </c>
    </row>
    <row r="253" spans="1:4" x14ac:dyDescent="0.2">
      <c r="A253">
        <v>850</v>
      </c>
      <c r="B253">
        <v>2200</v>
      </c>
      <c r="C253" t="s">
        <v>24</v>
      </c>
      <c r="D253" t="str">
        <f t="shared" si="3"/>
        <v>5MM BRONZE TINTED ORDINARY GLASS</v>
      </c>
    </row>
    <row r="254" spans="1:4" x14ac:dyDescent="0.2">
      <c r="A254">
        <v>850</v>
      </c>
      <c r="B254">
        <v>2200</v>
      </c>
      <c r="C254" t="s">
        <v>24</v>
      </c>
      <c r="D254" t="str">
        <f t="shared" si="3"/>
        <v>5MM BRONZE TINTED ORDINARY GLASS</v>
      </c>
    </row>
    <row r="255" spans="1:4" x14ac:dyDescent="0.2">
      <c r="A255">
        <v>850</v>
      </c>
      <c r="B255">
        <v>2200</v>
      </c>
      <c r="C255" t="s">
        <v>24</v>
      </c>
      <c r="D255" t="str">
        <f t="shared" si="3"/>
        <v>5MM BRONZE TINTED ORDINARY GLASS</v>
      </c>
    </row>
    <row r="256" spans="1:4" x14ac:dyDescent="0.2">
      <c r="A256">
        <v>850</v>
      </c>
      <c r="B256">
        <v>2200</v>
      </c>
      <c r="C256" t="s">
        <v>24</v>
      </c>
      <c r="D256" t="str">
        <f t="shared" si="3"/>
        <v>5MM BRONZE TINTED ORDINARY GLASS</v>
      </c>
    </row>
    <row r="257" spans="1:4" x14ac:dyDescent="0.2">
      <c r="A257">
        <v>850</v>
      </c>
      <c r="B257">
        <v>2200</v>
      </c>
      <c r="C257" t="s">
        <v>24</v>
      </c>
      <c r="D257" t="str">
        <f t="shared" si="3"/>
        <v>5MM BRONZE TINTED ORDINARY GLASS</v>
      </c>
    </row>
    <row r="258" spans="1:4" x14ac:dyDescent="0.2">
      <c r="A258">
        <v>850</v>
      </c>
      <c r="B258">
        <v>2200</v>
      </c>
      <c r="C258" t="s">
        <v>24</v>
      </c>
      <c r="D258" t="str">
        <f t="shared" ref="D258:D298" si="4">UPPER(TRIM(SUBSTITUTE(SUBSTITUTE(C258,"   "," "),"  "," ")))</f>
        <v>5MM BRONZE TINTED ORDINARY GLASS</v>
      </c>
    </row>
    <row r="259" spans="1:4" x14ac:dyDescent="0.2">
      <c r="A259">
        <v>850</v>
      </c>
      <c r="B259">
        <v>2200</v>
      </c>
      <c r="C259" t="s">
        <v>24</v>
      </c>
      <c r="D259" t="str">
        <f t="shared" si="4"/>
        <v>5MM BRONZE TINTED ORDINARY GLASS</v>
      </c>
    </row>
    <row r="260" spans="1:4" x14ac:dyDescent="0.2">
      <c r="A260">
        <v>850</v>
      </c>
      <c r="B260">
        <v>2200</v>
      </c>
      <c r="C260" t="s">
        <v>24</v>
      </c>
      <c r="D260" t="str">
        <f t="shared" si="4"/>
        <v>5MM BRONZE TINTED ORDINARY GLASS</v>
      </c>
    </row>
    <row r="261" spans="1:4" x14ac:dyDescent="0.2">
      <c r="A261">
        <v>850</v>
      </c>
      <c r="B261">
        <v>2200</v>
      </c>
      <c r="C261" t="s">
        <v>24</v>
      </c>
      <c r="D261" t="str">
        <f t="shared" si="4"/>
        <v>5MM BRONZE TINTED ORDINARY GLASS</v>
      </c>
    </row>
    <row r="262" spans="1:4" x14ac:dyDescent="0.2">
      <c r="A262">
        <v>850</v>
      </c>
      <c r="B262">
        <v>2200</v>
      </c>
      <c r="C262" t="s">
        <v>24</v>
      </c>
      <c r="D262" t="str">
        <f t="shared" si="4"/>
        <v>5MM BRONZE TINTED ORDINARY GLASS</v>
      </c>
    </row>
    <row r="263" spans="1:4" x14ac:dyDescent="0.2">
      <c r="A263">
        <v>850</v>
      </c>
      <c r="B263">
        <v>2200</v>
      </c>
      <c r="C263" t="s">
        <v>24</v>
      </c>
      <c r="D263" t="str">
        <f t="shared" si="4"/>
        <v>5MM BRONZE TINTED ORDINARY GLASS</v>
      </c>
    </row>
    <row r="264" spans="1:4" x14ac:dyDescent="0.2">
      <c r="A264">
        <v>850</v>
      </c>
      <c r="B264">
        <v>2200</v>
      </c>
      <c r="C264" t="s">
        <v>24</v>
      </c>
      <c r="D264" t="str">
        <f t="shared" si="4"/>
        <v>5MM BRONZE TINTED ORDINARY GLASS</v>
      </c>
    </row>
    <row r="265" spans="1:4" x14ac:dyDescent="0.2">
      <c r="A265">
        <v>850</v>
      </c>
      <c r="B265">
        <v>2200</v>
      </c>
      <c r="C265" t="s">
        <v>24</v>
      </c>
      <c r="D265" t="str">
        <f t="shared" si="4"/>
        <v>5MM BRONZE TINTED ORDINARY GLASS</v>
      </c>
    </row>
    <row r="266" spans="1:4" x14ac:dyDescent="0.2">
      <c r="A266">
        <v>850</v>
      </c>
      <c r="B266">
        <v>2200</v>
      </c>
      <c r="C266" t="s">
        <v>24</v>
      </c>
      <c r="D266" t="str">
        <f t="shared" si="4"/>
        <v>5MM BRONZE TINTED ORDINARY GLASS</v>
      </c>
    </row>
    <row r="267" spans="1:4" x14ac:dyDescent="0.2">
      <c r="A267">
        <v>850</v>
      </c>
      <c r="B267">
        <v>2200</v>
      </c>
      <c r="C267" t="s">
        <v>24</v>
      </c>
      <c r="D267" t="str">
        <f t="shared" si="4"/>
        <v>5MM BRONZE TINTED ORDINARY GLASS</v>
      </c>
    </row>
    <row r="268" spans="1:4" x14ac:dyDescent="0.2">
      <c r="A268">
        <v>850</v>
      </c>
      <c r="B268">
        <v>2200</v>
      </c>
      <c r="C268" t="s">
        <v>24</v>
      </c>
      <c r="D268" t="str">
        <f t="shared" si="4"/>
        <v>5MM BRONZE TINTED ORDINARY GLASS</v>
      </c>
    </row>
    <row r="269" spans="1:4" x14ac:dyDescent="0.2">
      <c r="A269">
        <v>850</v>
      </c>
      <c r="B269">
        <v>2200</v>
      </c>
      <c r="C269" t="s">
        <v>24</v>
      </c>
      <c r="D269" t="str">
        <f t="shared" si="4"/>
        <v>5MM BRONZE TINTED ORDINARY GLASS</v>
      </c>
    </row>
    <row r="270" spans="1:4" x14ac:dyDescent="0.2">
      <c r="A270">
        <v>850</v>
      </c>
      <c r="B270">
        <v>2200</v>
      </c>
      <c r="C270" t="s">
        <v>24</v>
      </c>
      <c r="D270" t="str">
        <f t="shared" si="4"/>
        <v>5MM BRONZE TINTED ORDINARY GLASS</v>
      </c>
    </row>
    <row r="271" spans="1:4" x14ac:dyDescent="0.2">
      <c r="A271">
        <v>850</v>
      </c>
      <c r="B271">
        <v>2200</v>
      </c>
      <c r="C271" t="s">
        <v>24</v>
      </c>
      <c r="D271" t="str">
        <f t="shared" si="4"/>
        <v>5MM BRONZE TINTED ORDINARY GLASS</v>
      </c>
    </row>
    <row r="272" spans="1:4" x14ac:dyDescent="0.2">
      <c r="A272">
        <v>850</v>
      </c>
      <c r="B272">
        <v>2200</v>
      </c>
      <c r="C272" t="s">
        <v>24</v>
      </c>
      <c r="D272" t="str">
        <f t="shared" si="4"/>
        <v>5MM BRONZE TINTED ORDINARY GLASS</v>
      </c>
    </row>
    <row r="273" spans="1:4" x14ac:dyDescent="0.2">
      <c r="A273">
        <v>850</v>
      </c>
      <c r="B273">
        <v>2200</v>
      </c>
      <c r="C273" t="s">
        <v>24</v>
      </c>
      <c r="D273" t="str">
        <f t="shared" si="4"/>
        <v>5MM BRONZE TINTED ORDINARY GLASS</v>
      </c>
    </row>
    <row r="274" spans="1:4" x14ac:dyDescent="0.2">
      <c r="A274">
        <v>850</v>
      </c>
      <c r="B274">
        <v>2200</v>
      </c>
      <c r="C274" t="s">
        <v>24</v>
      </c>
      <c r="D274" t="str">
        <f t="shared" si="4"/>
        <v>5MM BRONZE TINTED ORDINARY GLASS</v>
      </c>
    </row>
    <row r="275" spans="1:4" x14ac:dyDescent="0.2">
      <c r="A275">
        <v>850</v>
      </c>
      <c r="B275">
        <v>2200</v>
      </c>
      <c r="C275" t="s">
        <v>24</v>
      </c>
      <c r="D275" t="str">
        <f t="shared" si="4"/>
        <v>5MM BRONZE TINTED ORDINARY GLASS</v>
      </c>
    </row>
    <row r="276" spans="1:4" x14ac:dyDescent="0.2">
      <c r="A276">
        <v>850</v>
      </c>
      <c r="B276">
        <v>2200</v>
      </c>
      <c r="C276" t="s">
        <v>24</v>
      </c>
      <c r="D276" t="str">
        <f t="shared" si="4"/>
        <v>5MM BRONZE TINTED ORDINARY GLASS</v>
      </c>
    </row>
    <row r="277" spans="1:4" x14ac:dyDescent="0.2">
      <c r="A277">
        <v>850</v>
      </c>
      <c r="B277">
        <v>2200</v>
      </c>
      <c r="C277" t="s">
        <v>24</v>
      </c>
      <c r="D277" t="str">
        <f t="shared" si="4"/>
        <v>5MM BRONZE TINTED ORDINARY GLASS</v>
      </c>
    </row>
    <row r="278" spans="1:4" x14ac:dyDescent="0.2">
      <c r="A278">
        <v>850</v>
      </c>
      <c r="B278">
        <v>2200</v>
      </c>
      <c r="C278" t="s">
        <v>24</v>
      </c>
      <c r="D278" t="str">
        <f t="shared" si="4"/>
        <v>5MM BRONZE TINTED ORDINARY GLASS</v>
      </c>
    </row>
    <row r="279" spans="1:4" x14ac:dyDescent="0.2">
      <c r="A279">
        <v>850</v>
      </c>
      <c r="B279">
        <v>2200</v>
      </c>
      <c r="C279" t="s">
        <v>24</v>
      </c>
      <c r="D279" t="str">
        <f t="shared" si="4"/>
        <v>5MM BRONZE TINTED ORDINARY GLASS</v>
      </c>
    </row>
    <row r="280" spans="1:4" x14ac:dyDescent="0.2">
      <c r="A280">
        <v>850</v>
      </c>
      <c r="B280">
        <v>2200</v>
      </c>
      <c r="C280" t="s">
        <v>24</v>
      </c>
      <c r="D280" t="str">
        <f t="shared" si="4"/>
        <v>5MM BRONZE TINTED ORDINARY GLASS</v>
      </c>
    </row>
    <row r="281" spans="1:4" x14ac:dyDescent="0.2">
      <c r="A281">
        <v>850</v>
      </c>
      <c r="B281">
        <v>2200</v>
      </c>
      <c r="C281" t="s">
        <v>24</v>
      </c>
      <c r="D281" t="str">
        <f t="shared" si="4"/>
        <v>5MM BRONZE TINTED ORDINARY GLASS</v>
      </c>
    </row>
    <row r="282" spans="1:4" x14ac:dyDescent="0.2">
      <c r="A282">
        <v>850</v>
      </c>
      <c r="B282">
        <v>2200</v>
      </c>
      <c r="C282" t="s">
        <v>24</v>
      </c>
      <c r="D282" t="str">
        <f t="shared" si="4"/>
        <v>5MM BRONZE TINTED ORDINARY GLASS</v>
      </c>
    </row>
    <row r="283" spans="1:4" x14ac:dyDescent="0.2">
      <c r="A283">
        <v>850</v>
      </c>
      <c r="B283">
        <v>2200</v>
      </c>
      <c r="C283" t="s">
        <v>24</v>
      </c>
      <c r="D283" t="str">
        <f t="shared" si="4"/>
        <v>5MM BRONZE TINTED ORDINARY GLASS</v>
      </c>
    </row>
    <row r="284" spans="1:4" x14ac:dyDescent="0.2">
      <c r="A284">
        <v>850</v>
      </c>
      <c r="B284">
        <v>2200</v>
      </c>
      <c r="C284" t="s">
        <v>24</v>
      </c>
      <c r="D284" t="str">
        <f t="shared" si="4"/>
        <v>5MM BRONZE TINTED ORDINARY GLASS</v>
      </c>
    </row>
    <row r="285" spans="1:4" x14ac:dyDescent="0.2">
      <c r="A285">
        <v>850</v>
      </c>
      <c r="B285">
        <v>2200</v>
      </c>
      <c r="C285" t="s">
        <v>24</v>
      </c>
      <c r="D285" t="str">
        <f t="shared" si="4"/>
        <v>5MM BRONZE TINTED ORDINARY GLASS</v>
      </c>
    </row>
    <row r="286" spans="1:4" x14ac:dyDescent="0.2">
      <c r="A286">
        <v>850</v>
      </c>
      <c r="B286">
        <v>2200</v>
      </c>
      <c r="C286" t="s">
        <v>24</v>
      </c>
      <c r="D286" t="str">
        <f t="shared" si="4"/>
        <v>5MM BRONZE TINTED ORDINARY GLASS</v>
      </c>
    </row>
    <row r="287" spans="1:4" x14ac:dyDescent="0.2">
      <c r="A287">
        <v>850</v>
      </c>
      <c r="B287">
        <v>2200</v>
      </c>
      <c r="C287" t="s">
        <v>24</v>
      </c>
      <c r="D287" t="str">
        <f t="shared" si="4"/>
        <v>5MM BRONZE TINTED ORDINARY GLASS</v>
      </c>
    </row>
    <row r="288" spans="1:4" x14ac:dyDescent="0.2">
      <c r="A288">
        <v>850</v>
      </c>
      <c r="B288">
        <v>2200</v>
      </c>
      <c r="C288" t="s">
        <v>24</v>
      </c>
      <c r="D288" t="str">
        <f t="shared" si="4"/>
        <v>5MM BRONZE TINTED ORDINARY GLASS</v>
      </c>
    </row>
    <row r="289" spans="1:4" x14ac:dyDescent="0.2">
      <c r="A289">
        <v>850</v>
      </c>
      <c r="B289">
        <v>2200</v>
      </c>
      <c r="C289" t="s">
        <v>24</v>
      </c>
      <c r="D289" t="str">
        <f t="shared" si="4"/>
        <v>5MM BRONZE TINTED ORDINARY GLASS</v>
      </c>
    </row>
    <row r="290" spans="1:4" x14ac:dyDescent="0.2">
      <c r="A290">
        <v>850</v>
      </c>
      <c r="B290">
        <v>2200</v>
      </c>
      <c r="C290" t="s">
        <v>24</v>
      </c>
      <c r="D290" t="str">
        <f t="shared" si="4"/>
        <v>5MM BRONZE TINTED ORDINARY GLASS</v>
      </c>
    </row>
    <row r="291" spans="1:4" x14ac:dyDescent="0.2">
      <c r="A291">
        <v>850</v>
      </c>
      <c r="B291">
        <v>2200</v>
      </c>
      <c r="C291" t="s">
        <v>24</v>
      </c>
      <c r="D291" t="str">
        <f t="shared" si="4"/>
        <v>5MM BRONZE TINTED ORDINARY GLASS</v>
      </c>
    </row>
    <row r="292" spans="1:4" x14ac:dyDescent="0.2">
      <c r="A292">
        <v>850</v>
      </c>
      <c r="B292">
        <v>2200</v>
      </c>
      <c r="C292" t="s">
        <v>24</v>
      </c>
      <c r="D292" t="str">
        <f t="shared" si="4"/>
        <v>5MM BRONZE TINTED ORDINARY GLASS</v>
      </c>
    </row>
    <row r="293" spans="1:4" x14ac:dyDescent="0.2">
      <c r="A293">
        <v>850</v>
      </c>
      <c r="B293">
        <v>2200</v>
      </c>
      <c r="C293" t="s">
        <v>24</v>
      </c>
      <c r="D293" t="str">
        <f t="shared" si="4"/>
        <v>5MM BRONZE TINTED ORDINARY GLASS</v>
      </c>
    </row>
    <row r="294" spans="1:4" x14ac:dyDescent="0.2">
      <c r="A294">
        <v>525</v>
      </c>
      <c r="B294">
        <v>1210</v>
      </c>
      <c r="C294" t="s">
        <v>25</v>
      </c>
      <c r="D294" t="str">
        <f t="shared" si="4"/>
        <v>8.38MM BLUE TINTED LAMINATED GLASS</v>
      </c>
    </row>
    <row r="295" spans="1:4" x14ac:dyDescent="0.2">
      <c r="A295">
        <v>525</v>
      </c>
      <c r="B295">
        <v>1830</v>
      </c>
      <c r="C295" t="s">
        <v>25</v>
      </c>
      <c r="D295" t="str">
        <f t="shared" si="4"/>
        <v>8.38MM BLUE TINTED LAMINATED GLASS</v>
      </c>
    </row>
    <row r="296" spans="1:4" x14ac:dyDescent="0.2">
      <c r="A296">
        <v>525</v>
      </c>
      <c r="B296">
        <v>1830</v>
      </c>
      <c r="C296" t="s">
        <v>25</v>
      </c>
      <c r="D296" t="str">
        <f t="shared" si="4"/>
        <v>8.38MM BLUE TINTED LAMINATED GLASS</v>
      </c>
    </row>
    <row r="297" spans="1:4" x14ac:dyDescent="0.2">
      <c r="A297">
        <v>525</v>
      </c>
      <c r="B297">
        <v>1830</v>
      </c>
      <c r="C297" t="s">
        <v>25</v>
      </c>
      <c r="D297" t="str">
        <f t="shared" si="4"/>
        <v>8.38MM BLUE TINTED LAMINATED GLASS</v>
      </c>
    </row>
    <row r="298" spans="1:4" x14ac:dyDescent="0.2">
      <c r="A298">
        <v>525</v>
      </c>
      <c r="B298">
        <v>1830</v>
      </c>
      <c r="C298" t="s">
        <v>25</v>
      </c>
      <c r="D298" t="str">
        <f t="shared" si="4"/>
        <v>8.38MM BLUE TINTED LAMINATED GLASS</v>
      </c>
    </row>
  </sheetData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A4CFF5F-26CC-4541-9E09-2F478423CD68}">
          <x14:formula1>
            <xm:f>'GLASS SPECIFICATIONS'!$A:$A</xm:f>
          </x14:formula1>
          <xm:sqref>C1:C1048576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zoomScaleNormal="100" workbookViewId="0">
      <selection activeCell="E16" sqref="E16"/>
    </sheetView>
  </sheetViews>
  <sheetFormatPr baseColWidth="10" defaultColWidth="10.6640625" defaultRowHeight="15" customHeight="1" x14ac:dyDescent="0.2"/>
  <cols>
    <col min="1" max="1" width="35.83203125" customWidth="1"/>
  </cols>
  <sheetData>
    <row r="1" spans="1:4" ht="22.5" customHeight="1" x14ac:dyDescent="0.2">
      <c r="A1" s="8" t="s">
        <v>26</v>
      </c>
      <c r="B1" s="9"/>
      <c r="C1" s="9"/>
      <c r="D1" s="9"/>
    </row>
    <row r="2" spans="1:4" x14ac:dyDescent="0.2">
      <c r="A2" t="s">
        <v>22</v>
      </c>
      <c r="B2" s="16" t="s">
        <v>27</v>
      </c>
    </row>
    <row r="3" spans="1:4" x14ac:dyDescent="0.2">
      <c r="A3" t="s">
        <v>17</v>
      </c>
      <c r="B3" s="16"/>
    </row>
    <row r="4" spans="1:4" x14ac:dyDescent="0.2">
      <c r="A4" t="s">
        <v>21</v>
      </c>
      <c r="B4" s="16"/>
    </row>
    <row r="5" spans="1:4" x14ac:dyDescent="0.2">
      <c r="A5" t="s">
        <v>16</v>
      </c>
      <c r="B5" s="17" t="s">
        <v>28</v>
      </c>
    </row>
    <row r="6" spans="1:4" x14ac:dyDescent="0.2">
      <c r="A6" t="s">
        <v>23</v>
      </c>
      <c r="B6" s="17"/>
    </row>
    <row r="7" spans="1:4" x14ac:dyDescent="0.2">
      <c r="A7" t="s">
        <v>29</v>
      </c>
      <c r="B7" s="17"/>
    </row>
    <row r="8" spans="1:4" x14ac:dyDescent="0.2">
      <c r="A8" t="s">
        <v>24</v>
      </c>
      <c r="B8" s="18" t="s">
        <v>30</v>
      </c>
    </row>
    <row r="9" spans="1:4" x14ac:dyDescent="0.2">
      <c r="A9" t="s">
        <v>18</v>
      </c>
      <c r="B9" s="18"/>
    </row>
    <row r="10" spans="1:4" x14ac:dyDescent="0.2">
      <c r="A10" t="s">
        <v>3</v>
      </c>
      <c r="B10" s="18"/>
    </row>
    <row r="11" spans="1:4" x14ac:dyDescent="0.2">
      <c r="A11" t="s">
        <v>19</v>
      </c>
      <c r="B11" s="18"/>
    </row>
    <row r="12" spans="1:4" x14ac:dyDescent="0.2">
      <c r="A12" t="s">
        <v>20</v>
      </c>
      <c r="B12" s="19" t="s">
        <v>31</v>
      </c>
    </row>
    <row r="13" spans="1:4" x14ac:dyDescent="0.2">
      <c r="A13" t="s">
        <v>32</v>
      </c>
      <c r="B13" s="19"/>
    </row>
    <row r="14" spans="1:4" x14ac:dyDescent="0.2">
      <c r="A14" s="10" t="s">
        <v>33</v>
      </c>
      <c r="B14" s="19"/>
    </row>
    <row r="15" spans="1:4" x14ac:dyDescent="0.2">
      <c r="A15" t="s">
        <v>25</v>
      </c>
      <c r="B15" s="11" t="s">
        <v>34</v>
      </c>
    </row>
  </sheetData>
  <mergeCells count="4">
    <mergeCell ref="B2:B4"/>
    <mergeCell ref="B5:B7"/>
    <mergeCell ref="B8:B11"/>
    <mergeCell ref="B12:B14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JOBCARD</vt:lpstr>
      <vt:lpstr>GLASS OFFCUTS LIST</vt:lpstr>
      <vt:lpstr>GLASS SPECIFICATIONS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2026-03-06T08:27:10Z</dcterms:created>
  <dcterms:modified xsi:type="dcterms:W3CDTF">2026-03-06T08:28:00Z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2026-03-06T08:02:37Z</dcterms:created>
  <dc:creator>openpyxl</dc:creator>
  <dc:description/>
  <dc:language>en-US</dc:language>
  <cp:lastModifiedBy>Microsoft Office User</cp:lastModifiedBy>
  <dcterms:modified xsi:type="dcterms:W3CDTF">2026-03-06T08:02:37Z</dcterms:modified>
  <cp:revision>0</cp:revision>
  <dc:subject/>
  <dc:title/>
</cp:coreProperties>
</file>