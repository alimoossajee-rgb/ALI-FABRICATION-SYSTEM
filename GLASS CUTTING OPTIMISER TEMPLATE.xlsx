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iMoossajee/Desktop/"/>
    </mc:Choice>
  </mc:AlternateContent>
  <xr:revisionPtr revIDLastSave="0" documentId="13_ncr:1_{98A82410-99BC-BA48-AA3D-D3F6926C5E3C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Inputs" sheetId="1" r:id="rId1"/>
    <sheet name="CuttingList" sheetId="2" r:id="rId2"/>
    <sheet name="Pieces" sheetId="3" r:id="rId3"/>
    <sheet name="SortedPieces" sheetId="4" r:id="rId4"/>
    <sheet name="Placement" sheetId="5" r:id="rId5"/>
    <sheet name="GLASS SPECIFICATIONS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D204" i="2"/>
  <c r="J202" i="2"/>
  <c r="K202" i="2" s="1"/>
  <c r="I202" i="2"/>
  <c r="H202" i="2"/>
  <c r="J201" i="2"/>
  <c r="K201" i="2" s="1"/>
  <c r="I201" i="2"/>
  <c r="H201" i="2"/>
  <c r="J200" i="2"/>
  <c r="K200" i="2" s="1"/>
  <c r="I200" i="2"/>
  <c r="H200" i="2"/>
  <c r="J199" i="2"/>
  <c r="K199" i="2" s="1"/>
  <c r="I199" i="2"/>
  <c r="H199" i="2"/>
  <c r="J198" i="2"/>
  <c r="K198" i="2" s="1"/>
  <c r="I198" i="2"/>
  <c r="H198" i="2"/>
  <c r="J197" i="2"/>
  <c r="K197" i="2" s="1"/>
  <c r="I197" i="2"/>
  <c r="H197" i="2"/>
  <c r="J196" i="2"/>
  <c r="K196" i="2" s="1"/>
  <c r="I196" i="2"/>
  <c r="H196" i="2"/>
  <c r="J195" i="2"/>
  <c r="K195" i="2" s="1"/>
  <c r="I195" i="2"/>
  <c r="H195" i="2"/>
  <c r="J194" i="2"/>
  <c r="K194" i="2" s="1"/>
  <c r="I194" i="2"/>
  <c r="H194" i="2"/>
  <c r="J193" i="2"/>
  <c r="K193" i="2" s="1"/>
  <c r="I193" i="2"/>
  <c r="H193" i="2"/>
  <c r="J192" i="2"/>
  <c r="K192" i="2" s="1"/>
  <c r="I192" i="2"/>
  <c r="H192" i="2"/>
  <c r="J191" i="2"/>
  <c r="K191" i="2" s="1"/>
  <c r="I191" i="2"/>
  <c r="H191" i="2"/>
  <c r="J190" i="2"/>
  <c r="K190" i="2" s="1"/>
  <c r="I190" i="2"/>
  <c r="H190" i="2"/>
  <c r="J189" i="2"/>
  <c r="K189" i="2" s="1"/>
  <c r="I189" i="2"/>
  <c r="H189" i="2"/>
  <c r="J188" i="2"/>
  <c r="K188" i="2" s="1"/>
  <c r="I188" i="2"/>
  <c r="H188" i="2"/>
  <c r="J187" i="2"/>
  <c r="K187" i="2" s="1"/>
  <c r="I187" i="2"/>
  <c r="H187" i="2"/>
  <c r="J186" i="2"/>
  <c r="K186" i="2" s="1"/>
  <c r="I186" i="2"/>
  <c r="H186" i="2"/>
  <c r="J185" i="2"/>
  <c r="K185" i="2" s="1"/>
  <c r="I185" i="2"/>
  <c r="H185" i="2"/>
  <c r="J184" i="2"/>
  <c r="K184" i="2" s="1"/>
  <c r="I184" i="2"/>
  <c r="H184" i="2"/>
  <c r="J183" i="2"/>
  <c r="K183" i="2" s="1"/>
  <c r="I183" i="2"/>
  <c r="H183" i="2"/>
  <c r="J182" i="2"/>
  <c r="K182" i="2" s="1"/>
  <c r="I182" i="2"/>
  <c r="H182" i="2"/>
  <c r="J181" i="2"/>
  <c r="K181" i="2" s="1"/>
  <c r="I181" i="2"/>
  <c r="H181" i="2"/>
  <c r="J180" i="2"/>
  <c r="K180" i="2" s="1"/>
  <c r="I180" i="2"/>
  <c r="H180" i="2"/>
  <c r="J179" i="2"/>
  <c r="K179" i="2" s="1"/>
  <c r="I179" i="2"/>
  <c r="H179" i="2"/>
  <c r="J178" i="2"/>
  <c r="K178" i="2" s="1"/>
  <c r="I178" i="2"/>
  <c r="H178" i="2"/>
  <c r="J177" i="2"/>
  <c r="K177" i="2" s="1"/>
  <c r="I177" i="2"/>
  <c r="H177" i="2"/>
  <c r="J176" i="2"/>
  <c r="K176" i="2" s="1"/>
  <c r="I176" i="2"/>
  <c r="H176" i="2"/>
  <c r="J175" i="2"/>
  <c r="K175" i="2" s="1"/>
  <c r="I175" i="2"/>
  <c r="H175" i="2"/>
  <c r="J174" i="2"/>
  <c r="K174" i="2" s="1"/>
  <c r="I174" i="2"/>
  <c r="H174" i="2"/>
  <c r="J173" i="2"/>
  <c r="K173" i="2" s="1"/>
  <c r="I173" i="2"/>
  <c r="H173" i="2"/>
  <c r="J172" i="2"/>
  <c r="K172" i="2" s="1"/>
  <c r="I172" i="2"/>
  <c r="H172" i="2"/>
  <c r="J171" i="2"/>
  <c r="K171" i="2" s="1"/>
  <c r="I171" i="2"/>
  <c r="H171" i="2"/>
  <c r="J170" i="2"/>
  <c r="K170" i="2" s="1"/>
  <c r="I170" i="2"/>
  <c r="H170" i="2"/>
  <c r="J169" i="2"/>
  <c r="K169" i="2" s="1"/>
  <c r="I169" i="2"/>
  <c r="H169" i="2"/>
  <c r="J168" i="2"/>
  <c r="K168" i="2" s="1"/>
  <c r="I168" i="2"/>
  <c r="H168" i="2"/>
  <c r="J167" i="2"/>
  <c r="K167" i="2" s="1"/>
  <c r="I167" i="2"/>
  <c r="H167" i="2"/>
  <c r="J166" i="2"/>
  <c r="K166" i="2" s="1"/>
  <c r="I166" i="2"/>
  <c r="H166" i="2"/>
  <c r="J165" i="2"/>
  <c r="K165" i="2" s="1"/>
  <c r="I165" i="2"/>
  <c r="H165" i="2"/>
  <c r="J164" i="2"/>
  <c r="K164" i="2" s="1"/>
  <c r="I164" i="2"/>
  <c r="H164" i="2"/>
  <c r="J163" i="2"/>
  <c r="K163" i="2" s="1"/>
  <c r="I163" i="2"/>
  <c r="H163" i="2"/>
  <c r="J162" i="2"/>
  <c r="K162" i="2" s="1"/>
  <c r="I162" i="2"/>
  <c r="H162" i="2"/>
  <c r="J161" i="2"/>
  <c r="K161" i="2" s="1"/>
  <c r="I161" i="2"/>
  <c r="H161" i="2"/>
  <c r="J160" i="2"/>
  <c r="K160" i="2" s="1"/>
  <c r="I160" i="2"/>
  <c r="H160" i="2"/>
  <c r="J159" i="2"/>
  <c r="K159" i="2" s="1"/>
  <c r="I159" i="2"/>
  <c r="H159" i="2"/>
  <c r="J158" i="2"/>
  <c r="K158" i="2" s="1"/>
  <c r="I158" i="2"/>
  <c r="H158" i="2"/>
  <c r="J157" i="2"/>
  <c r="K157" i="2" s="1"/>
  <c r="I157" i="2"/>
  <c r="H157" i="2"/>
  <c r="J156" i="2"/>
  <c r="K156" i="2" s="1"/>
  <c r="I156" i="2"/>
  <c r="H156" i="2"/>
  <c r="J155" i="2"/>
  <c r="K155" i="2" s="1"/>
  <c r="I155" i="2"/>
  <c r="H155" i="2"/>
  <c r="J154" i="2"/>
  <c r="K154" i="2" s="1"/>
  <c r="I154" i="2"/>
  <c r="H154" i="2"/>
  <c r="J153" i="2"/>
  <c r="K153" i="2" s="1"/>
  <c r="I153" i="2"/>
  <c r="H153" i="2"/>
  <c r="J152" i="2"/>
  <c r="K152" i="2" s="1"/>
  <c r="I152" i="2"/>
  <c r="H152" i="2"/>
  <c r="J151" i="2"/>
  <c r="K151" i="2" s="1"/>
  <c r="I151" i="2"/>
  <c r="H151" i="2"/>
  <c r="J150" i="2"/>
  <c r="K150" i="2" s="1"/>
  <c r="I150" i="2"/>
  <c r="H150" i="2"/>
  <c r="J149" i="2"/>
  <c r="K149" i="2" s="1"/>
  <c r="I149" i="2"/>
  <c r="H149" i="2"/>
  <c r="J148" i="2"/>
  <c r="K148" i="2" s="1"/>
  <c r="I148" i="2"/>
  <c r="H148" i="2"/>
  <c r="J147" i="2"/>
  <c r="K147" i="2" s="1"/>
  <c r="I147" i="2"/>
  <c r="H147" i="2"/>
  <c r="J146" i="2"/>
  <c r="K146" i="2" s="1"/>
  <c r="I146" i="2"/>
  <c r="H146" i="2"/>
  <c r="J145" i="2"/>
  <c r="K145" i="2" s="1"/>
  <c r="I145" i="2"/>
  <c r="H145" i="2"/>
  <c r="J144" i="2"/>
  <c r="K144" i="2" s="1"/>
  <c r="I144" i="2"/>
  <c r="H144" i="2"/>
  <c r="J143" i="2"/>
  <c r="K143" i="2" s="1"/>
  <c r="I143" i="2"/>
  <c r="H143" i="2"/>
  <c r="J142" i="2"/>
  <c r="K142" i="2" s="1"/>
  <c r="I142" i="2"/>
  <c r="H142" i="2"/>
  <c r="J141" i="2"/>
  <c r="K141" i="2" s="1"/>
  <c r="I141" i="2"/>
  <c r="H141" i="2"/>
  <c r="J140" i="2"/>
  <c r="K140" i="2" s="1"/>
  <c r="I140" i="2"/>
  <c r="H140" i="2"/>
  <c r="J139" i="2"/>
  <c r="K139" i="2" s="1"/>
  <c r="I139" i="2"/>
  <c r="H139" i="2"/>
  <c r="J138" i="2"/>
  <c r="K138" i="2" s="1"/>
  <c r="I138" i="2"/>
  <c r="H138" i="2"/>
  <c r="J137" i="2"/>
  <c r="K137" i="2" s="1"/>
  <c r="I137" i="2"/>
  <c r="H137" i="2"/>
  <c r="J136" i="2"/>
  <c r="K136" i="2" s="1"/>
  <c r="I136" i="2"/>
  <c r="H136" i="2"/>
  <c r="J135" i="2"/>
  <c r="K135" i="2" s="1"/>
  <c r="I135" i="2"/>
  <c r="H135" i="2"/>
  <c r="J134" i="2"/>
  <c r="K134" i="2" s="1"/>
  <c r="I134" i="2"/>
  <c r="H134" i="2"/>
  <c r="J133" i="2"/>
  <c r="K133" i="2" s="1"/>
  <c r="I133" i="2"/>
  <c r="H133" i="2"/>
  <c r="J132" i="2"/>
  <c r="K132" i="2" s="1"/>
  <c r="I132" i="2"/>
  <c r="H132" i="2"/>
  <c r="J131" i="2"/>
  <c r="K131" i="2" s="1"/>
  <c r="I131" i="2"/>
  <c r="H131" i="2"/>
  <c r="J130" i="2"/>
  <c r="K130" i="2" s="1"/>
  <c r="I130" i="2"/>
  <c r="H130" i="2"/>
  <c r="J129" i="2"/>
  <c r="K129" i="2" s="1"/>
  <c r="I129" i="2"/>
  <c r="H129" i="2"/>
  <c r="J128" i="2"/>
  <c r="K128" i="2" s="1"/>
  <c r="I128" i="2"/>
  <c r="H128" i="2"/>
  <c r="J127" i="2"/>
  <c r="K127" i="2" s="1"/>
  <c r="I127" i="2"/>
  <c r="H127" i="2"/>
  <c r="J126" i="2"/>
  <c r="K126" i="2" s="1"/>
  <c r="I126" i="2"/>
  <c r="H126" i="2"/>
  <c r="J125" i="2"/>
  <c r="K125" i="2" s="1"/>
  <c r="I125" i="2"/>
  <c r="H125" i="2"/>
  <c r="J124" i="2"/>
  <c r="K124" i="2" s="1"/>
  <c r="I124" i="2"/>
  <c r="H124" i="2"/>
  <c r="J123" i="2"/>
  <c r="K123" i="2" s="1"/>
  <c r="I123" i="2"/>
  <c r="H123" i="2"/>
  <c r="J122" i="2"/>
  <c r="K122" i="2" s="1"/>
  <c r="I122" i="2"/>
  <c r="H122" i="2"/>
  <c r="J121" i="2"/>
  <c r="K121" i="2" s="1"/>
  <c r="I121" i="2"/>
  <c r="H121" i="2"/>
  <c r="J120" i="2"/>
  <c r="K120" i="2" s="1"/>
  <c r="I120" i="2"/>
  <c r="H120" i="2"/>
  <c r="J119" i="2"/>
  <c r="K119" i="2" s="1"/>
  <c r="I119" i="2"/>
  <c r="H119" i="2"/>
  <c r="J118" i="2"/>
  <c r="K118" i="2" s="1"/>
  <c r="I118" i="2"/>
  <c r="H118" i="2"/>
  <c r="J117" i="2"/>
  <c r="K117" i="2" s="1"/>
  <c r="I117" i="2"/>
  <c r="H117" i="2"/>
  <c r="J116" i="2"/>
  <c r="K116" i="2" s="1"/>
  <c r="I116" i="2"/>
  <c r="H116" i="2"/>
  <c r="J115" i="2"/>
  <c r="K115" i="2" s="1"/>
  <c r="I115" i="2"/>
  <c r="H115" i="2"/>
  <c r="J114" i="2"/>
  <c r="K114" i="2" s="1"/>
  <c r="I114" i="2"/>
  <c r="H114" i="2"/>
  <c r="J113" i="2"/>
  <c r="K113" i="2" s="1"/>
  <c r="I113" i="2"/>
  <c r="H113" i="2"/>
  <c r="J112" i="2"/>
  <c r="K112" i="2" s="1"/>
  <c r="I112" i="2"/>
  <c r="H112" i="2"/>
  <c r="J111" i="2"/>
  <c r="K111" i="2" s="1"/>
  <c r="I111" i="2"/>
  <c r="H111" i="2"/>
  <c r="J110" i="2"/>
  <c r="K110" i="2" s="1"/>
  <c r="I110" i="2"/>
  <c r="H110" i="2"/>
  <c r="J109" i="2"/>
  <c r="K109" i="2" s="1"/>
  <c r="I109" i="2"/>
  <c r="H109" i="2"/>
  <c r="J108" i="2"/>
  <c r="K108" i="2" s="1"/>
  <c r="I108" i="2"/>
  <c r="H108" i="2"/>
  <c r="J107" i="2"/>
  <c r="K107" i="2" s="1"/>
  <c r="I107" i="2"/>
  <c r="H107" i="2"/>
  <c r="J106" i="2"/>
  <c r="K106" i="2" s="1"/>
  <c r="I106" i="2"/>
  <c r="H106" i="2"/>
  <c r="J105" i="2"/>
  <c r="K105" i="2" s="1"/>
  <c r="I105" i="2"/>
  <c r="H105" i="2"/>
  <c r="J104" i="2"/>
  <c r="K104" i="2" s="1"/>
  <c r="I104" i="2"/>
  <c r="H104" i="2"/>
  <c r="J103" i="2"/>
  <c r="K103" i="2" s="1"/>
  <c r="I103" i="2"/>
  <c r="H103" i="2"/>
  <c r="J102" i="2"/>
  <c r="K102" i="2" s="1"/>
  <c r="I102" i="2"/>
  <c r="H102" i="2"/>
  <c r="J101" i="2"/>
  <c r="K101" i="2" s="1"/>
  <c r="I101" i="2"/>
  <c r="H101" i="2"/>
  <c r="J100" i="2"/>
  <c r="K100" i="2" s="1"/>
  <c r="I100" i="2"/>
  <c r="H100" i="2"/>
  <c r="J99" i="2"/>
  <c r="K99" i="2" s="1"/>
  <c r="I99" i="2"/>
  <c r="H99" i="2"/>
  <c r="J98" i="2"/>
  <c r="K98" i="2" s="1"/>
  <c r="I98" i="2"/>
  <c r="H98" i="2"/>
  <c r="J97" i="2"/>
  <c r="K97" i="2" s="1"/>
  <c r="I97" i="2"/>
  <c r="H97" i="2"/>
  <c r="J96" i="2"/>
  <c r="K96" i="2" s="1"/>
  <c r="I96" i="2"/>
  <c r="H96" i="2"/>
  <c r="J95" i="2"/>
  <c r="K95" i="2" s="1"/>
  <c r="I95" i="2"/>
  <c r="H95" i="2"/>
  <c r="J94" i="2"/>
  <c r="K94" i="2" s="1"/>
  <c r="I94" i="2"/>
  <c r="H94" i="2"/>
  <c r="J93" i="2"/>
  <c r="K93" i="2" s="1"/>
  <c r="I93" i="2"/>
  <c r="H93" i="2"/>
  <c r="J92" i="2"/>
  <c r="K92" i="2" s="1"/>
  <c r="I92" i="2"/>
  <c r="H92" i="2"/>
  <c r="J91" i="2"/>
  <c r="K91" i="2" s="1"/>
  <c r="I91" i="2"/>
  <c r="H91" i="2"/>
  <c r="J90" i="2"/>
  <c r="K90" i="2" s="1"/>
  <c r="I90" i="2"/>
  <c r="H90" i="2"/>
  <c r="J89" i="2"/>
  <c r="K89" i="2" s="1"/>
  <c r="I89" i="2"/>
  <c r="H89" i="2"/>
  <c r="J88" i="2"/>
  <c r="K88" i="2" s="1"/>
  <c r="I88" i="2"/>
  <c r="H88" i="2"/>
  <c r="J87" i="2"/>
  <c r="K87" i="2" s="1"/>
  <c r="I87" i="2"/>
  <c r="H87" i="2"/>
  <c r="J86" i="2"/>
  <c r="K86" i="2" s="1"/>
  <c r="I86" i="2"/>
  <c r="H86" i="2"/>
  <c r="J85" i="2"/>
  <c r="K85" i="2" s="1"/>
  <c r="I85" i="2"/>
  <c r="H85" i="2"/>
  <c r="J84" i="2"/>
  <c r="K84" i="2" s="1"/>
  <c r="I84" i="2"/>
  <c r="H84" i="2"/>
  <c r="J83" i="2"/>
  <c r="K83" i="2" s="1"/>
  <c r="I83" i="2"/>
  <c r="H83" i="2"/>
  <c r="J82" i="2"/>
  <c r="K82" i="2" s="1"/>
  <c r="I82" i="2"/>
  <c r="H82" i="2"/>
  <c r="J81" i="2"/>
  <c r="K81" i="2" s="1"/>
  <c r="I81" i="2"/>
  <c r="H81" i="2"/>
  <c r="J80" i="2"/>
  <c r="K80" i="2" s="1"/>
  <c r="I80" i="2"/>
  <c r="H80" i="2"/>
  <c r="J79" i="2"/>
  <c r="K79" i="2" s="1"/>
  <c r="I79" i="2"/>
  <c r="H79" i="2"/>
  <c r="J78" i="2"/>
  <c r="K78" i="2" s="1"/>
  <c r="I78" i="2"/>
  <c r="H78" i="2"/>
  <c r="J77" i="2"/>
  <c r="K77" i="2" s="1"/>
  <c r="I77" i="2"/>
  <c r="H77" i="2"/>
  <c r="J76" i="2"/>
  <c r="K76" i="2" s="1"/>
  <c r="I76" i="2"/>
  <c r="H76" i="2"/>
  <c r="J75" i="2"/>
  <c r="K75" i="2" s="1"/>
  <c r="I75" i="2"/>
  <c r="H75" i="2"/>
  <c r="J74" i="2"/>
  <c r="K74" i="2" s="1"/>
  <c r="I74" i="2"/>
  <c r="H74" i="2"/>
  <c r="J73" i="2"/>
  <c r="K73" i="2" s="1"/>
  <c r="I73" i="2"/>
  <c r="H73" i="2"/>
  <c r="J72" i="2"/>
  <c r="K72" i="2" s="1"/>
  <c r="I72" i="2"/>
  <c r="H72" i="2"/>
  <c r="J71" i="2"/>
  <c r="K71" i="2" s="1"/>
  <c r="I71" i="2"/>
  <c r="H71" i="2"/>
  <c r="J70" i="2"/>
  <c r="K70" i="2" s="1"/>
  <c r="I70" i="2"/>
  <c r="H70" i="2"/>
  <c r="J69" i="2"/>
  <c r="K69" i="2" s="1"/>
  <c r="I69" i="2"/>
  <c r="H69" i="2"/>
  <c r="J68" i="2"/>
  <c r="K68" i="2" s="1"/>
  <c r="I68" i="2"/>
  <c r="H68" i="2"/>
  <c r="J67" i="2"/>
  <c r="K67" i="2" s="1"/>
  <c r="I67" i="2"/>
  <c r="H67" i="2"/>
  <c r="J66" i="2"/>
  <c r="K66" i="2" s="1"/>
  <c r="I66" i="2"/>
  <c r="H66" i="2"/>
  <c r="J65" i="2"/>
  <c r="K65" i="2" s="1"/>
  <c r="I65" i="2"/>
  <c r="H65" i="2"/>
  <c r="J64" i="2"/>
  <c r="K64" i="2" s="1"/>
  <c r="I64" i="2"/>
  <c r="H64" i="2"/>
  <c r="J63" i="2"/>
  <c r="K63" i="2" s="1"/>
  <c r="I63" i="2"/>
  <c r="H63" i="2"/>
  <c r="J62" i="2"/>
  <c r="K62" i="2" s="1"/>
  <c r="I62" i="2"/>
  <c r="H62" i="2"/>
  <c r="J61" i="2"/>
  <c r="K61" i="2" s="1"/>
  <c r="I61" i="2"/>
  <c r="H61" i="2"/>
  <c r="J60" i="2"/>
  <c r="K60" i="2" s="1"/>
  <c r="I60" i="2"/>
  <c r="H60" i="2"/>
  <c r="J59" i="2"/>
  <c r="K59" i="2" s="1"/>
  <c r="I59" i="2"/>
  <c r="H59" i="2"/>
  <c r="J58" i="2"/>
  <c r="K58" i="2" s="1"/>
  <c r="I58" i="2"/>
  <c r="H58" i="2"/>
  <c r="J57" i="2"/>
  <c r="K57" i="2" s="1"/>
  <c r="I57" i="2"/>
  <c r="H57" i="2"/>
  <c r="J56" i="2"/>
  <c r="K56" i="2" s="1"/>
  <c r="I56" i="2"/>
  <c r="H56" i="2"/>
  <c r="J55" i="2"/>
  <c r="K55" i="2" s="1"/>
  <c r="I55" i="2"/>
  <c r="H55" i="2"/>
  <c r="J54" i="2"/>
  <c r="K54" i="2" s="1"/>
  <c r="I54" i="2"/>
  <c r="H54" i="2"/>
  <c r="J53" i="2"/>
  <c r="K53" i="2" s="1"/>
  <c r="I53" i="2"/>
  <c r="H53" i="2"/>
  <c r="J52" i="2"/>
  <c r="K52" i="2" s="1"/>
  <c r="I52" i="2"/>
  <c r="H52" i="2"/>
  <c r="J51" i="2"/>
  <c r="K51" i="2" s="1"/>
  <c r="I51" i="2"/>
  <c r="H51" i="2"/>
  <c r="J50" i="2"/>
  <c r="K50" i="2" s="1"/>
  <c r="I50" i="2"/>
  <c r="H50" i="2"/>
  <c r="J49" i="2"/>
  <c r="K49" i="2" s="1"/>
  <c r="I49" i="2"/>
  <c r="H49" i="2"/>
  <c r="J48" i="2"/>
  <c r="K48" i="2" s="1"/>
  <c r="I48" i="2"/>
  <c r="H48" i="2"/>
  <c r="J47" i="2"/>
  <c r="K47" i="2" s="1"/>
  <c r="I47" i="2"/>
  <c r="H47" i="2"/>
  <c r="J46" i="2"/>
  <c r="K46" i="2" s="1"/>
  <c r="I46" i="2"/>
  <c r="H46" i="2"/>
  <c r="J45" i="2"/>
  <c r="K45" i="2" s="1"/>
  <c r="I45" i="2"/>
  <c r="H45" i="2"/>
  <c r="J44" i="2"/>
  <c r="K44" i="2" s="1"/>
  <c r="I44" i="2"/>
  <c r="H44" i="2"/>
  <c r="J43" i="2"/>
  <c r="K43" i="2" s="1"/>
  <c r="I43" i="2"/>
  <c r="H43" i="2"/>
  <c r="J42" i="2"/>
  <c r="K42" i="2" s="1"/>
  <c r="I42" i="2"/>
  <c r="H42" i="2"/>
  <c r="J41" i="2"/>
  <c r="K41" i="2" s="1"/>
  <c r="I41" i="2"/>
  <c r="H41" i="2"/>
  <c r="J40" i="2"/>
  <c r="K40" i="2" s="1"/>
  <c r="I40" i="2"/>
  <c r="H40" i="2"/>
  <c r="J39" i="2"/>
  <c r="K39" i="2" s="1"/>
  <c r="I39" i="2"/>
  <c r="H39" i="2"/>
  <c r="J38" i="2"/>
  <c r="K38" i="2" s="1"/>
  <c r="I38" i="2"/>
  <c r="H38" i="2"/>
  <c r="J37" i="2"/>
  <c r="K37" i="2" s="1"/>
  <c r="I37" i="2"/>
  <c r="H37" i="2"/>
  <c r="J36" i="2"/>
  <c r="K36" i="2" s="1"/>
  <c r="I36" i="2"/>
  <c r="H36" i="2"/>
  <c r="J35" i="2"/>
  <c r="K35" i="2" s="1"/>
  <c r="I35" i="2"/>
  <c r="H35" i="2"/>
  <c r="J34" i="2"/>
  <c r="K34" i="2" s="1"/>
  <c r="I34" i="2"/>
  <c r="H34" i="2"/>
  <c r="J33" i="2"/>
  <c r="K33" i="2" s="1"/>
  <c r="I33" i="2"/>
  <c r="H33" i="2"/>
  <c r="J32" i="2"/>
  <c r="K32" i="2" s="1"/>
  <c r="I32" i="2"/>
  <c r="H32" i="2"/>
  <c r="J31" i="2"/>
  <c r="K31" i="2" s="1"/>
  <c r="I31" i="2"/>
  <c r="H31" i="2"/>
  <c r="J30" i="2"/>
  <c r="K30" i="2" s="1"/>
  <c r="I30" i="2"/>
  <c r="H30" i="2"/>
  <c r="J29" i="2"/>
  <c r="K29" i="2" s="1"/>
  <c r="I29" i="2"/>
  <c r="H29" i="2"/>
  <c r="J28" i="2"/>
  <c r="K28" i="2" s="1"/>
  <c r="I28" i="2"/>
  <c r="H28" i="2"/>
  <c r="J27" i="2"/>
  <c r="K27" i="2" s="1"/>
  <c r="I27" i="2"/>
  <c r="H27" i="2"/>
  <c r="J26" i="2"/>
  <c r="K26" i="2" s="1"/>
  <c r="I26" i="2"/>
  <c r="H26" i="2"/>
  <c r="J25" i="2"/>
  <c r="K25" i="2" s="1"/>
  <c r="I25" i="2"/>
  <c r="H25" i="2"/>
  <c r="J24" i="2"/>
  <c r="K24" i="2" s="1"/>
  <c r="I24" i="2"/>
  <c r="H24" i="2"/>
  <c r="J23" i="2"/>
  <c r="K23" i="2" s="1"/>
  <c r="I23" i="2"/>
  <c r="H23" i="2"/>
  <c r="J22" i="2"/>
  <c r="K22" i="2" s="1"/>
  <c r="I22" i="2"/>
  <c r="H22" i="2"/>
  <c r="J21" i="2"/>
  <c r="K21" i="2" s="1"/>
  <c r="I21" i="2"/>
  <c r="H21" i="2"/>
  <c r="J20" i="2"/>
  <c r="K20" i="2" s="1"/>
  <c r="I20" i="2"/>
  <c r="H20" i="2"/>
  <c r="J19" i="2"/>
  <c r="K19" i="2" s="1"/>
  <c r="I19" i="2"/>
  <c r="H19" i="2"/>
  <c r="J18" i="2"/>
  <c r="K18" i="2" s="1"/>
  <c r="I18" i="2"/>
  <c r="H18" i="2"/>
  <c r="J17" i="2"/>
  <c r="K17" i="2" s="1"/>
  <c r="I17" i="2"/>
  <c r="H17" i="2"/>
  <c r="J16" i="2"/>
  <c r="K16" i="2" s="1"/>
  <c r="I16" i="2"/>
  <c r="H16" i="2"/>
  <c r="J15" i="2"/>
  <c r="K15" i="2" s="1"/>
  <c r="I15" i="2"/>
  <c r="H15" i="2"/>
  <c r="J14" i="2"/>
  <c r="K14" i="2" s="1"/>
  <c r="I14" i="2"/>
  <c r="H14" i="2"/>
  <c r="J13" i="2"/>
  <c r="K13" i="2" s="1"/>
  <c r="I13" i="2"/>
  <c r="H13" i="2"/>
  <c r="J12" i="2"/>
  <c r="K12" i="2" s="1"/>
  <c r="I12" i="2"/>
  <c r="H12" i="2"/>
  <c r="J11" i="2"/>
  <c r="K11" i="2" s="1"/>
  <c r="I11" i="2"/>
  <c r="H11" i="2"/>
  <c r="J10" i="2"/>
  <c r="K10" i="2" s="1"/>
  <c r="I10" i="2"/>
  <c r="H10" i="2"/>
  <c r="J9" i="2"/>
  <c r="K9" i="2" s="1"/>
  <c r="I9" i="2"/>
  <c r="H9" i="2"/>
  <c r="J8" i="2"/>
  <c r="K8" i="2" s="1"/>
  <c r="I8" i="2"/>
  <c r="H8" i="2"/>
  <c r="J7" i="2"/>
  <c r="K7" i="2" s="1"/>
  <c r="J6" i="2"/>
  <c r="K6" i="2" s="1"/>
  <c r="J5" i="2"/>
  <c r="K5" i="2" s="1"/>
  <c r="J4" i="2"/>
  <c r="K4" i="2" s="1"/>
  <c r="J3" i="2"/>
  <c r="K3" i="2" s="1"/>
  <c r="H3" i="2"/>
  <c r="I3" i="2" s="1"/>
  <c r="H4" i="2" s="1"/>
  <c r="I4" i="2" s="1"/>
  <c r="H5" i="2" s="1"/>
  <c r="I5" i="2" s="1"/>
  <c r="H6" i="2" s="1"/>
  <c r="I6" i="2" s="1"/>
  <c r="H7" i="2" s="1"/>
  <c r="I7" i="2" s="1"/>
  <c r="B17" i="1"/>
  <c r="B16" i="1"/>
  <c r="B15" i="1"/>
  <c r="A407" i="5" a="1"/>
  <c r="A407" i="5" l="1"/>
  <c r="B191" i="3"/>
  <c r="F191" i="3" s="1"/>
  <c r="E191" i="4" s="1"/>
  <c r="E195" i="5" s="1"/>
  <c r="K204" i="2"/>
  <c r="J204" i="2"/>
  <c r="B9" i="3"/>
  <c r="B25" i="3"/>
  <c r="B40" i="3"/>
  <c r="B47" i="3"/>
  <c r="B51" i="3"/>
  <c r="B55" i="3"/>
  <c r="B59" i="3"/>
  <c r="B63" i="3"/>
  <c r="B67" i="3"/>
  <c r="B71" i="3"/>
  <c r="B75" i="3"/>
  <c r="B79" i="3"/>
  <c r="B83" i="3"/>
  <c r="B87" i="3"/>
  <c r="B91" i="3"/>
  <c r="B95" i="3"/>
  <c r="B99" i="3"/>
  <c r="B103" i="3"/>
  <c r="B107" i="3"/>
  <c r="B111" i="3"/>
  <c r="B115" i="3"/>
  <c r="B119" i="3"/>
  <c r="B123" i="3"/>
  <c r="B127" i="3"/>
  <c r="B131" i="3"/>
  <c r="B147" i="3"/>
  <c r="B163" i="3"/>
  <c r="B175" i="3"/>
  <c r="B399" i="3"/>
  <c r="B395" i="3"/>
  <c r="B391" i="3"/>
  <c r="B387" i="3"/>
  <c r="B383" i="3"/>
  <c r="B379" i="3"/>
  <c r="B375" i="3"/>
  <c r="B371" i="3"/>
  <c r="B367" i="3"/>
  <c r="B363" i="3"/>
  <c r="B359" i="3"/>
  <c r="B355" i="3"/>
  <c r="B351" i="3"/>
  <c r="B347" i="3"/>
  <c r="B343" i="3"/>
  <c r="B339" i="3"/>
  <c r="B335" i="3"/>
  <c r="B331" i="3"/>
  <c r="B327" i="3"/>
  <c r="B323" i="3"/>
  <c r="B319" i="3"/>
  <c r="B315" i="3"/>
  <c r="B311" i="3"/>
  <c r="B307" i="3"/>
  <c r="B303" i="3"/>
  <c r="B299" i="3"/>
  <c r="B295" i="3"/>
  <c r="B291" i="3"/>
  <c r="B287" i="3"/>
  <c r="B283" i="3"/>
  <c r="B279" i="3"/>
  <c r="B275" i="3"/>
  <c r="B271" i="3"/>
  <c r="B267" i="3"/>
  <c r="B263" i="3"/>
  <c r="B259" i="3"/>
  <c r="B255" i="3"/>
  <c r="B248" i="3"/>
  <c r="B240" i="3"/>
  <c r="B232" i="3"/>
  <c r="B224" i="3"/>
  <c r="B216" i="3"/>
  <c r="B208" i="3"/>
  <c r="B200" i="3"/>
  <c r="B249" i="3"/>
  <c r="B241" i="3"/>
  <c r="B233" i="3"/>
  <c r="B225" i="3"/>
  <c r="B217" i="3"/>
  <c r="B209" i="3"/>
  <c r="B253" i="3"/>
  <c r="B245" i="3"/>
  <c r="B237" i="3"/>
  <c r="B392" i="3"/>
  <c r="B390" i="3"/>
  <c r="B373" i="3"/>
  <c r="B360" i="3"/>
  <c r="B358" i="3"/>
  <c r="B341" i="3"/>
  <c r="B328" i="3"/>
  <c r="B326" i="3"/>
  <c r="B309" i="3"/>
  <c r="B296" i="3"/>
  <c r="B294" i="3"/>
  <c r="B277" i="3"/>
  <c r="B264" i="3"/>
  <c r="B262" i="3"/>
  <c r="B239" i="3"/>
  <c r="B219" i="3"/>
  <c r="B213" i="3"/>
  <c r="B198" i="3"/>
  <c r="B192" i="3"/>
  <c r="B184" i="3"/>
  <c r="B176" i="3"/>
  <c r="B396" i="3"/>
  <c r="B394" i="3"/>
  <c r="B377" i="3"/>
  <c r="B364" i="3"/>
  <c r="B362" i="3"/>
  <c r="B345" i="3"/>
  <c r="B332" i="3"/>
  <c r="B330" i="3"/>
  <c r="B313" i="3"/>
  <c r="B300" i="3"/>
  <c r="B298" i="3"/>
  <c r="B281" i="3"/>
  <c r="B268" i="3"/>
  <c r="B266" i="3"/>
  <c r="B246" i="3"/>
  <c r="B235" i="3"/>
  <c r="B228" i="3"/>
  <c r="B222" i="3"/>
  <c r="B207" i="3"/>
  <c r="B203" i="3"/>
  <c r="B193" i="3"/>
  <c r="B185" i="3"/>
  <c r="B177" i="3"/>
  <c r="B393" i="3"/>
  <c r="B380" i="3"/>
  <c r="B378" i="3"/>
  <c r="B361" i="3"/>
  <c r="B348" i="3"/>
  <c r="B346" i="3"/>
  <c r="B329" i="3"/>
  <c r="B316" i="3"/>
  <c r="B314" i="3"/>
  <c r="B297" i="3"/>
  <c r="B284" i="3"/>
  <c r="B282" i="3"/>
  <c r="B265" i="3"/>
  <c r="B247" i="3"/>
  <c r="B236" i="3"/>
  <c r="B234" i="3"/>
  <c r="B218" i="3"/>
  <c r="B212" i="3"/>
  <c r="B205" i="3"/>
  <c r="B201" i="3"/>
  <c r="B189" i="3"/>
  <c r="B181" i="3"/>
  <c r="B173" i="3"/>
  <c r="B397" i="3"/>
  <c r="B384" i="3"/>
  <c r="B382" i="3"/>
  <c r="B365" i="3"/>
  <c r="B352" i="3"/>
  <c r="B350" i="3"/>
  <c r="B333" i="3"/>
  <c r="B320" i="3"/>
  <c r="B318" i="3"/>
  <c r="B301" i="3"/>
  <c r="B288" i="3"/>
  <c r="B286" i="3"/>
  <c r="B269" i="3"/>
  <c r="B256" i="3"/>
  <c r="B254" i="3"/>
  <c r="B243" i="3"/>
  <c r="B227" i="3"/>
  <c r="B221" i="3"/>
  <c r="B215" i="3"/>
  <c r="B197" i="3"/>
  <c r="B190" i="3"/>
  <c r="B182" i="3"/>
  <c r="B174" i="3"/>
  <c r="B400" i="3"/>
  <c r="B366" i="3"/>
  <c r="B349" i="3"/>
  <c r="B336" i="3"/>
  <c r="B302" i="3"/>
  <c r="B285" i="3"/>
  <c r="B272" i="3"/>
  <c r="B244" i="3"/>
  <c r="B211" i="3"/>
  <c r="B186" i="3"/>
  <c r="B170" i="3"/>
  <c r="B168" i="3"/>
  <c r="B166" i="3"/>
  <c r="B164" i="3"/>
  <c r="B162" i="3"/>
  <c r="B160" i="3"/>
  <c r="B158" i="3"/>
  <c r="B156" i="3"/>
  <c r="B154" i="3"/>
  <c r="B152" i="3"/>
  <c r="B150" i="3"/>
  <c r="B148" i="3"/>
  <c r="B146" i="3"/>
  <c r="B144" i="3"/>
  <c r="B142" i="3"/>
  <c r="B140" i="3"/>
  <c r="B138" i="3"/>
  <c r="B136" i="3"/>
  <c r="B134" i="3"/>
  <c r="B132" i="3"/>
  <c r="B130" i="3"/>
  <c r="B128" i="3"/>
  <c r="B126" i="3"/>
  <c r="B124" i="3"/>
  <c r="B122" i="3"/>
  <c r="B120" i="3"/>
  <c r="B118" i="3"/>
  <c r="B116" i="3"/>
  <c r="B114" i="3"/>
  <c r="B112" i="3"/>
  <c r="B110" i="3"/>
  <c r="B108" i="3"/>
  <c r="B106" i="3"/>
  <c r="B104" i="3"/>
  <c r="B102" i="3"/>
  <c r="B100" i="3"/>
  <c r="B98" i="3"/>
  <c r="B96" i="3"/>
  <c r="B94" i="3"/>
  <c r="B92" i="3"/>
  <c r="B90" i="3"/>
  <c r="B88" i="3"/>
  <c r="B86" i="3"/>
  <c r="B84" i="3"/>
  <c r="B82" i="3"/>
  <c r="B80" i="3"/>
  <c r="B78" i="3"/>
  <c r="B76" i="3"/>
  <c r="B74" i="3"/>
  <c r="B72" i="3"/>
  <c r="B70" i="3"/>
  <c r="B68" i="3"/>
  <c r="B66" i="3"/>
  <c r="B64" i="3"/>
  <c r="B62" i="3"/>
  <c r="B60" i="3"/>
  <c r="B58" i="3"/>
  <c r="B56" i="3"/>
  <c r="B54" i="3"/>
  <c r="B52" i="3"/>
  <c r="B50" i="3"/>
  <c r="B48" i="3"/>
  <c r="B46" i="3"/>
  <c r="B44" i="3"/>
  <c r="B36" i="3"/>
  <c r="B28" i="3"/>
  <c r="B20" i="3"/>
  <c r="B12" i="3"/>
  <c r="B4" i="3"/>
  <c r="B370" i="3"/>
  <c r="B353" i="3"/>
  <c r="B340" i="3"/>
  <c r="B306" i="3"/>
  <c r="B289" i="3"/>
  <c r="B276" i="3"/>
  <c r="B251" i="3"/>
  <c r="B226" i="3"/>
  <c r="B220" i="3"/>
  <c r="B214" i="3"/>
  <c r="B195" i="3"/>
  <c r="B179" i="3"/>
  <c r="B39" i="3"/>
  <c r="B31" i="3"/>
  <c r="B23" i="3"/>
  <c r="B15" i="3"/>
  <c r="B7" i="3"/>
  <c r="B369" i="3"/>
  <c r="B356" i="3"/>
  <c r="B322" i="3"/>
  <c r="B305" i="3"/>
  <c r="B292" i="3"/>
  <c r="B258" i="3"/>
  <c r="B250" i="3"/>
  <c r="B210" i="3"/>
  <c r="B202" i="3"/>
  <c r="B183" i="3"/>
  <c r="B37" i="3"/>
  <c r="B29" i="3"/>
  <c r="B21" i="3"/>
  <c r="B5" i="3"/>
  <c r="B374" i="3"/>
  <c r="B357" i="3"/>
  <c r="B344" i="3"/>
  <c r="B310" i="3"/>
  <c r="B293" i="3"/>
  <c r="B280" i="3"/>
  <c r="B229" i="3"/>
  <c r="B223" i="3"/>
  <c r="B188" i="3"/>
  <c r="B172" i="3"/>
  <c r="B42" i="3"/>
  <c r="B34" i="3"/>
  <c r="B26" i="3"/>
  <c r="B18" i="3"/>
  <c r="B10" i="3"/>
  <c r="B13" i="3"/>
  <c r="B386" i="3"/>
  <c r="B398" i="3"/>
  <c r="B381" i="3"/>
  <c r="B368" i="3"/>
  <c r="B334" i="3"/>
  <c r="B317" i="3"/>
  <c r="B304" i="3"/>
  <c r="B270" i="3"/>
  <c r="B199" i="3"/>
  <c r="B194" i="3"/>
  <c r="B402" i="3"/>
  <c r="B385" i="3"/>
  <c r="B372" i="3"/>
  <c r="B338" i="3"/>
  <c r="B321" i="3"/>
  <c r="B308" i="3"/>
  <c r="B274" i="3"/>
  <c r="B257" i="3"/>
  <c r="B231" i="3"/>
  <c r="B204" i="3"/>
  <c r="B187" i="3"/>
  <c r="B171" i="3"/>
  <c r="B389" i="3"/>
  <c r="B376" i="3"/>
  <c r="B342" i="3"/>
  <c r="B325" i="3"/>
  <c r="B312" i="3"/>
  <c r="B278" i="3"/>
  <c r="B261" i="3"/>
  <c r="B238" i="3"/>
  <c r="B196" i="3"/>
  <c r="B401" i="3"/>
  <c r="B388" i="3"/>
  <c r="B354" i="3"/>
  <c r="B337" i="3"/>
  <c r="B324" i="3"/>
  <c r="B290" i="3"/>
  <c r="B273" i="3"/>
  <c r="B260" i="3"/>
  <c r="B252" i="3"/>
  <c r="B230" i="3"/>
  <c r="B6" i="3"/>
  <c r="B22" i="3"/>
  <c r="B41" i="3"/>
  <c r="B137" i="3"/>
  <c r="B153" i="3"/>
  <c r="B169" i="3"/>
  <c r="B19" i="3"/>
  <c r="B143" i="3"/>
  <c r="B206" i="3"/>
  <c r="B16" i="3"/>
  <c r="B133" i="3"/>
  <c r="B165" i="3"/>
  <c r="B17" i="3"/>
  <c r="B49" i="3"/>
  <c r="B57" i="3"/>
  <c r="B61" i="3"/>
  <c r="B69" i="3"/>
  <c r="B77" i="3"/>
  <c r="B85" i="3"/>
  <c r="B89" i="3"/>
  <c r="B97" i="3"/>
  <c r="B105" i="3"/>
  <c r="B113" i="3"/>
  <c r="B121" i="3"/>
  <c r="B129" i="3"/>
  <c r="B14" i="3"/>
  <c r="B145" i="3"/>
  <c r="B161" i="3"/>
  <c r="B178" i="3"/>
  <c r="B11" i="3"/>
  <c r="B30" i="3"/>
  <c r="B135" i="3"/>
  <c r="B151" i="3"/>
  <c r="B167" i="3"/>
  <c r="B242" i="3"/>
  <c r="B3" i="3"/>
  <c r="B38" i="3"/>
  <c r="B159" i="3"/>
  <c r="B35" i="3"/>
  <c r="B149" i="3"/>
  <c r="B32" i="3"/>
  <c r="B45" i="3"/>
  <c r="B53" i="3"/>
  <c r="B65" i="3"/>
  <c r="B73" i="3"/>
  <c r="B81" i="3"/>
  <c r="B93" i="3"/>
  <c r="B101" i="3"/>
  <c r="B109" i="3"/>
  <c r="B117" i="3"/>
  <c r="B125" i="3"/>
  <c r="B139" i="3"/>
  <c r="B155" i="3"/>
  <c r="B33" i="3"/>
  <c r="B8" i="3"/>
  <c r="B24" i="3"/>
  <c r="B27" i="3"/>
  <c r="B43" i="3"/>
  <c r="B141" i="3"/>
  <c r="B157" i="3"/>
  <c r="B180" i="3"/>
  <c r="O7" i="5"/>
  <c r="B18" i="1"/>
  <c r="E191" i="3" l="1"/>
  <c r="C191" i="3"/>
  <c r="B191" i="4" s="1"/>
  <c r="B195" i="5" s="1"/>
  <c r="D191" i="3"/>
  <c r="G191" i="3" s="1"/>
  <c r="F191" i="4" s="1"/>
  <c r="D32" i="3"/>
  <c r="C32" i="3"/>
  <c r="B32" i="4" s="1"/>
  <c r="B36" i="5" s="1"/>
  <c r="E32" i="3"/>
  <c r="F32" i="3"/>
  <c r="E32" i="4" s="1"/>
  <c r="E36" i="5" s="1"/>
  <c r="D6" i="3"/>
  <c r="C6" i="3"/>
  <c r="B5" i="4" s="1"/>
  <c r="F6" i="3"/>
  <c r="E5" i="4" s="1"/>
  <c r="E6" i="3"/>
  <c r="F257" i="3"/>
  <c r="E257" i="4" s="1"/>
  <c r="E261" i="5" s="1"/>
  <c r="E257" i="3"/>
  <c r="D257" i="3"/>
  <c r="C257" i="3"/>
  <c r="B257" i="4" s="1"/>
  <c r="B261" i="5" s="1"/>
  <c r="F172" i="3"/>
  <c r="E172" i="4" s="1"/>
  <c r="E176" i="5" s="1"/>
  <c r="E172" i="3"/>
  <c r="D172" i="3"/>
  <c r="C172" i="3"/>
  <c r="B172" i="4" s="1"/>
  <c r="B176" i="5" s="1"/>
  <c r="C370" i="3"/>
  <c r="B370" i="4" s="1"/>
  <c r="B374" i="5" s="1"/>
  <c r="F370" i="3"/>
  <c r="E370" i="4" s="1"/>
  <c r="E374" i="5" s="1"/>
  <c r="E370" i="3"/>
  <c r="D370" i="3"/>
  <c r="D80" i="3"/>
  <c r="C80" i="3"/>
  <c r="B80" i="4" s="1"/>
  <c r="B84" i="5" s="1"/>
  <c r="F80" i="3"/>
  <c r="E80" i="4" s="1"/>
  <c r="E84" i="5" s="1"/>
  <c r="E80" i="3"/>
  <c r="D144" i="3"/>
  <c r="C144" i="3"/>
  <c r="B144" i="4" s="1"/>
  <c r="B148" i="5" s="1"/>
  <c r="F144" i="3"/>
  <c r="E144" i="4" s="1"/>
  <c r="E148" i="5" s="1"/>
  <c r="E144" i="3"/>
  <c r="C254" i="3"/>
  <c r="B254" i="4" s="1"/>
  <c r="B258" i="5" s="1"/>
  <c r="D254" i="3"/>
  <c r="F254" i="3"/>
  <c r="E254" i="4" s="1"/>
  <c r="E258" i="5" s="1"/>
  <c r="E254" i="3"/>
  <c r="C346" i="3"/>
  <c r="B346" i="4" s="1"/>
  <c r="B350" i="5" s="1"/>
  <c r="F346" i="3"/>
  <c r="E346" i="4" s="1"/>
  <c r="E350" i="5" s="1"/>
  <c r="E346" i="3"/>
  <c r="D346" i="3"/>
  <c r="E198" i="3"/>
  <c r="D198" i="3"/>
  <c r="F198" i="3"/>
  <c r="E198" i="4" s="1"/>
  <c r="E202" i="5" s="1"/>
  <c r="C198" i="3"/>
  <c r="B198" i="4" s="1"/>
  <c r="B202" i="5" s="1"/>
  <c r="D109" i="3"/>
  <c r="C109" i="3"/>
  <c r="B109" i="4" s="1"/>
  <c r="B113" i="5" s="1"/>
  <c r="F109" i="3"/>
  <c r="E109" i="4" s="1"/>
  <c r="E113" i="5" s="1"/>
  <c r="E109" i="3"/>
  <c r="D206" i="3"/>
  <c r="C206" i="3"/>
  <c r="B206" i="4" s="1"/>
  <c r="B210" i="5" s="1"/>
  <c r="F206" i="3"/>
  <c r="E206" i="4" s="1"/>
  <c r="E210" i="5" s="1"/>
  <c r="E206" i="3"/>
  <c r="F325" i="3"/>
  <c r="E325" i="4" s="1"/>
  <c r="E329" i="5" s="1"/>
  <c r="E325" i="3"/>
  <c r="D325" i="3"/>
  <c r="C325" i="3"/>
  <c r="B325" i="4" s="1"/>
  <c r="B329" i="5" s="1"/>
  <c r="C398" i="3"/>
  <c r="B398" i="4" s="1"/>
  <c r="B402" i="5" s="1"/>
  <c r="E398" i="3"/>
  <c r="D398" i="3"/>
  <c r="F398" i="3"/>
  <c r="E398" i="4" s="1"/>
  <c r="E402" i="5" s="1"/>
  <c r="F220" i="3"/>
  <c r="E220" i="4" s="1"/>
  <c r="E224" i="5" s="1"/>
  <c r="E220" i="3"/>
  <c r="D220" i="3"/>
  <c r="C220" i="3"/>
  <c r="B220" i="4" s="1"/>
  <c r="B224" i="5" s="1"/>
  <c r="D64" i="3"/>
  <c r="C64" i="3"/>
  <c r="B64" i="4" s="1"/>
  <c r="B68" i="5" s="1"/>
  <c r="F64" i="3"/>
  <c r="E64" i="4" s="1"/>
  <c r="E68" i="5" s="1"/>
  <c r="E64" i="3"/>
  <c r="D112" i="3"/>
  <c r="C112" i="3"/>
  <c r="B112" i="4" s="1"/>
  <c r="B116" i="5" s="1"/>
  <c r="F112" i="3"/>
  <c r="E112" i="4" s="1"/>
  <c r="E116" i="5" s="1"/>
  <c r="E112" i="3"/>
  <c r="F174" i="3"/>
  <c r="E174" i="4" s="1"/>
  <c r="E178" i="5" s="1"/>
  <c r="C174" i="3"/>
  <c r="B174" i="4" s="1"/>
  <c r="B178" i="5" s="1"/>
  <c r="E174" i="3"/>
  <c r="D174" i="3"/>
  <c r="F181" i="3"/>
  <c r="E181" i="4" s="1"/>
  <c r="E185" i="5" s="1"/>
  <c r="E181" i="3"/>
  <c r="D181" i="3"/>
  <c r="C181" i="3"/>
  <c r="B181" i="4" s="1"/>
  <c r="B185" i="5" s="1"/>
  <c r="F193" i="3"/>
  <c r="E193" i="4" s="1"/>
  <c r="E197" i="5" s="1"/>
  <c r="C193" i="3"/>
  <c r="B193" i="4" s="1"/>
  <c r="B197" i="5" s="1"/>
  <c r="E193" i="3"/>
  <c r="D193" i="3"/>
  <c r="C362" i="3"/>
  <c r="B362" i="4" s="1"/>
  <c r="B366" i="5" s="1"/>
  <c r="D362" i="3"/>
  <c r="F362" i="3"/>
  <c r="E362" i="4" s="1"/>
  <c r="E366" i="5" s="1"/>
  <c r="E362" i="3"/>
  <c r="C390" i="3"/>
  <c r="B390" i="4" s="1"/>
  <c r="B394" i="5" s="1"/>
  <c r="F390" i="3"/>
  <c r="E390" i="4" s="1"/>
  <c r="E394" i="5" s="1"/>
  <c r="E390" i="3"/>
  <c r="D390" i="3"/>
  <c r="C233" i="3"/>
  <c r="B233" i="4" s="1"/>
  <c r="B237" i="5" s="1"/>
  <c r="F233" i="3"/>
  <c r="E233" i="4" s="1"/>
  <c r="E237" i="5" s="1"/>
  <c r="E233" i="3"/>
  <c r="D233" i="3"/>
  <c r="E311" i="3"/>
  <c r="C311" i="3"/>
  <c r="B311" i="4" s="1"/>
  <c r="B315" i="5" s="1"/>
  <c r="F311" i="3"/>
  <c r="E311" i="4" s="1"/>
  <c r="E315" i="5" s="1"/>
  <c r="D311" i="3"/>
  <c r="E343" i="3"/>
  <c r="C343" i="3"/>
  <c r="B343" i="4" s="1"/>
  <c r="B347" i="5" s="1"/>
  <c r="F343" i="3"/>
  <c r="E343" i="4" s="1"/>
  <c r="E347" i="5" s="1"/>
  <c r="D343" i="3"/>
  <c r="E375" i="3"/>
  <c r="C375" i="3"/>
  <c r="B375" i="4" s="1"/>
  <c r="B379" i="5" s="1"/>
  <c r="F375" i="3"/>
  <c r="E375" i="4" s="1"/>
  <c r="E379" i="5" s="1"/>
  <c r="D375" i="3"/>
  <c r="D75" i="3"/>
  <c r="C75" i="3"/>
  <c r="B75" i="4" s="1"/>
  <c r="B79" i="5" s="1"/>
  <c r="F75" i="3"/>
  <c r="E75" i="4" s="1"/>
  <c r="E79" i="5" s="1"/>
  <c r="E75" i="3"/>
  <c r="D40" i="3"/>
  <c r="C40" i="3"/>
  <c r="B40" i="4" s="1"/>
  <c r="B44" i="5" s="1"/>
  <c r="E40" i="3"/>
  <c r="F40" i="3"/>
  <c r="E40" i="4" s="1"/>
  <c r="E44" i="5" s="1"/>
  <c r="D24" i="3"/>
  <c r="C24" i="3"/>
  <c r="B24" i="4" s="1"/>
  <c r="B28" i="5" s="1"/>
  <c r="E24" i="3"/>
  <c r="F24" i="3"/>
  <c r="E24" i="4" s="1"/>
  <c r="E28" i="5" s="1"/>
  <c r="D101" i="3"/>
  <c r="C101" i="3"/>
  <c r="B101" i="4" s="1"/>
  <c r="B105" i="5" s="1"/>
  <c r="F101" i="3"/>
  <c r="E101" i="4" s="1"/>
  <c r="E105" i="5" s="1"/>
  <c r="E101" i="3"/>
  <c r="D149" i="3"/>
  <c r="C149" i="3"/>
  <c r="B149" i="4" s="1"/>
  <c r="B153" i="5" s="1"/>
  <c r="F149" i="3"/>
  <c r="E149" i="4" s="1"/>
  <c r="E153" i="5" s="1"/>
  <c r="E149" i="3"/>
  <c r="D135" i="3"/>
  <c r="C135" i="3"/>
  <c r="B135" i="4" s="1"/>
  <c r="B139" i="5" s="1"/>
  <c r="F135" i="3"/>
  <c r="E135" i="4" s="1"/>
  <c r="E139" i="5" s="1"/>
  <c r="E135" i="3"/>
  <c r="D121" i="3"/>
  <c r="C121" i="3"/>
  <c r="B121" i="4" s="1"/>
  <c r="B125" i="5" s="1"/>
  <c r="F121" i="3"/>
  <c r="E121" i="4" s="1"/>
  <c r="E125" i="5" s="1"/>
  <c r="E121" i="3"/>
  <c r="D61" i="3"/>
  <c r="C61" i="3"/>
  <c r="B61" i="4" s="1"/>
  <c r="B65" i="5" s="1"/>
  <c r="F61" i="3"/>
  <c r="E61" i="4" s="1"/>
  <c r="E65" i="5" s="1"/>
  <c r="E61" i="3"/>
  <c r="D143" i="3"/>
  <c r="C143" i="3"/>
  <c r="B143" i="4" s="1"/>
  <c r="B147" i="5" s="1"/>
  <c r="F143" i="3"/>
  <c r="E143" i="4" s="1"/>
  <c r="E147" i="5" s="1"/>
  <c r="E143" i="3"/>
  <c r="C230" i="3"/>
  <c r="B230" i="4" s="1"/>
  <c r="B234" i="5" s="1"/>
  <c r="E230" i="3"/>
  <c r="D230" i="3"/>
  <c r="F230" i="3"/>
  <c r="E230" i="4" s="1"/>
  <c r="E234" i="5" s="1"/>
  <c r="D388" i="3"/>
  <c r="C388" i="3"/>
  <c r="B388" i="4" s="1"/>
  <c r="B392" i="5" s="1"/>
  <c r="F388" i="3"/>
  <c r="E388" i="4" s="1"/>
  <c r="E392" i="5" s="1"/>
  <c r="E388" i="3"/>
  <c r="C342" i="3"/>
  <c r="B342" i="4" s="1"/>
  <c r="B346" i="5" s="1"/>
  <c r="F342" i="3"/>
  <c r="E342" i="4" s="1"/>
  <c r="E346" i="5" s="1"/>
  <c r="E342" i="3"/>
  <c r="D342" i="3"/>
  <c r="C274" i="3"/>
  <c r="B274" i="4" s="1"/>
  <c r="B278" i="5" s="1"/>
  <c r="F274" i="3"/>
  <c r="E274" i="4" s="1"/>
  <c r="E278" i="5" s="1"/>
  <c r="E274" i="3"/>
  <c r="D274" i="3"/>
  <c r="D199" i="3"/>
  <c r="C199" i="3"/>
  <c r="B199" i="4" s="1"/>
  <c r="B203" i="5" s="1"/>
  <c r="F199" i="3"/>
  <c r="E199" i="4" s="1"/>
  <c r="E203" i="5" s="1"/>
  <c r="E199" i="3"/>
  <c r="C386" i="3"/>
  <c r="B386" i="4" s="1"/>
  <c r="B390" i="5" s="1"/>
  <c r="E386" i="3"/>
  <c r="D386" i="3"/>
  <c r="F386" i="3"/>
  <c r="E386" i="4" s="1"/>
  <c r="E390" i="5" s="1"/>
  <c r="F188" i="3"/>
  <c r="E188" i="4" s="1"/>
  <c r="E192" i="5" s="1"/>
  <c r="E188" i="3"/>
  <c r="D188" i="3"/>
  <c r="C188" i="3"/>
  <c r="B188" i="4" s="1"/>
  <c r="B192" i="5" s="1"/>
  <c r="C374" i="3"/>
  <c r="B374" i="4" s="1"/>
  <c r="B378" i="5" s="1"/>
  <c r="F374" i="3"/>
  <c r="E374" i="4" s="1"/>
  <c r="E378" i="5" s="1"/>
  <c r="E374" i="3"/>
  <c r="D374" i="3"/>
  <c r="D250" i="3"/>
  <c r="C250" i="3"/>
  <c r="B250" i="4" s="1"/>
  <c r="B254" i="5" s="1"/>
  <c r="F250" i="3"/>
  <c r="E250" i="4" s="1"/>
  <c r="E254" i="5" s="1"/>
  <c r="E250" i="3"/>
  <c r="D15" i="3"/>
  <c r="C15" i="3"/>
  <c r="B13" i="4" s="1"/>
  <c r="E15" i="3"/>
  <c r="F15" i="3"/>
  <c r="E13" i="4" s="1"/>
  <c r="D226" i="3"/>
  <c r="C226" i="3"/>
  <c r="B226" i="4" s="1"/>
  <c r="B230" i="5" s="1"/>
  <c r="F226" i="3"/>
  <c r="E226" i="4" s="1"/>
  <c r="E230" i="5" s="1"/>
  <c r="E226" i="3"/>
  <c r="D4" i="3"/>
  <c r="C4" i="3"/>
  <c r="B9" i="4" s="1"/>
  <c r="F4" i="3"/>
  <c r="E9" i="4" s="1"/>
  <c r="E4" i="3"/>
  <c r="D50" i="3"/>
  <c r="C50" i="3"/>
  <c r="B50" i="4" s="1"/>
  <c r="B54" i="5" s="1"/>
  <c r="F50" i="3"/>
  <c r="E50" i="4" s="1"/>
  <c r="E54" i="5" s="1"/>
  <c r="E50" i="3"/>
  <c r="D66" i="3"/>
  <c r="C66" i="3"/>
  <c r="B66" i="4" s="1"/>
  <c r="B70" i="5" s="1"/>
  <c r="F66" i="3"/>
  <c r="E66" i="4" s="1"/>
  <c r="E70" i="5" s="1"/>
  <c r="E66" i="3"/>
  <c r="D82" i="3"/>
  <c r="C82" i="3"/>
  <c r="B82" i="4" s="1"/>
  <c r="B86" i="5" s="1"/>
  <c r="F82" i="3"/>
  <c r="E82" i="4" s="1"/>
  <c r="E86" i="5" s="1"/>
  <c r="E82" i="3"/>
  <c r="D98" i="3"/>
  <c r="C98" i="3"/>
  <c r="B98" i="4" s="1"/>
  <c r="B102" i="5" s="1"/>
  <c r="F98" i="3"/>
  <c r="E98" i="4" s="1"/>
  <c r="E102" i="5" s="1"/>
  <c r="E98" i="3"/>
  <c r="D114" i="3"/>
  <c r="C114" i="3"/>
  <c r="B114" i="4" s="1"/>
  <c r="B118" i="5" s="1"/>
  <c r="F114" i="3"/>
  <c r="E114" i="4" s="1"/>
  <c r="E118" i="5" s="1"/>
  <c r="E114" i="3"/>
  <c r="D130" i="3"/>
  <c r="C130" i="3"/>
  <c r="B130" i="4" s="1"/>
  <c r="B134" i="5" s="1"/>
  <c r="F130" i="3"/>
  <c r="E130" i="4" s="1"/>
  <c r="E134" i="5" s="1"/>
  <c r="E130" i="3"/>
  <c r="D146" i="3"/>
  <c r="C146" i="3"/>
  <c r="B146" i="4" s="1"/>
  <c r="B150" i="5" s="1"/>
  <c r="F146" i="3"/>
  <c r="E146" i="4" s="1"/>
  <c r="E150" i="5" s="1"/>
  <c r="E146" i="3"/>
  <c r="D162" i="3"/>
  <c r="C162" i="3"/>
  <c r="B162" i="4" s="1"/>
  <c r="B166" i="5" s="1"/>
  <c r="F162" i="3"/>
  <c r="E162" i="4" s="1"/>
  <c r="E166" i="5" s="1"/>
  <c r="E162" i="3"/>
  <c r="D272" i="3"/>
  <c r="C272" i="3"/>
  <c r="B272" i="4" s="1"/>
  <c r="B276" i="5" s="1"/>
  <c r="F272" i="3"/>
  <c r="E272" i="4" s="1"/>
  <c r="E276" i="5" s="1"/>
  <c r="E272" i="3"/>
  <c r="F182" i="3"/>
  <c r="E182" i="4" s="1"/>
  <c r="E186" i="5" s="1"/>
  <c r="C182" i="3"/>
  <c r="B182" i="4" s="1"/>
  <c r="B186" i="5" s="1"/>
  <c r="E182" i="3"/>
  <c r="D182" i="3"/>
  <c r="D256" i="3"/>
  <c r="C256" i="3"/>
  <c r="B256" i="4" s="1"/>
  <c r="B260" i="5" s="1"/>
  <c r="E256" i="3"/>
  <c r="F256" i="3"/>
  <c r="E256" i="4" s="1"/>
  <c r="E260" i="5" s="1"/>
  <c r="C350" i="3"/>
  <c r="B350" i="4" s="1"/>
  <c r="B354" i="5" s="1"/>
  <c r="D350" i="3"/>
  <c r="F350" i="3"/>
  <c r="E350" i="4" s="1"/>
  <c r="E354" i="5" s="1"/>
  <c r="E350" i="3"/>
  <c r="F189" i="3"/>
  <c r="E189" i="4" s="1"/>
  <c r="E193" i="5" s="1"/>
  <c r="D189" i="3"/>
  <c r="C189" i="3"/>
  <c r="B189" i="4" s="1"/>
  <c r="B193" i="5" s="1"/>
  <c r="E189" i="3"/>
  <c r="F265" i="3"/>
  <c r="E265" i="4" s="1"/>
  <c r="E269" i="5" s="1"/>
  <c r="E265" i="3"/>
  <c r="D265" i="3"/>
  <c r="C265" i="3"/>
  <c r="B265" i="4" s="1"/>
  <c r="B269" i="5" s="1"/>
  <c r="D348" i="3"/>
  <c r="C348" i="3"/>
  <c r="B348" i="4" s="1"/>
  <c r="B352" i="5" s="1"/>
  <c r="F348" i="3"/>
  <c r="E348" i="4" s="1"/>
  <c r="E352" i="5" s="1"/>
  <c r="E348" i="3"/>
  <c r="E203" i="3"/>
  <c r="C203" i="3"/>
  <c r="B203" i="4" s="1"/>
  <c r="B207" i="5" s="1"/>
  <c r="F203" i="3"/>
  <c r="E203" i="4" s="1"/>
  <c r="E207" i="5" s="1"/>
  <c r="D203" i="3"/>
  <c r="F281" i="3"/>
  <c r="E281" i="4" s="1"/>
  <c r="E285" i="5" s="1"/>
  <c r="E281" i="3"/>
  <c r="C281" i="3"/>
  <c r="B281" i="4" s="1"/>
  <c r="B285" i="5" s="1"/>
  <c r="D281" i="3"/>
  <c r="D364" i="3"/>
  <c r="C364" i="3"/>
  <c r="B364" i="4" s="1"/>
  <c r="B368" i="5" s="1"/>
  <c r="E364" i="3"/>
  <c r="F364" i="3"/>
  <c r="E364" i="4" s="1"/>
  <c r="E368" i="5" s="1"/>
  <c r="F213" i="3"/>
  <c r="E213" i="4" s="1"/>
  <c r="E217" i="5" s="1"/>
  <c r="E213" i="3"/>
  <c r="D213" i="3"/>
  <c r="C213" i="3"/>
  <c r="B213" i="4" s="1"/>
  <c r="B217" i="5" s="1"/>
  <c r="F309" i="3"/>
  <c r="E309" i="4" s="1"/>
  <c r="E313" i="5" s="1"/>
  <c r="E309" i="3"/>
  <c r="D309" i="3"/>
  <c r="C309" i="3"/>
  <c r="B309" i="4" s="1"/>
  <c r="B313" i="5" s="1"/>
  <c r="D392" i="3"/>
  <c r="C392" i="3"/>
  <c r="B392" i="4" s="1"/>
  <c r="B396" i="5" s="1"/>
  <c r="F392" i="3"/>
  <c r="E392" i="4" s="1"/>
  <c r="E396" i="5" s="1"/>
  <c r="E392" i="3"/>
  <c r="C241" i="3"/>
  <c r="B241" i="4" s="1"/>
  <c r="B245" i="5" s="1"/>
  <c r="F241" i="3"/>
  <c r="E241" i="4" s="1"/>
  <c r="E245" i="5" s="1"/>
  <c r="E241" i="3"/>
  <c r="D241" i="3"/>
  <c r="E248" i="3"/>
  <c r="C248" i="3"/>
  <c r="B248" i="4" s="1"/>
  <c r="B252" i="5" s="1"/>
  <c r="F248" i="3"/>
  <c r="E248" i="4" s="1"/>
  <c r="E252" i="5" s="1"/>
  <c r="D248" i="3"/>
  <c r="E283" i="3"/>
  <c r="D283" i="3"/>
  <c r="C283" i="3"/>
  <c r="B283" i="4" s="1"/>
  <c r="B287" i="5" s="1"/>
  <c r="F283" i="3"/>
  <c r="E283" i="4" s="1"/>
  <c r="E287" i="5" s="1"/>
  <c r="E315" i="3"/>
  <c r="D315" i="3"/>
  <c r="C315" i="3"/>
  <c r="B315" i="4" s="1"/>
  <c r="B319" i="5" s="1"/>
  <c r="F315" i="3"/>
  <c r="E315" i="4" s="1"/>
  <c r="E319" i="5" s="1"/>
  <c r="E347" i="3"/>
  <c r="D347" i="3"/>
  <c r="C347" i="3"/>
  <c r="B347" i="4" s="1"/>
  <c r="B351" i="5" s="1"/>
  <c r="F347" i="3"/>
  <c r="E347" i="4" s="1"/>
  <c r="E351" i="5" s="1"/>
  <c r="E379" i="3"/>
  <c r="D379" i="3"/>
  <c r="C379" i="3"/>
  <c r="B379" i="4" s="1"/>
  <c r="B383" i="5" s="1"/>
  <c r="F379" i="3"/>
  <c r="E379" i="4" s="1"/>
  <c r="E383" i="5" s="1"/>
  <c r="D147" i="3"/>
  <c r="C147" i="3"/>
  <c r="B147" i="4" s="1"/>
  <c r="B151" i="5" s="1"/>
  <c r="F147" i="3"/>
  <c r="E147" i="4" s="1"/>
  <c r="E151" i="5" s="1"/>
  <c r="E147" i="3"/>
  <c r="D103" i="3"/>
  <c r="C103" i="3"/>
  <c r="B103" i="4" s="1"/>
  <c r="B107" i="5" s="1"/>
  <c r="F103" i="3"/>
  <c r="E103" i="4" s="1"/>
  <c r="E107" i="5" s="1"/>
  <c r="E103" i="3"/>
  <c r="D71" i="3"/>
  <c r="C71" i="3"/>
  <c r="B71" i="4" s="1"/>
  <c r="B75" i="5" s="1"/>
  <c r="F71" i="3"/>
  <c r="E71" i="4" s="1"/>
  <c r="E75" i="5" s="1"/>
  <c r="E71" i="3"/>
  <c r="D25" i="3"/>
  <c r="C25" i="3"/>
  <c r="B25" i="4" s="1"/>
  <c r="B29" i="5" s="1"/>
  <c r="F25" i="3"/>
  <c r="E25" i="4" s="1"/>
  <c r="E29" i="5" s="1"/>
  <c r="E25" i="3"/>
  <c r="D8" i="3"/>
  <c r="C8" i="3"/>
  <c r="B7" i="4" s="1"/>
  <c r="E8" i="3"/>
  <c r="F8" i="3"/>
  <c r="E7" i="4" s="1"/>
  <c r="D93" i="3"/>
  <c r="C93" i="3"/>
  <c r="B93" i="4" s="1"/>
  <c r="B97" i="5" s="1"/>
  <c r="F93" i="3"/>
  <c r="E93" i="4" s="1"/>
  <c r="E97" i="5" s="1"/>
  <c r="E93" i="3"/>
  <c r="D35" i="3"/>
  <c r="C35" i="3"/>
  <c r="B35" i="4" s="1"/>
  <c r="B39" i="5" s="1"/>
  <c r="F35" i="3"/>
  <c r="E35" i="4" s="1"/>
  <c r="E39" i="5" s="1"/>
  <c r="E35" i="3"/>
  <c r="D30" i="3"/>
  <c r="C30" i="3"/>
  <c r="B30" i="4" s="1"/>
  <c r="B34" i="5" s="1"/>
  <c r="E30" i="3"/>
  <c r="F30" i="3"/>
  <c r="E30" i="4" s="1"/>
  <c r="E34" i="5" s="1"/>
  <c r="D113" i="3"/>
  <c r="C113" i="3"/>
  <c r="B113" i="4" s="1"/>
  <c r="B117" i="5" s="1"/>
  <c r="F113" i="3"/>
  <c r="E113" i="4" s="1"/>
  <c r="E117" i="5" s="1"/>
  <c r="E113" i="3"/>
  <c r="D57" i="3"/>
  <c r="C57" i="3"/>
  <c r="B57" i="4" s="1"/>
  <c r="B61" i="5" s="1"/>
  <c r="F57" i="3"/>
  <c r="E57" i="4" s="1"/>
  <c r="E61" i="5" s="1"/>
  <c r="E57" i="3"/>
  <c r="D19" i="3"/>
  <c r="C19" i="3"/>
  <c r="B19" i="4" s="1"/>
  <c r="B23" i="5" s="1"/>
  <c r="F19" i="3"/>
  <c r="E19" i="4" s="1"/>
  <c r="E23" i="5" s="1"/>
  <c r="E19" i="3"/>
  <c r="F252" i="3"/>
  <c r="E252" i="4" s="1"/>
  <c r="E256" i="5" s="1"/>
  <c r="E252" i="3"/>
  <c r="D252" i="3"/>
  <c r="C252" i="3"/>
  <c r="B252" i="4" s="1"/>
  <c r="B256" i="5" s="1"/>
  <c r="F401" i="3"/>
  <c r="E401" i="4" s="1"/>
  <c r="E405" i="5" s="1"/>
  <c r="E401" i="3"/>
  <c r="D401" i="3"/>
  <c r="C401" i="3"/>
  <c r="B401" i="4" s="1"/>
  <c r="B405" i="5" s="1"/>
  <c r="D376" i="3"/>
  <c r="C376" i="3"/>
  <c r="B376" i="4" s="1"/>
  <c r="B380" i="5" s="1"/>
  <c r="F376" i="3"/>
  <c r="E376" i="4" s="1"/>
  <c r="E380" i="5" s="1"/>
  <c r="E376" i="3"/>
  <c r="D308" i="3"/>
  <c r="C308" i="3"/>
  <c r="B308" i="4" s="1"/>
  <c r="B312" i="5" s="1"/>
  <c r="F308" i="3"/>
  <c r="E308" i="4" s="1"/>
  <c r="E312" i="5" s="1"/>
  <c r="E308" i="3"/>
  <c r="C270" i="3"/>
  <c r="B270" i="4" s="1"/>
  <c r="B274" i="5" s="1"/>
  <c r="E270" i="3"/>
  <c r="D270" i="3"/>
  <c r="F270" i="3"/>
  <c r="E270" i="4" s="1"/>
  <c r="E274" i="5" s="1"/>
  <c r="D13" i="3"/>
  <c r="C13" i="3"/>
  <c r="B11" i="4" s="1"/>
  <c r="B17" i="5" s="1"/>
  <c r="F13" i="3"/>
  <c r="E11" i="4" s="1"/>
  <c r="E13" i="3"/>
  <c r="F223" i="3"/>
  <c r="E223" i="4" s="1"/>
  <c r="E227" i="5" s="1"/>
  <c r="E223" i="3"/>
  <c r="D223" i="3"/>
  <c r="C223" i="3"/>
  <c r="B223" i="4" s="1"/>
  <c r="B227" i="5" s="1"/>
  <c r="D5" i="3"/>
  <c r="C5" i="3"/>
  <c r="B4" i="4" s="1"/>
  <c r="F5" i="3"/>
  <c r="E4" i="4" s="1"/>
  <c r="E5" i="3"/>
  <c r="C258" i="3"/>
  <c r="B258" i="4" s="1"/>
  <c r="B262" i="5" s="1"/>
  <c r="E258" i="3"/>
  <c r="D258" i="3"/>
  <c r="F258" i="3"/>
  <c r="E258" i="4" s="1"/>
  <c r="E262" i="5" s="1"/>
  <c r="D23" i="3"/>
  <c r="C23" i="3"/>
  <c r="B23" i="4" s="1"/>
  <c r="B27" i="5" s="1"/>
  <c r="E23" i="3"/>
  <c r="F23" i="3"/>
  <c r="E23" i="4" s="1"/>
  <c r="E27" i="5" s="1"/>
  <c r="E251" i="3"/>
  <c r="D251" i="3"/>
  <c r="F251" i="3"/>
  <c r="E251" i="4" s="1"/>
  <c r="E255" i="5" s="1"/>
  <c r="C251" i="3"/>
  <c r="B251" i="4" s="1"/>
  <c r="B255" i="5" s="1"/>
  <c r="D12" i="3"/>
  <c r="C12" i="3"/>
  <c r="B10" i="4" s="1"/>
  <c r="F12" i="3"/>
  <c r="E10" i="4" s="1"/>
  <c r="E12" i="3"/>
  <c r="D52" i="3"/>
  <c r="C52" i="3"/>
  <c r="B52" i="4" s="1"/>
  <c r="B56" i="5" s="1"/>
  <c r="F52" i="3"/>
  <c r="E52" i="4" s="1"/>
  <c r="E56" i="5" s="1"/>
  <c r="E52" i="3"/>
  <c r="D68" i="3"/>
  <c r="C68" i="3"/>
  <c r="B68" i="4" s="1"/>
  <c r="B72" i="5" s="1"/>
  <c r="F68" i="3"/>
  <c r="E68" i="4" s="1"/>
  <c r="E72" i="5" s="1"/>
  <c r="E68" i="3"/>
  <c r="D84" i="3"/>
  <c r="C84" i="3"/>
  <c r="B84" i="4" s="1"/>
  <c r="B88" i="5" s="1"/>
  <c r="F84" i="3"/>
  <c r="E84" i="4" s="1"/>
  <c r="E88" i="5" s="1"/>
  <c r="E84" i="3"/>
  <c r="D100" i="3"/>
  <c r="C100" i="3"/>
  <c r="B100" i="4" s="1"/>
  <c r="B104" i="5" s="1"/>
  <c r="F100" i="3"/>
  <c r="E100" i="4" s="1"/>
  <c r="E104" i="5" s="1"/>
  <c r="E100" i="3"/>
  <c r="D116" i="3"/>
  <c r="C116" i="3"/>
  <c r="B116" i="4" s="1"/>
  <c r="B120" i="5" s="1"/>
  <c r="F116" i="3"/>
  <c r="E116" i="4" s="1"/>
  <c r="E120" i="5" s="1"/>
  <c r="E116" i="3"/>
  <c r="D132" i="3"/>
  <c r="C132" i="3"/>
  <c r="B132" i="4" s="1"/>
  <c r="B136" i="5" s="1"/>
  <c r="F132" i="3"/>
  <c r="E132" i="4" s="1"/>
  <c r="E136" i="5" s="1"/>
  <c r="E132" i="3"/>
  <c r="D148" i="3"/>
  <c r="C148" i="3"/>
  <c r="B148" i="4" s="1"/>
  <c r="B152" i="5" s="1"/>
  <c r="F148" i="3"/>
  <c r="E148" i="4" s="1"/>
  <c r="E152" i="5" s="1"/>
  <c r="E148" i="3"/>
  <c r="D164" i="3"/>
  <c r="C164" i="3"/>
  <c r="B164" i="4" s="1"/>
  <c r="B168" i="5" s="1"/>
  <c r="F164" i="3"/>
  <c r="E164" i="4" s="1"/>
  <c r="E168" i="5" s="1"/>
  <c r="E164" i="3"/>
  <c r="F285" i="3"/>
  <c r="E285" i="4" s="1"/>
  <c r="E289" i="5" s="1"/>
  <c r="E285" i="3"/>
  <c r="D285" i="3"/>
  <c r="C285" i="3"/>
  <c r="B285" i="4" s="1"/>
  <c r="B289" i="5" s="1"/>
  <c r="F190" i="3"/>
  <c r="E190" i="4" s="1"/>
  <c r="E194" i="5" s="1"/>
  <c r="C190" i="3"/>
  <c r="B190" i="4" s="1"/>
  <c r="B194" i="5" s="1"/>
  <c r="E190" i="3"/>
  <c r="D190" i="3"/>
  <c r="F269" i="3"/>
  <c r="E269" i="4" s="1"/>
  <c r="E273" i="5" s="1"/>
  <c r="E269" i="3"/>
  <c r="C269" i="3"/>
  <c r="B269" i="4" s="1"/>
  <c r="B273" i="5" s="1"/>
  <c r="D269" i="3"/>
  <c r="D352" i="3"/>
  <c r="C352" i="3"/>
  <c r="B352" i="4" s="1"/>
  <c r="B356" i="5" s="1"/>
  <c r="E352" i="3"/>
  <c r="F352" i="3"/>
  <c r="E352" i="4" s="1"/>
  <c r="E356" i="5" s="1"/>
  <c r="C201" i="3"/>
  <c r="B201" i="4" s="1"/>
  <c r="B205" i="5" s="1"/>
  <c r="F201" i="3"/>
  <c r="E201" i="4" s="1"/>
  <c r="E205" i="5" s="1"/>
  <c r="E201" i="3"/>
  <c r="D201" i="3"/>
  <c r="C282" i="3"/>
  <c r="B282" i="4" s="1"/>
  <c r="B286" i="5" s="1"/>
  <c r="F282" i="3"/>
  <c r="E282" i="4" s="1"/>
  <c r="E286" i="5" s="1"/>
  <c r="E282" i="3"/>
  <c r="D282" i="3"/>
  <c r="F361" i="3"/>
  <c r="E361" i="4" s="1"/>
  <c r="E365" i="5" s="1"/>
  <c r="E361" i="3"/>
  <c r="D361" i="3"/>
  <c r="C361" i="3"/>
  <c r="B361" i="4" s="1"/>
  <c r="B365" i="5" s="1"/>
  <c r="C207" i="3"/>
  <c r="B207" i="4" s="1"/>
  <c r="B211" i="5" s="1"/>
  <c r="F207" i="3"/>
  <c r="E207" i="4" s="1"/>
  <c r="E211" i="5" s="1"/>
  <c r="E207" i="3"/>
  <c r="D207" i="3"/>
  <c r="C298" i="3"/>
  <c r="B298" i="4" s="1"/>
  <c r="B302" i="5" s="1"/>
  <c r="D298" i="3"/>
  <c r="F298" i="3"/>
  <c r="E298" i="4" s="1"/>
  <c r="E302" i="5" s="1"/>
  <c r="E298" i="3"/>
  <c r="F377" i="3"/>
  <c r="E377" i="4" s="1"/>
  <c r="E381" i="5" s="1"/>
  <c r="E377" i="3"/>
  <c r="C377" i="3"/>
  <c r="B377" i="4" s="1"/>
  <c r="B381" i="5" s="1"/>
  <c r="D377" i="3"/>
  <c r="E219" i="3"/>
  <c r="D219" i="3"/>
  <c r="F219" i="3"/>
  <c r="E219" i="4" s="1"/>
  <c r="E223" i="5" s="1"/>
  <c r="C219" i="3"/>
  <c r="B219" i="4" s="1"/>
  <c r="B223" i="5" s="1"/>
  <c r="C326" i="3"/>
  <c r="B326" i="4" s="1"/>
  <c r="B330" i="5" s="1"/>
  <c r="F326" i="3"/>
  <c r="E326" i="4" s="1"/>
  <c r="E330" i="5" s="1"/>
  <c r="E326" i="3"/>
  <c r="D326" i="3"/>
  <c r="F237" i="3"/>
  <c r="E237" i="4" s="1"/>
  <c r="E241" i="5" s="1"/>
  <c r="C237" i="3"/>
  <c r="B237" i="4" s="1"/>
  <c r="B241" i="5" s="1"/>
  <c r="E237" i="3"/>
  <c r="D237" i="3"/>
  <c r="C249" i="3"/>
  <c r="B249" i="4" s="1"/>
  <c r="B253" i="5" s="1"/>
  <c r="F249" i="3"/>
  <c r="E249" i="4" s="1"/>
  <c r="E253" i="5" s="1"/>
  <c r="E249" i="3"/>
  <c r="D249" i="3"/>
  <c r="E255" i="3"/>
  <c r="F255" i="3"/>
  <c r="E255" i="4" s="1"/>
  <c r="E259" i="5" s="1"/>
  <c r="D255" i="3"/>
  <c r="C255" i="3"/>
  <c r="B255" i="4" s="1"/>
  <c r="B259" i="5" s="1"/>
  <c r="E287" i="3"/>
  <c r="F287" i="3"/>
  <c r="E287" i="4" s="1"/>
  <c r="E291" i="5" s="1"/>
  <c r="D287" i="3"/>
  <c r="C287" i="3"/>
  <c r="B287" i="4" s="1"/>
  <c r="B291" i="5" s="1"/>
  <c r="E319" i="3"/>
  <c r="F319" i="3"/>
  <c r="E319" i="4" s="1"/>
  <c r="E323" i="5" s="1"/>
  <c r="D319" i="3"/>
  <c r="C319" i="3"/>
  <c r="B319" i="4" s="1"/>
  <c r="B323" i="5" s="1"/>
  <c r="E351" i="3"/>
  <c r="F351" i="3"/>
  <c r="E351" i="4" s="1"/>
  <c r="E355" i="5" s="1"/>
  <c r="D351" i="3"/>
  <c r="C351" i="3"/>
  <c r="B351" i="4" s="1"/>
  <c r="B355" i="5" s="1"/>
  <c r="E383" i="3"/>
  <c r="F383" i="3"/>
  <c r="E383" i="4" s="1"/>
  <c r="E387" i="5" s="1"/>
  <c r="D383" i="3"/>
  <c r="C383" i="3"/>
  <c r="B383" i="4" s="1"/>
  <c r="B387" i="5" s="1"/>
  <c r="D131" i="3"/>
  <c r="C131" i="3"/>
  <c r="B131" i="4" s="1"/>
  <c r="B135" i="5" s="1"/>
  <c r="F131" i="3"/>
  <c r="E131" i="4" s="1"/>
  <c r="E135" i="5" s="1"/>
  <c r="E131" i="3"/>
  <c r="D99" i="3"/>
  <c r="C99" i="3"/>
  <c r="B99" i="4" s="1"/>
  <c r="B103" i="5" s="1"/>
  <c r="F99" i="3"/>
  <c r="E99" i="4" s="1"/>
  <c r="E103" i="5" s="1"/>
  <c r="E99" i="3"/>
  <c r="D67" i="3"/>
  <c r="C67" i="3"/>
  <c r="B67" i="4" s="1"/>
  <c r="B71" i="5" s="1"/>
  <c r="F67" i="3"/>
  <c r="E67" i="4" s="1"/>
  <c r="E71" i="5" s="1"/>
  <c r="E67" i="3"/>
  <c r="D9" i="3"/>
  <c r="C9" i="3"/>
  <c r="B8" i="4" s="1"/>
  <c r="F9" i="3"/>
  <c r="E8" i="4" s="1"/>
  <c r="E9" i="3"/>
  <c r="D163" i="3"/>
  <c r="C163" i="3"/>
  <c r="B163" i="4" s="1"/>
  <c r="B167" i="5" s="1"/>
  <c r="F163" i="3"/>
  <c r="E163" i="4" s="1"/>
  <c r="E167" i="5" s="1"/>
  <c r="E163" i="3"/>
  <c r="D11" i="3"/>
  <c r="C11" i="3"/>
  <c r="B16" i="4" s="1"/>
  <c r="F11" i="3"/>
  <c r="E16" i="4" s="1"/>
  <c r="E11" i="3"/>
  <c r="D49" i="3"/>
  <c r="C49" i="3"/>
  <c r="B49" i="4" s="1"/>
  <c r="B53" i="5" s="1"/>
  <c r="F49" i="3"/>
  <c r="E49" i="4" s="1"/>
  <c r="E53" i="5" s="1"/>
  <c r="E49" i="3"/>
  <c r="F389" i="3"/>
  <c r="E389" i="4" s="1"/>
  <c r="E393" i="5" s="1"/>
  <c r="E389" i="3"/>
  <c r="D389" i="3"/>
  <c r="C389" i="3"/>
  <c r="B389" i="4" s="1"/>
  <c r="B393" i="5" s="1"/>
  <c r="D304" i="3"/>
  <c r="C304" i="3"/>
  <c r="B304" i="4" s="1"/>
  <c r="B308" i="5" s="1"/>
  <c r="F304" i="3"/>
  <c r="E304" i="4" s="1"/>
  <c r="E308" i="5" s="1"/>
  <c r="E304" i="3"/>
  <c r="D21" i="3"/>
  <c r="C21" i="3"/>
  <c r="B21" i="4" s="1"/>
  <c r="B25" i="5" s="1"/>
  <c r="F21" i="3"/>
  <c r="E21" i="4" s="1"/>
  <c r="E25" i="5" s="1"/>
  <c r="E21" i="3"/>
  <c r="D276" i="3"/>
  <c r="C276" i="3"/>
  <c r="B276" i="4" s="1"/>
  <c r="B280" i="5" s="1"/>
  <c r="F276" i="3"/>
  <c r="E276" i="4" s="1"/>
  <c r="E280" i="5" s="1"/>
  <c r="E276" i="3"/>
  <c r="D54" i="3"/>
  <c r="C54" i="3"/>
  <c r="B54" i="4" s="1"/>
  <c r="B58" i="5" s="1"/>
  <c r="F54" i="3"/>
  <c r="E54" i="4" s="1"/>
  <c r="E58" i="5" s="1"/>
  <c r="E54" i="3"/>
  <c r="D102" i="3"/>
  <c r="C102" i="3"/>
  <c r="B102" i="4" s="1"/>
  <c r="B106" i="5" s="1"/>
  <c r="F102" i="3"/>
  <c r="E102" i="4" s="1"/>
  <c r="E106" i="5" s="1"/>
  <c r="E102" i="3"/>
  <c r="C302" i="3"/>
  <c r="B302" i="4" s="1"/>
  <c r="B306" i="5" s="1"/>
  <c r="E302" i="3"/>
  <c r="D302" i="3"/>
  <c r="F302" i="3"/>
  <c r="E302" i="4" s="1"/>
  <c r="E306" i="5" s="1"/>
  <c r="C197" i="3"/>
  <c r="B197" i="4" s="1"/>
  <c r="B201" i="5" s="1"/>
  <c r="F197" i="3"/>
  <c r="E197" i="4" s="1"/>
  <c r="E201" i="5" s="1"/>
  <c r="E197" i="3"/>
  <c r="D197" i="3"/>
  <c r="C286" i="3"/>
  <c r="B286" i="4" s="1"/>
  <c r="B290" i="5" s="1"/>
  <c r="D286" i="3"/>
  <c r="F286" i="3"/>
  <c r="E286" i="4" s="1"/>
  <c r="E290" i="5" s="1"/>
  <c r="E286" i="3"/>
  <c r="F365" i="3"/>
  <c r="E365" i="4" s="1"/>
  <c r="E369" i="5" s="1"/>
  <c r="E365" i="3"/>
  <c r="C365" i="3"/>
  <c r="B365" i="4" s="1"/>
  <c r="B369" i="5" s="1"/>
  <c r="D365" i="3"/>
  <c r="F205" i="3"/>
  <c r="E205" i="4" s="1"/>
  <c r="E209" i="5" s="1"/>
  <c r="E205" i="3"/>
  <c r="D205" i="3"/>
  <c r="C205" i="3"/>
  <c r="B205" i="4" s="1"/>
  <c r="B209" i="5" s="1"/>
  <c r="D284" i="3"/>
  <c r="C284" i="3"/>
  <c r="B284" i="4" s="1"/>
  <c r="B288" i="5" s="1"/>
  <c r="F284" i="3"/>
  <c r="E284" i="4" s="1"/>
  <c r="E288" i="5" s="1"/>
  <c r="E284" i="3"/>
  <c r="C378" i="3"/>
  <c r="B378" i="4" s="1"/>
  <c r="B382" i="5" s="1"/>
  <c r="F378" i="3"/>
  <c r="E378" i="4" s="1"/>
  <c r="E382" i="5" s="1"/>
  <c r="E378" i="3"/>
  <c r="D378" i="3"/>
  <c r="C222" i="3"/>
  <c r="B222" i="4" s="1"/>
  <c r="B226" i="5" s="1"/>
  <c r="F222" i="3"/>
  <c r="E222" i="4" s="1"/>
  <c r="E226" i="5" s="1"/>
  <c r="E222" i="3"/>
  <c r="D222" i="3"/>
  <c r="D300" i="3"/>
  <c r="C300" i="3"/>
  <c r="B300" i="4" s="1"/>
  <c r="B304" i="5" s="1"/>
  <c r="E300" i="3"/>
  <c r="F300" i="3"/>
  <c r="E300" i="4" s="1"/>
  <c r="E304" i="5" s="1"/>
  <c r="C394" i="3"/>
  <c r="B394" i="4" s="1"/>
  <c r="B398" i="5" s="1"/>
  <c r="D394" i="3"/>
  <c r="F394" i="3"/>
  <c r="E394" i="4" s="1"/>
  <c r="E398" i="5" s="1"/>
  <c r="E394" i="3"/>
  <c r="D239" i="3"/>
  <c r="F239" i="3"/>
  <c r="E239" i="4" s="1"/>
  <c r="E243" i="5" s="1"/>
  <c r="E239" i="3"/>
  <c r="C239" i="3"/>
  <c r="B239" i="4" s="1"/>
  <c r="B243" i="5" s="1"/>
  <c r="D328" i="3"/>
  <c r="C328" i="3"/>
  <c r="B328" i="4" s="1"/>
  <c r="B332" i="5" s="1"/>
  <c r="F328" i="3"/>
  <c r="E328" i="4" s="1"/>
  <c r="E332" i="5" s="1"/>
  <c r="E328" i="3"/>
  <c r="F245" i="3"/>
  <c r="E245" i="4" s="1"/>
  <c r="E249" i="5" s="1"/>
  <c r="C245" i="3"/>
  <c r="B245" i="4" s="1"/>
  <c r="B249" i="5" s="1"/>
  <c r="E245" i="3"/>
  <c r="D245" i="3"/>
  <c r="F200" i="3"/>
  <c r="E200" i="4" s="1"/>
  <c r="E204" i="5" s="1"/>
  <c r="E200" i="3"/>
  <c r="D200" i="3"/>
  <c r="C200" i="3"/>
  <c r="B200" i="4" s="1"/>
  <c r="B204" i="5" s="1"/>
  <c r="E259" i="3"/>
  <c r="F259" i="3"/>
  <c r="E259" i="4" s="1"/>
  <c r="E263" i="5" s="1"/>
  <c r="D259" i="3"/>
  <c r="C259" i="3"/>
  <c r="B259" i="4" s="1"/>
  <c r="B263" i="5" s="1"/>
  <c r="E291" i="3"/>
  <c r="F291" i="3"/>
  <c r="E291" i="4" s="1"/>
  <c r="E295" i="5" s="1"/>
  <c r="D291" i="3"/>
  <c r="C291" i="3"/>
  <c r="B291" i="4" s="1"/>
  <c r="B295" i="5" s="1"/>
  <c r="E323" i="3"/>
  <c r="F323" i="3"/>
  <c r="E323" i="4" s="1"/>
  <c r="E327" i="5" s="1"/>
  <c r="D323" i="3"/>
  <c r="C323" i="3"/>
  <c r="B323" i="4" s="1"/>
  <c r="B327" i="5" s="1"/>
  <c r="E355" i="3"/>
  <c r="F355" i="3"/>
  <c r="E355" i="4" s="1"/>
  <c r="E359" i="5" s="1"/>
  <c r="D355" i="3"/>
  <c r="C355" i="3"/>
  <c r="B355" i="4" s="1"/>
  <c r="B359" i="5" s="1"/>
  <c r="E387" i="3"/>
  <c r="F387" i="3"/>
  <c r="E387" i="4" s="1"/>
  <c r="E391" i="5" s="1"/>
  <c r="D387" i="3"/>
  <c r="C387" i="3"/>
  <c r="B387" i="4" s="1"/>
  <c r="B391" i="5" s="1"/>
  <c r="D127" i="3"/>
  <c r="C127" i="3"/>
  <c r="B127" i="4" s="1"/>
  <c r="B131" i="5" s="1"/>
  <c r="F127" i="3"/>
  <c r="E127" i="4" s="1"/>
  <c r="E131" i="5" s="1"/>
  <c r="E127" i="3"/>
  <c r="D95" i="3"/>
  <c r="C95" i="3"/>
  <c r="B95" i="4" s="1"/>
  <c r="B99" i="5" s="1"/>
  <c r="F95" i="3"/>
  <c r="E95" i="4" s="1"/>
  <c r="E99" i="5" s="1"/>
  <c r="E95" i="3"/>
  <c r="D63" i="3"/>
  <c r="C63" i="3"/>
  <c r="B63" i="4" s="1"/>
  <c r="B67" i="5" s="1"/>
  <c r="F63" i="3"/>
  <c r="E63" i="4" s="1"/>
  <c r="E67" i="5" s="1"/>
  <c r="E63" i="3"/>
  <c r="D69" i="3"/>
  <c r="C69" i="3"/>
  <c r="B69" i="4" s="1"/>
  <c r="B73" i="5" s="1"/>
  <c r="F69" i="3"/>
  <c r="E69" i="4" s="1"/>
  <c r="E73" i="5" s="1"/>
  <c r="E69" i="3"/>
  <c r="D7" i="3"/>
  <c r="C7" i="3"/>
  <c r="B6" i="4" s="1"/>
  <c r="E7" i="3"/>
  <c r="F7" i="3"/>
  <c r="E6" i="4" s="1"/>
  <c r="F244" i="3"/>
  <c r="E244" i="4" s="1"/>
  <c r="E248" i="5" s="1"/>
  <c r="E244" i="3"/>
  <c r="D244" i="3"/>
  <c r="C244" i="3"/>
  <c r="B244" i="4" s="1"/>
  <c r="B248" i="5" s="1"/>
  <c r="E240" i="3"/>
  <c r="F240" i="3"/>
  <c r="E240" i="4" s="1"/>
  <c r="E244" i="5" s="1"/>
  <c r="D240" i="3"/>
  <c r="C240" i="3"/>
  <c r="B240" i="4" s="1"/>
  <c r="B244" i="5" s="1"/>
  <c r="D33" i="3"/>
  <c r="C33" i="3"/>
  <c r="B33" i="4" s="1"/>
  <c r="B37" i="5" s="1"/>
  <c r="F33" i="3"/>
  <c r="E33" i="4" s="1"/>
  <c r="E37" i="5" s="1"/>
  <c r="E33" i="3"/>
  <c r="D260" i="3"/>
  <c r="C260" i="3"/>
  <c r="B260" i="4" s="1"/>
  <c r="B264" i="5" s="1"/>
  <c r="F260" i="3"/>
  <c r="E260" i="4" s="1"/>
  <c r="E264" i="5" s="1"/>
  <c r="E260" i="3"/>
  <c r="F229" i="3"/>
  <c r="E229" i="4" s="1"/>
  <c r="E233" i="5" s="1"/>
  <c r="E229" i="3"/>
  <c r="D229" i="3"/>
  <c r="C229" i="3"/>
  <c r="B229" i="4" s="1"/>
  <c r="B233" i="5" s="1"/>
  <c r="D118" i="3"/>
  <c r="C118" i="3"/>
  <c r="B118" i="4" s="1"/>
  <c r="B122" i="5" s="1"/>
  <c r="F118" i="3"/>
  <c r="E118" i="4" s="1"/>
  <c r="E122" i="5" s="1"/>
  <c r="E118" i="3"/>
  <c r="D73" i="3"/>
  <c r="C73" i="3"/>
  <c r="B73" i="4" s="1"/>
  <c r="B77" i="5" s="1"/>
  <c r="F73" i="3"/>
  <c r="E73" i="4" s="1"/>
  <c r="E77" i="5" s="1"/>
  <c r="E73" i="3"/>
  <c r="C238" i="3"/>
  <c r="B238" i="4" s="1"/>
  <c r="B242" i="5" s="1"/>
  <c r="F238" i="3"/>
  <c r="E238" i="4" s="1"/>
  <c r="E242" i="5" s="1"/>
  <c r="E238" i="3"/>
  <c r="D238" i="3"/>
  <c r="F305" i="3"/>
  <c r="E305" i="4" s="1"/>
  <c r="E309" i="5" s="1"/>
  <c r="E305" i="3"/>
  <c r="D305" i="3"/>
  <c r="C305" i="3"/>
  <c r="B305" i="4" s="1"/>
  <c r="B309" i="5" s="1"/>
  <c r="C215" i="3"/>
  <c r="B215" i="4" s="1"/>
  <c r="B219" i="5" s="1"/>
  <c r="F215" i="3"/>
  <c r="E215" i="4" s="1"/>
  <c r="E219" i="5" s="1"/>
  <c r="E215" i="3"/>
  <c r="D215" i="3"/>
  <c r="D288" i="3"/>
  <c r="C288" i="3"/>
  <c r="B288" i="4" s="1"/>
  <c r="B292" i="5" s="1"/>
  <c r="E288" i="3"/>
  <c r="F288" i="3"/>
  <c r="E288" i="4" s="1"/>
  <c r="E292" i="5" s="1"/>
  <c r="C382" i="3"/>
  <c r="B382" i="4" s="1"/>
  <c r="B386" i="5" s="1"/>
  <c r="D382" i="3"/>
  <c r="F382" i="3"/>
  <c r="E382" i="4" s="1"/>
  <c r="E386" i="5" s="1"/>
  <c r="E382" i="3"/>
  <c r="F212" i="3"/>
  <c r="E212" i="4" s="1"/>
  <c r="E216" i="5" s="1"/>
  <c r="E212" i="3"/>
  <c r="D212" i="3"/>
  <c r="C212" i="3"/>
  <c r="B212" i="4" s="1"/>
  <c r="B216" i="5" s="1"/>
  <c r="F297" i="3"/>
  <c r="E297" i="4" s="1"/>
  <c r="E301" i="5" s="1"/>
  <c r="E297" i="3"/>
  <c r="D297" i="3"/>
  <c r="C297" i="3"/>
  <c r="B297" i="4" s="1"/>
  <c r="B301" i="5" s="1"/>
  <c r="D380" i="3"/>
  <c r="C380" i="3"/>
  <c r="B380" i="4" s="1"/>
  <c r="B384" i="5" s="1"/>
  <c r="F380" i="3"/>
  <c r="E380" i="4" s="1"/>
  <c r="E384" i="5" s="1"/>
  <c r="E380" i="3"/>
  <c r="F228" i="3"/>
  <c r="E228" i="4" s="1"/>
  <c r="E232" i="5" s="1"/>
  <c r="E228" i="3"/>
  <c r="C228" i="3"/>
  <c r="B228" i="4" s="1"/>
  <c r="B232" i="5" s="1"/>
  <c r="D228" i="3"/>
  <c r="F313" i="3"/>
  <c r="E313" i="4" s="1"/>
  <c r="E317" i="5" s="1"/>
  <c r="E313" i="3"/>
  <c r="C313" i="3"/>
  <c r="B313" i="4" s="1"/>
  <c r="B317" i="5" s="1"/>
  <c r="D313" i="3"/>
  <c r="D396" i="3"/>
  <c r="C396" i="3"/>
  <c r="B396" i="4" s="1"/>
  <c r="B400" i="5" s="1"/>
  <c r="E396" i="3"/>
  <c r="F396" i="3"/>
  <c r="E396" i="4" s="1"/>
  <c r="E400" i="5" s="1"/>
  <c r="C262" i="3"/>
  <c r="B262" i="4" s="1"/>
  <c r="B266" i="5" s="1"/>
  <c r="F262" i="3"/>
  <c r="E262" i="4" s="1"/>
  <c r="E266" i="5" s="1"/>
  <c r="E262" i="3"/>
  <c r="D262" i="3"/>
  <c r="F341" i="3"/>
  <c r="E341" i="4" s="1"/>
  <c r="E345" i="5" s="1"/>
  <c r="E341" i="3"/>
  <c r="D341" i="3"/>
  <c r="C341" i="3"/>
  <c r="B341" i="4" s="1"/>
  <c r="B345" i="5" s="1"/>
  <c r="F253" i="3"/>
  <c r="E253" i="4" s="1"/>
  <c r="E257" i="5" s="1"/>
  <c r="E253" i="3"/>
  <c r="D253" i="3"/>
  <c r="C253" i="3"/>
  <c r="B253" i="4" s="1"/>
  <c r="B257" i="5" s="1"/>
  <c r="E208" i="3"/>
  <c r="D208" i="3"/>
  <c r="C208" i="3"/>
  <c r="B208" i="4" s="1"/>
  <c r="B212" i="5" s="1"/>
  <c r="F208" i="3"/>
  <c r="E208" i="4" s="1"/>
  <c r="E212" i="5" s="1"/>
  <c r="E263" i="3"/>
  <c r="F263" i="3"/>
  <c r="E263" i="4" s="1"/>
  <c r="E267" i="5" s="1"/>
  <c r="D263" i="3"/>
  <c r="C263" i="3"/>
  <c r="B263" i="4" s="1"/>
  <c r="B267" i="5" s="1"/>
  <c r="E295" i="3"/>
  <c r="F295" i="3"/>
  <c r="E295" i="4" s="1"/>
  <c r="E299" i="5" s="1"/>
  <c r="D295" i="3"/>
  <c r="C295" i="3"/>
  <c r="B295" i="4" s="1"/>
  <c r="B299" i="5" s="1"/>
  <c r="E327" i="3"/>
  <c r="F327" i="3"/>
  <c r="E327" i="4" s="1"/>
  <c r="E331" i="5" s="1"/>
  <c r="D327" i="3"/>
  <c r="C327" i="3"/>
  <c r="B327" i="4" s="1"/>
  <c r="B331" i="5" s="1"/>
  <c r="E359" i="3"/>
  <c r="F359" i="3"/>
  <c r="E359" i="4" s="1"/>
  <c r="E363" i="5" s="1"/>
  <c r="D359" i="3"/>
  <c r="C359" i="3"/>
  <c r="B359" i="4" s="1"/>
  <c r="B363" i="5" s="1"/>
  <c r="E391" i="3"/>
  <c r="F391" i="3"/>
  <c r="E391" i="4" s="1"/>
  <c r="E395" i="5" s="1"/>
  <c r="D391" i="3"/>
  <c r="C391" i="3"/>
  <c r="B391" i="4" s="1"/>
  <c r="B395" i="5" s="1"/>
  <c r="D123" i="3"/>
  <c r="C123" i="3"/>
  <c r="B123" i="4" s="1"/>
  <c r="B127" i="5" s="1"/>
  <c r="F123" i="3"/>
  <c r="E123" i="4" s="1"/>
  <c r="E127" i="5" s="1"/>
  <c r="E123" i="3"/>
  <c r="D91" i="3"/>
  <c r="C91" i="3"/>
  <c r="B91" i="4" s="1"/>
  <c r="B95" i="5" s="1"/>
  <c r="F91" i="3"/>
  <c r="E91" i="4" s="1"/>
  <c r="E95" i="5" s="1"/>
  <c r="E91" i="3"/>
  <c r="D59" i="3"/>
  <c r="C59" i="3"/>
  <c r="B59" i="4" s="1"/>
  <c r="B63" i="5" s="1"/>
  <c r="F59" i="3"/>
  <c r="E59" i="4" s="1"/>
  <c r="E63" i="5" s="1"/>
  <c r="E59" i="3"/>
  <c r="I191" i="3"/>
  <c r="H191" i="4" s="1"/>
  <c r="D191" i="4"/>
  <c r="D195" i="5" s="1"/>
  <c r="D129" i="3"/>
  <c r="C129" i="3"/>
  <c r="B129" i="4" s="1"/>
  <c r="B133" i="5" s="1"/>
  <c r="F129" i="3"/>
  <c r="E129" i="4" s="1"/>
  <c r="E133" i="5" s="1"/>
  <c r="E129" i="3"/>
  <c r="F357" i="3"/>
  <c r="E357" i="4" s="1"/>
  <c r="E361" i="5" s="1"/>
  <c r="E357" i="3"/>
  <c r="D357" i="3"/>
  <c r="C357" i="3"/>
  <c r="B357" i="4" s="1"/>
  <c r="B361" i="5" s="1"/>
  <c r="D128" i="3"/>
  <c r="C128" i="3"/>
  <c r="B128" i="4" s="1"/>
  <c r="B132" i="5" s="1"/>
  <c r="F128" i="3"/>
  <c r="E128" i="4" s="1"/>
  <c r="E132" i="5" s="1"/>
  <c r="E128" i="3"/>
  <c r="E279" i="3"/>
  <c r="C279" i="3"/>
  <c r="B279" i="4" s="1"/>
  <c r="B283" i="5" s="1"/>
  <c r="F279" i="3"/>
  <c r="E279" i="4" s="1"/>
  <c r="E283" i="5" s="1"/>
  <c r="D279" i="3"/>
  <c r="D81" i="3"/>
  <c r="C81" i="3"/>
  <c r="B81" i="4" s="1"/>
  <c r="B85" i="5" s="1"/>
  <c r="F81" i="3"/>
  <c r="E81" i="4" s="1"/>
  <c r="E85" i="5" s="1"/>
  <c r="E81" i="3"/>
  <c r="F196" i="3"/>
  <c r="E196" i="4" s="1"/>
  <c r="E200" i="5" s="1"/>
  <c r="E196" i="3"/>
  <c r="D196" i="3"/>
  <c r="C196" i="3"/>
  <c r="B196" i="4" s="1"/>
  <c r="B200" i="5" s="1"/>
  <c r="D292" i="3"/>
  <c r="C292" i="3"/>
  <c r="B292" i="4" s="1"/>
  <c r="B296" i="5" s="1"/>
  <c r="F292" i="3"/>
  <c r="E292" i="4" s="1"/>
  <c r="E296" i="5" s="1"/>
  <c r="E292" i="3"/>
  <c r="D134" i="3"/>
  <c r="C134" i="3"/>
  <c r="B134" i="4" s="1"/>
  <c r="B138" i="5" s="1"/>
  <c r="F134" i="3"/>
  <c r="E134" i="4" s="1"/>
  <c r="E138" i="5" s="1"/>
  <c r="E134" i="3"/>
  <c r="F349" i="3"/>
  <c r="E349" i="4" s="1"/>
  <c r="E353" i="5" s="1"/>
  <c r="E349" i="3"/>
  <c r="D349" i="3"/>
  <c r="C349" i="3"/>
  <c r="B349" i="4" s="1"/>
  <c r="B353" i="5" s="1"/>
  <c r="E235" i="3"/>
  <c r="D235" i="3"/>
  <c r="C235" i="3"/>
  <c r="B235" i="4" s="1"/>
  <c r="B239" i="5" s="1"/>
  <c r="F235" i="3"/>
  <c r="E235" i="4" s="1"/>
  <c r="E239" i="5" s="1"/>
  <c r="E267" i="3"/>
  <c r="C267" i="3"/>
  <c r="B267" i="4" s="1"/>
  <c r="B271" i="5" s="1"/>
  <c r="F267" i="3"/>
  <c r="E267" i="4" s="1"/>
  <c r="E271" i="5" s="1"/>
  <c r="D267" i="3"/>
  <c r="E299" i="3"/>
  <c r="C299" i="3"/>
  <c r="B299" i="4" s="1"/>
  <c r="B303" i="5" s="1"/>
  <c r="F299" i="3"/>
  <c r="E299" i="4" s="1"/>
  <c r="E303" i="5" s="1"/>
  <c r="D299" i="3"/>
  <c r="E331" i="3"/>
  <c r="C331" i="3"/>
  <c r="B331" i="4" s="1"/>
  <c r="B335" i="5" s="1"/>
  <c r="F331" i="3"/>
  <c r="E331" i="4" s="1"/>
  <c r="E335" i="5" s="1"/>
  <c r="D331" i="3"/>
  <c r="E363" i="3"/>
  <c r="C363" i="3"/>
  <c r="B363" i="4" s="1"/>
  <c r="B367" i="5" s="1"/>
  <c r="F363" i="3"/>
  <c r="E363" i="4" s="1"/>
  <c r="E367" i="5" s="1"/>
  <c r="D363" i="3"/>
  <c r="E395" i="3"/>
  <c r="C395" i="3"/>
  <c r="B395" i="4" s="1"/>
  <c r="B399" i="5" s="1"/>
  <c r="F395" i="3"/>
  <c r="E395" i="4" s="1"/>
  <c r="E399" i="5" s="1"/>
  <c r="D395" i="3"/>
  <c r="D119" i="3"/>
  <c r="C119" i="3"/>
  <c r="B119" i="4" s="1"/>
  <c r="B123" i="5" s="1"/>
  <c r="F119" i="3"/>
  <c r="E119" i="4" s="1"/>
  <c r="E123" i="5" s="1"/>
  <c r="E119" i="3"/>
  <c r="D87" i="3"/>
  <c r="C87" i="3"/>
  <c r="B87" i="4" s="1"/>
  <c r="B91" i="5" s="1"/>
  <c r="F87" i="3"/>
  <c r="E87" i="4" s="1"/>
  <c r="E91" i="5" s="1"/>
  <c r="E87" i="3"/>
  <c r="D55" i="3"/>
  <c r="C55" i="3"/>
  <c r="B55" i="4" s="1"/>
  <c r="B59" i="5" s="1"/>
  <c r="F55" i="3"/>
  <c r="E55" i="4" s="1"/>
  <c r="E59" i="5" s="1"/>
  <c r="E55" i="3"/>
  <c r="M195" i="5"/>
  <c r="L195" i="5"/>
  <c r="S195" i="5"/>
  <c r="K195" i="5"/>
  <c r="P195" i="5"/>
  <c r="H195" i="5"/>
  <c r="J195" i="5"/>
  <c r="I195" i="5"/>
  <c r="G195" i="5"/>
  <c r="O195" i="5"/>
  <c r="R195" i="5"/>
  <c r="Q195" i="5"/>
  <c r="F195" i="5"/>
  <c r="N195" i="5"/>
  <c r="D27" i="3"/>
  <c r="C27" i="3"/>
  <c r="B27" i="4" s="1"/>
  <c r="B31" i="5" s="1"/>
  <c r="F27" i="3"/>
  <c r="E27" i="4" s="1"/>
  <c r="E31" i="5" s="1"/>
  <c r="E27" i="3"/>
  <c r="D151" i="3"/>
  <c r="C151" i="3"/>
  <c r="B151" i="4" s="1"/>
  <c r="B155" i="5" s="1"/>
  <c r="F151" i="3"/>
  <c r="E151" i="4" s="1"/>
  <c r="E155" i="5" s="1"/>
  <c r="E151" i="3"/>
  <c r="C354" i="3"/>
  <c r="B354" i="4" s="1"/>
  <c r="B358" i="5" s="1"/>
  <c r="E354" i="3"/>
  <c r="D354" i="3"/>
  <c r="F354" i="3"/>
  <c r="E354" i="4" s="1"/>
  <c r="E358" i="5" s="1"/>
  <c r="F194" i="3"/>
  <c r="E194" i="4" s="1"/>
  <c r="E198" i="5" s="1"/>
  <c r="D194" i="3"/>
  <c r="C194" i="3"/>
  <c r="B194" i="4" s="1"/>
  <c r="B198" i="5" s="1"/>
  <c r="E194" i="3"/>
  <c r="D210" i="3"/>
  <c r="C210" i="3"/>
  <c r="B210" i="4" s="1"/>
  <c r="B214" i="5" s="1"/>
  <c r="F210" i="3"/>
  <c r="E210" i="4" s="1"/>
  <c r="E214" i="5" s="1"/>
  <c r="E210" i="3"/>
  <c r="D48" i="3"/>
  <c r="C48" i="3"/>
  <c r="B48" i="4" s="1"/>
  <c r="B52" i="5" s="1"/>
  <c r="F48" i="3"/>
  <c r="E48" i="4" s="1"/>
  <c r="E52" i="5" s="1"/>
  <c r="E48" i="3"/>
  <c r="D96" i="3"/>
  <c r="C96" i="3"/>
  <c r="B96" i="4" s="1"/>
  <c r="B100" i="5" s="1"/>
  <c r="F96" i="3"/>
  <c r="E96" i="4" s="1"/>
  <c r="E100" i="5" s="1"/>
  <c r="E96" i="3"/>
  <c r="D160" i="3"/>
  <c r="C160" i="3"/>
  <c r="B160" i="4" s="1"/>
  <c r="B164" i="5" s="1"/>
  <c r="F160" i="3"/>
  <c r="E160" i="4" s="1"/>
  <c r="E164" i="5" s="1"/>
  <c r="E160" i="3"/>
  <c r="F333" i="3"/>
  <c r="E333" i="4" s="1"/>
  <c r="E337" i="5" s="1"/>
  <c r="E333" i="3"/>
  <c r="C333" i="3"/>
  <c r="B333" i="4" s="1"/>
  <c r="B337" i="5" s="1"/>
  <c r="D333" i="3"/>
  <c r="D247" i="3"/>
  <c r="F247" i="3"/>
  <c r="E247" i="4" s="1"/>
  <c r="E251" i="5" s="1"/>
  <c r="E247" i="3"/>
  <c r="C247" i="3"/>
  <c r="B247" i="4" s="1"/>
  <c r="B251" i="5" s="1"/>
  <c r="D268" i="3"/>
  <c r="C268" i="3"/>
  <c r="B268" i="4" s="1"/>
  <c r="B272" i="5" s="1"/>
  <c r="E268" i="3"/>
  <c r="F268" i="3"/>
  <c r="E268" i="4" s="1"/>
  <c r="E272" i="5" s="1"/>
  <c r="D296" i="3"/>
  <c r="C296" i="3"/>
  <c r="B296" i="4" s="1"/>
  <c r="B300" i="5" s="1"/>
  <c r="F296" i="3"/>
  <c r="E296" i="4" s="1"/>
  <c r="E300" i="5" s="1"/>
  <c r="E296" i="3"/>
  <c r="D107" i="3"/>
  <c r="C107" i="3"/>
  <c r="B107" i="4" s="1"/>
  <c r="B111" i="5" s="1"/>
  <c r="F107" i="3"/>
  <c r="E107" i="4" s="1"/>
  <c r="E111" i="5" s="1"/>
  <c r="E107" i="3"/>
  <c r="D159" i="3"/>
  <c r="C159" i="3"/>
  <c r="B159" i="4" s="1"/>
  <c r="B163" i="5" s="1"/>
  <c r="F159" i="3"/>
  <c r="E159" i="4" s="1"/>
  <c r="E163" i="5" s="1"/>
  <c r="E159" i="3"/>
  <c r="D105" i="3"/>
  <c r="C105" i="3"/>
  <c r="B105" i="4" s="1"/>
  <c r="B109" i="5" s="1"/>
  <c r="F105" i="3"/>
  <c r="E105" i="4" s="1"/>
  <c r="E109" i="5" s="1"/>
  <c r="E105" i="3"/>
  <c r="D169" i="3"/>
  <c r="C169" i="3"/>
  <c r="B169" i="4" s="1"/>
  <c r="B173" i="5" s="1"/>
  <c r="F169" i="3"/>
  <c r="E169" i="4" s="1"/>
  <c r="E173" i="5" s="1"/>
  <c r="E169" i="3"/>
  <c r="F321" i="3"/>
  <c r="E321" i="4" s="1"/>
  <c r="E325" i="5" s="1"/>
  <c r="E321" i="3"/>
  <c r="D321" i="3"/>
  <c r="C321" i="3"/>
  <c r="B321" i="4" s="1"/>
  <c r="B325" i="5" s="1"/>
  <c r="D10" i="3"/>
  <c r="C10" i="3"/>
  <c r="B15" i="4" s="1"/>
  <c r="B14" i="5" s="1"/>
  <c r="F10" i="3"/>
  <c r="E15" i="4" s="1"/>
  <c r="E14" i="5" s="1"/>
  <c r="E10" i="3"/>
  <c r="D31" i="3"/>
  <c r="C31" i="3"/>
  <c r="B31" i="4" s="1"/>
  <c r="B35" i="5" s="1"/>
  <c r="E31" i="3"/>
  <c r="F31" i="3"/>
  <c r="E31" i="4" s="1"/>
  <c r="E35" i="5" s="1"/>
  <c r="D20" i="3"/>
  <c r="C20" i="3"/>
  <c r="B20" i="4" s="1"/>
  <c r="B24" i="5" s="1"/>
  <c r="E20" i="3"/>
  <c r="F20" i="3"/>
  <c r="E20" i="4" s="1"/>
  <c r="E24" i="5" s="1"/>
  <c r="D70" i="3"/>
  <c r="C70" i="3"/>
  <c r="B70" i="4" s="1"/>
  <c r="B74" i="5" s="1"/>
  <c r="F70" i="3"/>
  <c r="E70" i="4" s="1"/>
  <c r="E74" i="5" s="1"/>
  <c r="E70" i="3"/>
  <c r="D86" i="3"/>
  <c r="C86" i="3"/>
  <c r="B86" i="4" s="1"/>
  <c r="B90" i="5" s="1"/>
  <c r="F86" i="3"/>
  <c r="E86" i="4" s="1"/>
  <c r="E90" i="5" s="1"/>
  <c r="E86" i="3"/>
  <c r="D166" i="3"/>
  <c r="C166" i="3"/>
  <c r="B166" i="4" s="1"/>
  <c r="B170" i="5" s="1"/>
  <c r="F166" i="3"/>
  <c r="E166" i="4" s="1"/>
  <c r="E170" i="5" s="1"/>
  <c r="E166" i="3"/>
  <c r="D155" i="3"/>
  <c r="C155" i="3"/>
  <c r="B155" i="4" s="1"/>
  <c r="B159" i="5" s="1"/>
  <c r="F155" i="3"/>
  <c r="E155" i="4" s="1"/>
  <c r="E159" i="5" s="1"/>
  <c r="E155" i="3"/>
  <c r="F178" i="3"/>
  <c r="E178" i="4" s="1"/>
  <c r="E182" i="5" s="1"/>
  <c r="D178" i="3"/>
  <c r="C178" i="3"/>
  <c r="B178" i="4" s="1"/>
  <c r="B182" i="5" s="1"/>
  <c r="E178" i="3"/>
  <c r="D17" i="3"/>
  <c r="C17" i="3"/>
  <c r="B17" i="4" s="1"/>
  <c r="B21" i="5" s="1"/>
  <c r="E17" i="3"/>
  <c r="F17" i="3"/>
  <c r="E17" i="4" s="1"/>
  <c r="E21" i="5" s="1"/>
  <c r="F273" i="3"/>
  <c r="E273" i="4" s="1"/>
  <c r="E277" i="5" s="1"/>
  <c r="E273" i="3"/>
  <c r="D273" i="3"/>
  <c r="C273" i="3"/>
  <c r="B273" i="4" s="1"/>
  <c r="B277" i="5" s="1"/>
  <c r="C338" i="3"/>
  <c r="B338" i="4" s="1"/>
  <c r="B342" i="5" s="1"/>
  <c r="F338" i="3"/>
  <c r="E338" i="4" s="1"/>
  <c r="E342" i="5" s="1"/>
  <c r="E338" i="3"/>
  <c r="D338" i="3"/>
  <c r="D18" i="3"/>
  <c r="C18" i="3"/>
  <c r="B18" i="4" s="1"/>
  <c r="B22" i="5" s="1"/>
  <c r="F18" i="3"/>
  <c r="E18" i="4" s="1"/>
  <c r="E22" i="5" s="1"/>
  <c r="E18" i="3"/>
  <c r="D29" i="3"/>
  <c r="C29" i="3"/>
  <c r="B29" i="4" s="1"/>
  <c r="B33" i="5" s="1"/>
  <c r="F29" i="3"/>
  <c r="E29" i="4" s="1"/>
  <c r="E33" i="5" s="1"/>
  <c r="E29" i="3"/>
  <c r="F289" i="3"/>
  <c r="E289" i="4" s="1"/>
  <c r="E293" i="5" s="1"/>
  <c r="E289" i="3"/>
  <c r="D289" i="3"/>
  <c r="C289" i="3"/>
  <c r="B289" i="4" s="1"/>
  <c r="B293" i="5" s="1"/>
  <c r="D56" i="3"/>
  <c r="C56" i="3"/>
  <c r="B56" i="4" s="1"/>
  <c r="B60" i="5" s="1"/>
  <c r="F56" i="3"/>
  <c r="E56" i="4" s="1"/>
  <c r="E60" i="5" s="1"/>
  <c r="E56" i="3"/>
  <c r="D88" i="3"/>
  <c r="C88" i="3"/>
  <c r="B88" i="4" s="1"/>
  <c r="B92" i="5" s="1"/>
  <c r="F88" i="3"/>
  <c r="E88" i="4" s="1"/>
  <c r="E92" i="5" s="1"/>
  <c r="E88" i="3"/>
  <c r="D120" i="3"/>
  <c r="C120" i="3"/>
  <c r="B120" i="4" s="1"/>
  <c r="B124" i="5" s="1"/>
  <c r="F120" i="3"/>
  <c r="E120" i="4" s="1"/>
  <c r="E124" i="5" s="1"/>
  <c r="E120" i="3"/>
  <c r="D152" i="3"/>
  <c r="C152" i="3"/>
  <c r="B152" i="4" s="1"/>
  <c r="B156" i="5" s="1"/>
  <c r="F152" i="3"/>
  <c r="E152" i="4" s="1"/>
  <c r="E156" i="5" s="1"/>
  <c r="E152" i="3"/>
  <c r="D336" i="3"/>
  <c r="C336" i="3"/>
  <c r="B336" i="4" s="1"/>
  <c r="B340" i="5" s="1"/>
  <c r="F336" i="3"/>
  <c r="E336" i="4" s="1"/>
  <c r="E340" i="5" s="1"/>
  <c r="E336" i="3"/>
  <c r="D139" i="3"/>
  <c r="C139" i="3"/>
  <c r="B139" i="4" s="1"/>
  <c r="B143" i="5" s="1"/>
  <c r="F139" i="3"/>
  <c r="E139" i="4" s="1"/>
  <c r="E143" i="5" s="1"/>
  <c r="E139" i="3"/>
  <c r="D3" i="3"/>
  <c r="C3" i="3"/>
  <c r="B3" i="4" s="1"/>
  <c r="B7" i="5" s="1"/>
  <c r="F3" i="3"/>
  <c r="E3" i="4" s="1"/>
  <c r="E7" i="5" s="1"/>
  <c r="E3" i="3"/>
  <c r="D89" i="3"/>
  <c r="C89" i="3"/>
  <c r="B89" i="4" s="1"/>
  <c r="B93" i="5" s="1"/>
  <c r="F89" i="3"/>
  <c r="E89" i="4" s="1"/>
  <c r="E93" i="5" s="1"/>
  <c r="E89" i="3"/>
  <c r="D137" i="3"/>
  <c r="C137" i="3"/>
  <c r="B137" i="4" s="1"/>
  <c r="B141" i="5" s="1"/>
  <c r="F137" i="3"/>
  <c r="E137" i="4" s="1"/>
  <c r="E141" i="5" s="1"/>
  <c r="E137" i="3"/>
  <c r="F261" i="3"/>
  <c r="E261" i="4" s="1"/>
  <c r="E265" i="5" s="1"/>
  <c r="E261" i="3"/>
  <c r="D261" i="3"/>
  <c r="C261" i="3"/>
  <c r="B261" i="4" s="1"/>
  <c r="B265" i="5" s="1"/>
  <c r="D372" i="3"/>
  <c r="C372" i="3"/>
  <c r="B372" i="4" s="1"/>
  <c r="B376" i="5" s="1"/>
  <c r="F372" i="3"/>
  <c r="E372" i="4" s="1"/>
  <c r="E376" i="5" s="1"/>
  <c r="E372" i="3"/>
  <c r="D26" i="3"/>
  <c r="C26" i="3"/>
  <c r="B26" i="4" s="1"/>
  <c r="B30" i="5" s="1"/>
  <c r="F26" i="3"/>
  <c r="E26" i="4" s="1"/>
  <c r="E30" i="5" s="1"/>
  <c r="E26" i="3"/>
  <c r="D37" i="3"/>
  <c r="C37" i="3"/>
  <c r="B37" i="4" s="1"/>
  <c r="B41" i="5" s="1"/>
  <c r="F37" i="3"/>
  <c r="E37" i="4" s="1"/>
  <c r="E41" i="5" s="1"/>
  <c r="E37" i="3"/>
  <c r="F179" i="3"/>
  <c r="E179" i="4" s="1"/>
  <c r="E183" i="5" s="1"/>
  <c r="E179" i="3"/>
  <c r="D179" i="3"/>
  <c r="C179" i="3"/>
  <c r="B179" i="4" s="1"/>
  <c r="B183" i="5" s="1"/>
  <c r="D36" i="3"/>
  <c r="C36" i="3"/>
  <c r="B36" i="4" s="1"/>
  <c r="B40" i="5" s="1"/>
  <c r="F36" i="3"/>
  <c r="E36" i="4" s="1"/>
  <c r="E40" i="5" s="1"/>
  <c r="E36" i="3"/>
  <c r="D74" i="3"/>
  <c r="C74" i="3"/>
  <c r="B74" i="4" s="1"/>
  <c r="B78" i="5" s="1"/>
  <c r="F74" i="3"/>
  <c r="E74" i="4" s="1"/>
  <c r="E78" i="5" s="1"/>
  <c r="E74" i="3"/>
  <c r="D106" i="3"/>
  <c r="C106" i="3"/>
  <c r="B106" i="4" s="1"/>
  <c r="B110" i="5" s="1"/>
  <c r="F106" i="3"/>
  <c r="E106" i="4" s="1"/>
  <c r="E110" i="5" s="1"/>
  <c r="E106" i="3"/>
  <c r="D138" i="3"/>
  <c r="C138" i="3"/>
  <c r="B138" i="4" s="1"/>
  <c r="B142" i="5" s="1"/>
  <c r="F138" i="3"/>
  <c r="E138" i="4" s="1"/>
  <c r="E142" i="5" s="1"/>
  <c r="E138" i="3"/>
  <c r="F170" i="3"/>
  <c r="E170" i="4" s="1"/>
  <c r="E174" i="5" s="1"/>
  <c r="D170" i="3"/>
  <c r="C170" i="3"/>
  <c r="B170" i="4" s="1"/>
  <c r="B174" i="5" s="1"/>
  <c r="E170" i="3"/>
  <c r="F301" i="3"/>
  <c r="E301" i="4" s="1"/>
  <c r="E305" i="5" s="1"/>
  <c r="E301" i="3"/>
  <c r="C301" i="3"/>
  <c r="B301" i="4" s="1"/>
  <c r="B305" i="5" s="1"/>
  <c r="D301" i="3"/>
  <c r="D218" i="3"/>
  <c r="C218" i="3"/>
  <c r="B218" i="4" s="1"/>
  <c r="B222" i="5" s="1"/>
  <c r="F218" i="3"/>
  <c r="E218" i="4" s="1"/>
  <c r="E222" i="5" s="1"/>
  <c r="E218" i="3"/>
  <c r="F393" i="3"/>
  <c r="E393" i="4" s="1"/>
  <c r="E397" i="5" s="1"/>
  <c r="E393" i="3"/>
  <c r="D393" i="3"/>
  <c r="C393" i="3"/>
  <c r="B393" i="4" s="1"/>
  <c r="B397" i="5" s="1"/>
  <c r="F176" i="3"/>
  <c r="E176" i="4" s="1"/>
  <c r="E180" i="5" s="1"/>
  <c r="E176" i="3"/>
  <c r="D176" i="3"/>
  <c r="C176" i="3"/>
  <c r="B176" i="4" s="1"/>
  <c r="B180" i="5" s="1"/>
  <c r="C358" i="3"/>
  <c r="B358" i="4" s="1"/>
  <c r="B362" i="5" s="1"/>
  <c r="F358" i="3"/>
  <c r="E358" i="4" s="1"/>
  <c r="E362" i="5" s="1"/>
  <c r="E358" i="3"/>
  <c r="D358" i="3"/>
  <c r="C216" i="3"/>
  <c r="B216" i="4" s="1"/>
  <c r="B220" i="5" s="1"/>
  <c r="F216" i="3"/>
  <c r="E216" i="4" s="1"/>
  <c r="E220" i="5" s="1"/>
  <c r="E216" i="3"/>
  <c r="D216" i="3"/>
  <c r="D141" i="3"/>
  <c r="C141" i="3"/>
  <c r="B141" i="4" s="1"/>
  <c r="B145" i="5" s="1"/>
  <c r="F141" i="3"/>
  <c r="E141" i="4" s="1"/>
  <c r="E145" i="5" s="1"/>
  <c r="E141" i="3"/>
  <c r="D125" i="3"/>
  <c r="C125" i="3"/>
  <c r="B125" i="4" s="1"/>
  <c r="B129" i="5" s="1"/>
  <c r="F125" i="3"/>
  <c r="E125" i="4" s="1"/>
  <c r="E129" i="5" s="1"/>
  <c r="E125" i="3"/>
  <c r="D53" i="3"/>
  <c r="C53" i="3"/>
  <c r="B53" i="4" s="1"/>
  <c r="B57" i="5" s="1"/>
  <c r="F53" i="3"/>
  <c r="E53" i="4" s="1"/>
  <c r="E57" i="5" s="1"/>
  <c r="E53" i="3"/>
  <c r="D242" i="3"/>
  <c r="C242" i="3"/>
  <c r="B242" i="4" s="1"/>
  <c r="B246" i="5" s="1"/>
  <c r="F242" i="3"/>
  <c r="E242" i="4" s="1"/>
  <c r="E246" i="5" s="1"/>
  <c r="E242" i="3"/>
  <c r="D145" i="3"/>
  <c r="C145" i="3"/>
  <c r="B145" i="4" s="1"/>
  <c r="B149" i="5" s="1"/>
  <c r="F145" i="3"/>
  <c r="E145" i="4" s="1"/>
  <c r="E149" i="5" s="1"/>
  <c r="E145" i="3"/>
  <c r="D85" i="3"/>
  <c r="C85" i="3"/>
  <c r="B85" i="4" s="1"/>
  <c r="B89" i="5" s="1"/>
  <c r="F85" i="3"/>
  <c r="E85" i="4" s="1"/>
  <c r="E89" i="5" s="1"/>
  <c r="E85" i="3"/>
  <c r="D133" i="3"/>
  <c r="C133" i="3"/>
  <c r="B133" i="4" s="1"/>
  <c r="B137" i="5" s="1"/>
  <c r="F133" i="3"/>
  <c r="E133" i="4" s="1"/>
  <c r="E137" i="5" s="1"/>
  <c r="E133" i="3"/>
  <c r="D41" i="3"/>
  <c r="C41" i="3"/>
  <c r="B41" i="4" s="1"/>
  <c r="B45" i="5" s="1"/>
  <c r="F41" i="3"/>
  <c r="E41" i="4" s="1"/>
  <c r="E45" i="5" s="1"/>
  <c r="E41" i="3"/>
  <c r="D324" i="3"/>
  <c r="C324" i="3"/>
  <c r="B324" i="4" s="1"/>
  <c r="B328" i="5" s="1"/>
  <c r="F324" i="3"/>
  <c r="E324" i="4" s="1"/>
  <c r="E328" i="5" s="1"/>
  <c r="E324" i="3"/>
  <c r="C278" i="3"/>
  <c r="B278" i="4" s="1"/>
  <c r="B282" i="5" s="1"/>
  <c r="F278" i="3"/>
  <c r="E278" i="4" s="1"/>
  <c r="E282" i="5" s="1"/>
  <c r="E278" i="3"/>
  <c r="D278" i="3"/>
  <c r="F204" i="3"/>
  <c r="E204" i="4" s="1"/>
  <c r="E208" i="5" s="1"/>
  <c r="E204" i="3"/>
  <c r="D204" i="3"/>
  <c r="C204" i="3"/>
  <c r="B204" i="4" s="1"/>
  <c r="B208" i="5" s="1"/>
  <c r="F385" i="3"/>
  <c r="E385" i="4" s="1"/>
  <c r="E389" i="5" s="1"/>
  <c r="E385" i="3"/>
  <c r="D385" i="3"/>
  <c r="C385" i="3"/>
  <c r="B385" i="4" s="1"/>
  <c r="B389" i="5" s="1"/>
  <c r="D368" i="3"/>
  <c r="C368" i="3"/>
  <c r="B368" i="4" s="1"/>
  <c r="B372" i="5" s="1"/>
  <c r="F368" i="3"/>
  <c r="E368" i="4" s="1"/>
  <c r="E372" i="5" s="1"/>
  <c r="E368" i="3"/>
  <c r="D34" i="3"/>
  <c r="C34" i="3"/>
  <c r="B34" i="4" s="1"/>
  <c r="B38" i="5" s="1"/>
  <c r="F34" i="3"/>
  <c r="E34" i="4" s="1"/>
  <c r="E38" i="5" s="1"/>
  <c r="E34" i="3"/>
  <c r="C310" i="3"/>
  <c r="B310" i="4" s="1"/>
  <c r="B314" i="5" s="1"/>
  <c r="F310" i="3"/>
  <c r="E310" i="4" s="1"/>
  <c r="E314" i="5" s="1"/>
  <c r="E310" i="3"/>
  <c r="D310" i="3"/>
  <c r="F183" i="3"/>
  <c r="E183" i="4" s="1"/>
  <c r="E187" i="5" s="1"/>
  <c r="D183" i="3"/>
  <c r="C183" i="3"/>
  <c r="B183" i="4" s="1"/>
  <c r="B187" i="5" s="1"/>
  <c r="E183" i="3"/>
  <c r="D356" i="3"/>
  <c r="C356" i="3"/>
  <c r="B356" i="4" s="1"/>
  <c r="B360" i="5" s="1"/>
  <c r="F356" i="3"/>
  <c r="E356" i="4" s="1"/>
  <c r="E360" i="5" s="1"/>
  <c r="E356" i="3"/>
  <c r="F195" i="3"/>
  <c r="E195" i="4" s="1"/>
  <c r="E199" i="5" s="1"/>
  <c r="E195" i="3"/>
  <c r="D195" i="3"/>
  <c r="C195" i="3"/>
  <c r="B195" i="4" s="1"/>
  <c r="B199" i="5" s="1"/>
  <c r="D340" i="3"/>
  <c r="C340" i="3"/>
  <c r="B340" i="4" s="1"/>
  <c r="B344" i="5" s="1"/>
  <c r="F340" i="3"/>
  <c r="E340" i="4" s="1"/>
  <c r="E344" i="5" s="1"/>
  <c r="E340" i="3"/>
  <c r="D44" i="3"/>
  <c r="C44" i="3"/>
  <c r="B44" i="4" s="1"/>
  <c r="B48" i="5" s="1"/>
  <c r="F44" i="3"/>
  <c r="E44" i="4" s="1"/>
  <c r="E48" i="5" s="1"/>
  <c r="E44" i="3"/>
  <c r="D60" i="3"/>
  <c r="C60" i="3"/>
  <c r="B60" i="4" s="1"/>
  <c r="B64" i="5" s="1"/>
  <c r="F60" i="3"/>
  <c r="E60" i="4" s="1"/>
  <c r="E64" i="5" s="1"/>
  <c r="E60" i="3"/>
  <c r="D76" i="3"/>
  <c r="C76" i="3"/>
  <c r="B76" i="4" s="1"/>
  <c r="B80" i="5" s="1"/>
  <c r="F76" i="3"/>
  <c r="E76" i="4" s="1"/>
  <c r="E80" i="5" s="1"/>
  <c r="E76" i="3"/>
  <c r="D92" i="3"/>
  <c r="C92" i="3"/>
  <c r="B92" i="4" s="1"/>
  <c r="B96" i="5" s="1"/>
  <c r="F92" i="3"/>
  <c r="E92" i="4" s="1"/>
  <c r="E96" i="5" s="1"/>
  <c r="E92" i="3"/>
  <c r="D108" i="3"/>
  <c r="C108" i="3"/>
  <c r="B108" i="4" s="1"/>
  <c r="B112" i="5" s="1"/>
  <c r="F108" i="3"/>
  <c r="E108" i="4" s="1"/>
  <c r="E112" i="5" s="1"/>
  <c r="E108" i="3"/>
  <c r="D124" i="3"/>
  <c r="C124" i="3"/>
  <c r="B124" i="4" s="1"/>
  <c r="B128" i="5" s="1"/>
  <c r="F124" i="3"/>
  <c r="E124" i="4" s="1"/>
  <c r="E128" i="5" s="1"/>
  <c r="E124" i="3"/>
  <c r="D140" i="3"/>
  <c r="C140" i="3"/>
  <c r="B140" i="4" s="1"/>
  <c r="B144" i="5" s="1"/>
  <c r="F140" i="3"/>
  <c r="E140" i="4" s="1"/>
  <c r="E144" i="5" s="1"/>
  <c r="E140" i="3"/>
  <c r="D156" i="3"/>
  <c r="C156" i="3"/>
  <c r="B156" i="4" s="1"/>
  <c r="B160" i="5" s="1"/>
  <c r="F156" i="3"/>
  <c r="E156" i="4" s="1"/>
  <c r="E160" i="5" s="1"/>
  <c r="E156" i="3"/>
  <c r="F186" i="3"/>
  <c r="E186" i="4" s="1"/>
  <c r="E190" i="5" s="1"/>
  <c r="D186" i="3"/>
  <c r="C186" i="3"/>
  <c r="B186" i="4" s="1"/>
  <c r="B190" i="5" s="1"/>
  <c r="E186" i="3"/>
  <c r="C366" i="3"/>
  <c r="B366" i="4" s="1"/>
  <c r="B370" i="5" s="1"/>
  <c r="E366" i="3"/>
  <c r="D366" i="3"/>
  <c r="F366" i="3"/>
  <c r="E366" i="4" s="1"/>
  <c r="E370" i="5" s="1"/>
  <c r="E227" i="3"/>
  <c r="D227" i="3"/>
  <c r="C227" i="3"/>
  <c r="B227" i="4" s="1"/>
  <c r="B231" i="5" s="1"/>
  <c r="F227" i="3"/>
  <c r="E227" i="4" s="1"/>
  <c r="E231" i="5" s="1"/>
  <c r="C318" i="3"/>
  <c r="B318" i="4" s="1"/>
  <c r="B322" i="5" s="1"/>
  <c r="D318" i="3"/>
  <c r="F318" i="3"/>
  <c r="E318" i="4" s="1"/>
  <c r="E322" i="5" s="1"/>
  <c r="E318" i="3"/>
  <c r="F397" i="3"/>
  <c r="E397" i="4" s="1"/>
  <c r="E401" i="5" s="1"/>
  <c r="E397" i="3"/>
  <c r="C397" i="3"/>
  <c r="B397" i="4" s="1"/>
  <c r="B401" i="5" s="1"/>
  <c r="D397" i="3"/>
  <c r="D234" i="3"/>
  <c r="C234" i="3"/>
  <c r="B234" i="4" s="1"/>
  <c r="B238" i="5" s="1"/>
  <c r="F234" i="3"/>
  <c r="E234" i="4" s="1"/>
  <c r="E238" i="5" s="1"/>
  <c r="E234" i="3"/>
  <c r="D316" i="3"/>
  <c r="C316" i="3"/>
  <c r="B316" i="4" s="1"/>
  <c r="B320" i="5" s="1"/>
  <c r="F316" i="3"/>
  <c r="E316" i="4" s="1"/>
  <c r="E320" i="5" s="1"/>
  <c r="E316" i="3"/>
  <c r="F177" i="3"/>
  <c r="E177" i="4" s="1"/>
  <c r="E181" i="5" s="1"/>
  <c r="C177" i="3"/>
  <c r="B177" i="4" s="1"/>
  <c r="B181" i="5" s="1"/>
  <c r="E177" i="3"/>
  <c r="D177" i="3"/>
  <c r="C246" i="3"/>
  <c r="B246" i="4" s="1"/>
  <c r="B250" i="5" s="1"/>
  <c r="D246" i="3"/>
  <c r="F246" i="3"/>
  <c r="E246" i="4" s="1"/>
  <c r="E250" i="5" s="1"/>
  <c r="E246" i="3"/>
  <c r="D332" i="3"/>
  <c r="C332" i="3"/>
  <c r="B332" i="4" s="1"/>
  <c r="B336" i="5" s="1"/>
  <c r="E332" i="3"/>
  <c r="F332" i="3"/>
  <c r="E332" i="4" s="1"/>
  <c r="E336" i="5" s="1"/>
  <c r="F184" i="3"/>
  <c r="E184" i="4" s="1"/>
  <c r="E188" i="5" s="1"/>
  <c r="E184" i="3"/>
  <c r="D184" i="3"/>
  <c r="C184" i="3"/>
  <c r="B184" i="4" s="1"/>
  <c r="B188" i="5" s="1"/>
  <c r="F277" i="3"/>
  <c r="E277" i="4" s="1"/>
  <c r="E281" i="5" s="1"/>
  <c r="E277" i="3"/>
  <c r="D277" i="3"/>
  <c r="C277" i="3"/>
  <c r="B277" i="4" s="1"/>
  <c r="B281" i="5" s="1"/>
  <c r="D360" i="3"/>
  <c r="C360" i="3"/>
  <c r="B360" i="4" s="1"/>
  <c r="B364" i="5" s="1"/>
  <c r="F360" i="3"/>
  <c r="E360" i="4" s="1"/>
  <c r="E364" i="5" s="1"/>
  <c r="E360" i="3"/>
  <c r="C217" i="3"/>
  <c r="B217" i="4" s="1"/>
  <c r="B221" i="5" s="1"/>
  <c r="F217" i="3"/>
  <c r="E217" i="4" s="1"/>
  <c r="E221" i="5" s="1"/>
  <c r="E217" i="3"/>
  <c r="D217" i="3"/>
  <c r="D224" i="3"/>
  <c r="C224" i="3"/>
  <c r="B224" i="4" s="1"/>
  <c r="B228" i="5" s="1"/>
  <c r="F224" i="3"/>
  <c r="E224" i="4" s="1"/>
  <c r="E228" i="5" s="1"/>
  <c r="E224" i="3"/>
  <c r="E271" i="3"/>
  <c r="D271" i="3"/>
  <c r="C271" i="3"/>
  <c r="B271" i="4" s="1"/>
  <c r="B275" i="5" s="1"/>
  <c r="F271" i="3"/>
  <c r="E271" i="4" s="1"/>
  <c r="E275" i="5" s="1"/>
  <c r="E303" i="3"/>
  <c r="D303" i="3"/>
  <c r="C303" i="3"/>
  <c r="B303" i="4" s="1"/>
  <c r="B307" i="5" s="1"/>
  <c r="F303" i="3"/>
  <c r="E303" i="4" s="1"/>
  <c r="E307" i="5" s="1"/>
  <c r="E335" i="3"/>
  <c r="D335" i="3"/>
  <c r="C335" i="3"/>
  <c r="B335" i="4" s="1"/>
  <c r="B339" i="5" s="1"/>
  <c r="F335" i="3"/>
  <c r="E335" i="4" s="1"/>
  <c r="E339" i="5" s="1"/>
  <c r="E367" i="3"/>
  <c r="D367" i="3"/>
  <c r="C367" i="3"/>
  <c r="B367" i="4" s="1"/>
  <c r="B371" i="5" s="1"/>
  <c r="F367" i="3"/>
  <c r="E367" i="4" s="1"/>
  <c r="E371" i="5" s="1"/>
  <c r="E399" i="3"/>
  <c r="D399" i="3"/>
  <c r="C399" i="3"/>
  <c r="B399" i="4" s="1"/>
  <c r="B403" i="5" s="1"/>
  <c r="F399" i="3"/>
  <c r="E399" i="4" s="1"/>
  <c r="E403" i="5" s="1"/>
  <c r="D115" i="3"/>
  <c r="C115" i="3"/>
  <c r="B115" i="4" s="1"/>
  <c r="B119" i="5" s="1"/>
  <c r="F115" i="3"/>
  <c r="E115" i="4" s="1"/>
  <c r="E119" i="5" s="1"/>
  <c r="E115" i="3"/>
  <c r="D83" i="3"/>
  <c r="C83" i="3"/>
  <c r="B83" i="4" s="1"/>
  <c r="B87" i="5" s="1"/>
  <c r="F83" i="3"/>
  <c r="E83" i="4" s="1"/>
  <c r="E87" i="5" s="1"/>
  <c r="E83" i="3"/>
  <c r="D51" i="3"/>
  <c r="C51" i="3"/>
  <c r="B51" i="4" s="1"/>
  <c r="B55" i="5" s="1"/>
  <c r="F51" i="3"/>
  <c r="E51" i="4" s="1"/>
  <c r="E55" i="5" s="1"/>
  <c r="E51" i="3"/>
  <c r="C191" i="4"/>
  <c r="C195" i="5" s="1"/>
  <c r="D150" i="3"/>
  <c r="C150" i="3"/>
  <c r="B150" i="4" s="1"/>
  <c r="B154" i="5" s="1"/>
  <c r="F150" i="3"/>
  <c r="E150" i="4" s="1"/>
  <c r="E154" i="5" s="1"/>
  <c r="E150" i="3"/>
  <c r="F180" i="3"/>
  <c r="E180" i="4" s="1"/>
  <c r="E184" i="5" s="1"/>
  <c r="E180" i="3"/>
  <c r="C180" i="3"/>
  <c r="B180" i="4" s="1"/>
  <c r="B184" i="5" s="1"/>
  <c r="D180" i="3"/>
  <c r="D38" i="3"/>
  <c r="C38" i="3"/>
  <c r="B38" i="4" s="1"/>
  <c r="B42" i="5" s="1"/>
  <c r="F38" i="3"/>
  <c r="E38" i="4" s="1"/>
  <c r="E42" i="5" s="1"/>
  <c r="E38" i="3"/>
  <c r="D97" i="3"/>
  <c r="C97" i="3"/>
  <c r="B97" i="4" s="1"/>
  <c r="B101" i="5" s="1"/>
  <c r="F97" i="3"/>
  <c r="E97" i="4" s="1"/>
  <c r="E101" i="5" s="1"/>
  <c r="E97" i="3"/>
  <c r="D153" i="3"/>
  <c r="C153" i="3"/>
  <c r="B153" i="4" s="1"/>
  <c r="B157" i="5" s="1"/>
  <c r="F153" i="3"/>
  <c r="E153" i="4" s="1"/>
  <c r="E157" i="5" s="1"/>
  <c r="E153" i="3"/>
  <c r="F171" i="3"/>
  <c r="E171" i="4" s="1"/>
  <c r="E175" i="5" s="1"/>
  <c r="E171" i="3"/>
  <c r="D171" i="3"/>
  <c r="C171" i="3"/>
  <c r="B171" i="4" s="1"/>
  <c r="B175" i="5" s="1"/>
  <c r="F317" i="3"/>
  <c r="E317" i="4" s="1"/>
  <c r="E321" i="5" s="1"/>
  <c r="E317" i="3"/>
  <c r="D317" i="3"/>
  <c r="C317" i="3"/>
  <c r="B317" i="4" s="1"/>
  <c r="B321" i="5" s="1"/>
  <c r="D280" i="3"/>
  <c r="C280" i="3"/>
  <c r="B280" i="4" s="1"/>
  <c r="B284" i="5" s="1"/>
  <c r="F280" i="3"/>
  <c r="E280" i="4" s="1"/>
  <c r="E284" i="5" s="1"/>
  <c r="E280" i="3"/>
  <c r="D39" i="3"/>
  <c r="C39" i="3"/>
  <c r="B39" i="4" s="1"/>
  <c r="B43" i="5" s="1"/>
  <c r="E39" i="3"/>
  <c r="F39" i="3"/>
  <c r="E39" i="4" s="1"/>
  <c r="E43" i="5" s="1"/>
  <c r="D28" i="3"/>
  <c r="C28" i="3"/>
  <c r="B28" i="4" s="1"/>
  <c r="B32" i="5" s="1"/>
  <c r="F28" i="3"/>
  <c r="E28" i="4" s="1"/>
  <c r="E32" i="5" s="1"/>
  <c r="E28" i="3"/>
  <c r="D72" i="3"/>
  <c r="C72" i="3"/>
  <c r="B72" i="4" s="1"/>
  <c r="B76" i="5" s="1"/>
  <c r="F72" i="3"/>
  <c r="E72" i="4" s="1"/>
  <c r="E76" i="5" s="1"/>
  <c r="E72" i="3"/>
  <c r="D104" i="3"/>
  <c r="C104" i="3"/>
  <c r="B104" i="4" s="1"/>
  <c r="B108" i="5" s="1"/>
  <c r="F104" i="3"/>
  <c r="E104" i="4" s="1"/>
  <c r="E108" i="5" s="1"/>
  <c r="E104" i="3"/>
  <c r="D136" i="3"/>
  <c r="C136" i="3"/>
  <c r="B136" i="4" s="1"/>
  <c r="B140" i="5" s="1"/>
  <c r="F136" i="3"/>
  <c r="E136" i="4" s="1"/>
  <c r="E140" i="5" s="1"/>
  <c r="E136" i="3"/>
  <c r="D168" i="3"/>
  <c r="C168" i="3"/>
  <c r="B168" i="4" s="1"/>
  <c r="B172" i="5" s="1"/>
  <c r="F168" i="3"/>
  <c r="E168" i="4" s="1"/>
  <c r="E172" i="5" s="1"/>
  <c r="E168" i="3"/>
  <c r="D157" i="3"/>
  <c r="C157" i="3"/>
  <c r="B157" i="4" s="1"/>
  <c r="B161" i="5" s="1"/>
  <c r="F157" i="3"/>
  <c r="E157" i="4" s="1"/>
  <c r="E161" i="5" s="1"/>
  <c r="E157" i="3"/>
  <c r="D65" i="3"/>
  <c r="C65" i="3"/>
  <c r="B65" i="4" s="1"/>
  <c r="B69" i="5" s="1"/>
  <c r="F65" i="3"/>
  <c r="E65" i="4" s="1"/>
  <c r="E69" i="5" s="1"/>
  <c r="E65" i="3"/>
  <c r="D161" i="3"/>
  <c r="C161" i="3"/>
  <c r="B161" i="4" s="1"/>
  <c r="B165" i="5" s="1"/>
  <c r="F161" i="3"/>
  <c r="E161" i="4" s="1"/>
  <c r="E165" i="5" s="1"/>
  <c r="E161" i="3"/>
  <c r="D165" i="3"/>
  <c r="C165" i="3"/>
  <c r="B165" i="4" s="1"/>
  <c r="B169" i="5" s="1"/>
  <c r="F165" i="3"/>
  <c r="E165" i="4" s="1"/>
  <c r="E169" i="5" s="1"/>
  <c r="E165" i="3"/>
  <c r="C290" i="3"/>
  <c r="B290" i="4" s="1"/>
  <c r="B294" i="5" s="1"/>
  <c r="E290" i="3"/>
  <c r="D290" i="3"/>
  <c r="F290" i="3"/>
  <c r="E290" i="4" s="1"/>
  <c r="E294" i="5" s="1"/>
  <c r="F187" i="3"/>
  <c r="E187" i="4" s="1"/>
  <c r="E191" i="5" s="1"/>
  <c r="E187" i="3"/>
  <c r="D187" i="3"/>
  <c r="C187" i="3"/>
  <c r="B187" i="4" s="1"/>
  <c r="B191" i="5" s="1"/>
  <c r="C334" i="3"/>
  <c r="B334" i="4" s="1"/>
  <c r="B338" i="5" s="1"/>
  <c r="E334" i="3"/>
  <c r="D334" i="3"/>
  <c r="F334" i="3"/>
  <c r="E334" i="4" s="1"/>
  <c r="E338" i="5" s="1"/>
  <c r="F293" i="3"/>
  <c r="E293" i="4" s="1"/>
  <c r="E297" i="5" s="1"/>
  <c r="E293" i="3"/>
  <c r="D293" i="3"/>
  <c r="C293" i="3"/>
  <c r="B293" i="4" s="1"/>
  <c r="B297" i="5" s="1"/>
  <c r="C322" i="3"/>
  <c r="B322" i="4" s="1"/>
  <c r="B326" i="5" s="1"/>
  <c r="E322" i="3"/>
  <c r="D322" i="3"/>
  <c r="F322" i="3"/>
  <c r="E322" i="4" s="1"/>
  <c r="E326" i="5" s="1"/>
  <c r="C306" i="3"/>
  <c r="B306" i="4" s="1"/>
  <c r="B310" i="5" s="1"/>
  <c r="F306" i="3"/>
  <c r="E306" i="4" s="1"/>
  <c r="E310" i="5" s="1"/>
  <c r="E306" i="3"/>
  <c r="D306" i="3"/>
  <c r="D58" i="3"/>
  <c r="C58" i="3"/>
  <c r="B58" i="4" s="1"/>
  <c r="B62" i="5" s="1"/>
  <c r="F58" i="3"/>
  <c r="E58" i="4" s="1"/>
  <c r="E62" i="5" s="1"/>
  <c r="E58" i="3"/>
  <c r="D90" i="3"/>
  <c r="C90" i="3"/>
  <c r="B90" i="4" s="1"/>
  <c r="B94" i="5" s="1"/>
  <c r="F90" i="3"/>
  <c r="E90" i="4" s="1"/>
  <c r="E94" i="5" s="1"/>
  <c r="E90" i="3"/>
  <c r="D122" i="3"/>
  <c r="C122" i="3"/>
  <c r="B122" i="4" s="1"/>
  <c r="B126" i="5" s="1"/>
  <c r="F122" i="3"/>
  <c r="E122" i="4" s="1"/>
  <c r="E126" i="5" s="1"/>
  <c r="E122" i="3"/>
  <c r="D154" i="3"/>
  <c r="C154" i="3"/>
  <c r="B154" i="4" s="1"/>
  <c r="B158" i="5" s="1"/>
  <c r="F154" i="3"/>
  <c r="E154" i="4" s="1"/>
  <c r="E158" i="5" s="1"/>
  <c r="E154" i="3"/>
  <c r="F221" i="3"/>
  <c r="E221" i="4" s="1"/>
  <c r="E225" i="5" s="1"/>
  <c r="C221" i="3"/>
  <c r="B221" i="4" s="1"/>
  <c r="B225" i="5" s="1"/>
  <c r="E221" i="3"/>
  <c r="D221" i="3"/>
  <c r="D384" i="3"/>
  <c r="C384" i="3"/>
  <c r="B384" i="4" s="1"/>
  <c r="B388" i="5" s="1"/>
  <c r="E384" i="3"/>
  <c r="F384" i="3"/>
  <c r="E384" i="4" s="1"/>
  <c r="E388" i="5" s="1"/>
  <c r="C314" i="3"/>
  <c r="B314" i="4" s="1"/>
  <c r="B318" i="5" s="1"/>
  <c r="F314" i="3"/>
  <c r="E314" i="4" s="1"/>
  <c r="E318" i="5" s="1"/>
  <c r="E314" i="3"/>
  <c r="D314" i="3"/>
  <c r="C330" i="3"/>
  <c r="B330" i="4" s="1"/>
  <c r="B334" i="5" s="1"/>
  <c r="D330" i="3"/>
  <c r="F330" i="3"/>
  <c r="E330" i="4" s="1"/>
  <c r="E334" i="5" s="1"/>
  <c r="E330" i="3"/>
  <c r="D264" i="3"/>
  <c r="C264" i="3"/>
  <c r="B264" i="4" s="1"/>
  <c r="B268" i="5" s="1"/>
  <c r="F264" i="3"/>
  <c r="E264" i="4" s="1"/>
  <c r="E268" i="5" s="1"/>
  <c r="E264" i="3"/>
  <c r="C209" i="3"/>
  <c r="B209" i="4" s="1"/>
  <c r="B213" i="5" s="1"/>
  <c r="F209" i="3"/>
  <c r="E209" i="4" s="1"/>
  <c r="E213" i="5" s="1"/>
  <c r="E209" i="3"/>
  <c r="D209" i="3"/>
  <c r="D43" i="3"/>
  <c r="C43" i="3"/>
  <c r="B43" i="4" s="1"/>
  <c r="B47" i="5" s="1"/>
  <c r="F43" i="3"/>
  <c r="E43" i="4" s="1"/>
  <c r="E47" i="5" s="1"/>
  <c r="E43" i="3"/>
  <c r="D117" i="3"/>
  <c r="C117" i="3"/>
  <c r="B117" i="4" s="1"/>
  <c r="B121" i="5" s="1"/>
  <c r="F117" i="3"/>
  <c r="E117" i="4" s="1"/>
  <c r="E121" i="5" s="1"/>
  <c r="E117" i="3"/>
  <c r="D45" i="3"/>
  <c r="C45" i="3"/>
  <c r="B45" i="4" s="1"/>
  <c r="B49" i="5" s="1"/>
  <c r="F45" i="3"/>
  <c r="E45" i="4" s="1"/>
  <c r="E49" i="5" s="1"/>
  <c r="E45" i="3"/>
  <c r="D167" i="3"/>
  <c r="C167" i="3"/>
  <c r="B167" i="4" s="1"/>
  <c r="B171" i="5" s="1"/>
  <c r="F167" i="3"/>
  <c r="E167" i="4" s="1"/>
  <c r="E171" i="5" s="1"/>
  <c r="E167" i="3"/>
  <c r="D14" i="3"/>
  <c r="C14" i="3"/>
  <c r="B12" i="4" s="1"/>
  <c r="F14" i="3"/>
  <c r="E12" i="4" s="1"/>
  <c r="E14" i="3"/>
  <c r="D77" i="3"/>
  <c r="C77" i="3"/>
  <c r="B77" i="4" s="1"/>
  <c r="B81" i="5" s="1"/>
  <c r="F77" i="3"/>
  <c r="E77" i="4" s="1"/>
  <c r="E81" i="5" s="1"/>
  <c r="E77" i="3"/>
  <c r="D16" i="3"/>
  <c r="C16" i="3"/>
  <c r="B14" i="4" s="1"/>
  <c r="F16" i="3"/>
  <c r="E14" i="4" s="1"/>
  <c r="E16" i="3"/>
  <c r="D22" i="3"/>
  <c r="C22" i="3"/>
  <c r="B22" i="4" s="1"/>
  <c r="B26" i="5" s="1"/>
  <c r="E22" i="3"/>
  <c r="F22" i="3"/>
  <c r="E22" i="4" s="1"/>
  <c r="E26" i="5" s="1"/>
  <c r="F337" i="3"/>
  <c r="E337" i="4" s="1"/>
  <c r="E341" i="5" s="1"/>
  <c r="E337" i="3"/>
  <c r="D337" i="3"/>
  <c r="C337" i="3"/>
  <c r="B337" i="4" s="1"/>
  <c r="B341" i="5" s="1"/>
  <c r="D312" i="3"/>
  <c r="C312" i="3"/>
  <c r="B312" i="4" s="1"/>
  <c r="B316" i="5" s="1"/>
  <c r="F312" i="3"/>
  <c r="E312" i="4" s="1"/>
  <c r="E316" i="5" s="1"/>
  <c r="E312" i="3"/>
  <c r="D231" i="3"/>
  <c r="F231" i="3"/>
  <c r="E231" i="4" s="1"/>
  <c r="E235" i="5" s="1"/>
  <c r="E231" i="3"/>
  <c r="C231" i="3"/>
  <c r="B231" i="4" s="1"/>
  <c r="B235" i="5" s="1"/>
  <c r="C402" i="3"/>
  <c r="B402" i="4" s="1"/>
  <c r="B406" i="5" s="1"/>
  <c r="F402" i="3"/>
  <c r="E402" i="4" s="1"/>
  <c r="E406" i="5" s="1"/>
  <c r="E402" i="3"/>
  <c r="D402" i="3"/>
  <c r="F381" i="3"/>
  <c r="E381" i="4" s="1"/>
  <c r="E385" i="5" s="1"/>
  <c r="E381" i="3"/>
  <c r="D381" i="3"/>
  <c r="C381" i="3"/>
  <c r="B381" i="4" s="1"/>
  <c r="B385" i="5" s="1"/>
  <c r="D42" i="3"/>
  <c r="C42" i="3"/>
  <c r="B42" i="4" s="1"/>
  <c r="B46" i="5" s="1"/>
  <c r="F42" i="3"/>
  <c r="E42" i="4" s="1"/>
  <c r="E46" i="5" s="1"/>
  <c r="E42" i="3"/>
  <c r="D344" i="3"/>
  <c r="C344" i="3"/>
  <c r="B344" i="4" s="1"/>
  <c r="B348" i="5" s="1"/>
  <c r="F344" i="3"/>
  <c r="E344" i="4" s="1"/>
  <c r="E348" i="5" s="1"/>
  <c r="E344" i="3"/>
  <c r="D202" i="3"/>
  <c r="E202" i="3"/>
  <c r="C202" i="3"/>
  <c r="B202" i="4" s="1"/>
  <c r="B206" i="5" s="1"/>
  <c r="F202" i="3"/>
  <c r="E202" i="4" s="1"/>
  <c r="E206" i="5" s="1"/>
  <c r="F369" i="3"/>
  <c r="E369" i="4" s="1"/>
  <c r="E373" i="5" s="1"/>
  <c r="E369" i="3"/>
  <c r="D369" i="3"/>
  <c r="C369" i="3"/>
  <c r="B369" i="4" s="1"/>
  <c r="B373" i="5" s="1"/>
  <c r="E214" i="3"/>
  <c r="D214" i="3"/>
  <c r="C214" i="3"/>
  <c r="B214" i="4" s="1"/>
  <c r="B218" i="5" s="1"/>
  <c r="F214" i="3"/>
  <c r="E214" i="4" s="1"/>
  <c r="E218" i="5" s="1"/>
  <c r="F353" i="3"/>
  <c r="E353" i="4" s="1"/>
  <c r="E357" i="5" s="1"/>
  <c r="E353" i="3"/>
  <c r="D353" i="3"/>
  <c r="C353" i="3"/>
  <c r="B353" i="4" s="1"/>
  <c r="B357" i="5" s="1"/>
  <c r="D46" i="3"/>
  <c r="C46" i="3"/>
  <c r="B46" i="4" s="1"/>
  <c r="B50" i="5" s="1"/>
  <c r="F46" i="3"/>
  <c r="E46" i="4" s="1"/>
  <c r="E50" i="5" s="1"/>
  <c r="E46" i="3"/>
  <c r="D62" i="3"/>
  <c r="C62" i="3"/>
  <c r="B62" i="4" s="1"/>
  <c r="B66" i="5" s="1"/>
  <c r="F62" i="3"/>
  <c r="E62" i="4" s="1"/>
  <c r="E66" i="5" s="1"/>
  <c r="E62" i="3"/>
  <c r="D78" i="3"/>
  <c r="C78" i="3"/>
  <c r="B78" i="4" s="1"/>
  <c r="B82" i="5" s="1"/>
  <c r="F78" i="3"/>
  <c r="E78" i="4" s="1"/>
  <c r="E82" i="5" s="1"/>
  <c r="E78" i="3"/>
  <c r="D94" i="3"/>
  <c r="C94" i="3"/>
  <c r="B94" i="4" s="1"/>
  <c r="B98" i="5" s="1"/>
  <c r="F94" i="3"/>
  <c r="E94" i="4" s="1"/>
  <c r="E98" i="5" s="1"/>
  <c r="E94" i="3"/>
  <c r="D110" i="3"/>
  <c r="C110" i="3"/>
  <c r="B110" i="4" s="1"/>
  <c r="B114" i="5" s="1"/>
  <c r="F110" i="3"/>
  <c r="E110" i="4" s="1"/>
  <c r="E114" i="5" s="1"/>
  <c r="E110" i="3"/>
  <c r="D126" i="3"/>
  <c r="C126" i="3"/>
  <c r="B126" i="4" s="1"/>
  <c r="B130" i="5" s="1"/>
  <c r="F126" i="3"/>
  <c r="E126" i="4" s="1"/>
  <c r="E130" i="5" s="1"/>
  <c r="E126" i="3"/>
  <c r="D142" i="3"/>
  <c r="C142" i="3"/>
  <c r="B142" i="4" s="1"/>
  <c r="B146" i="5" s="1"/>
  <c r="F142" i="3"/>
  <c r="E142" i="4" s="1"/>
  <c r="E146" i="5" s="1"/>
  <c r="E142" i="3"/>
  <c r="D158" i="3"/>
  <c r="C158" i="3"/>
  <c r="B158" i="4" s="1"/>
  <c r="B162" i="5" s="1"/>
  <c r="F158" i="3"/>
  <c r="E158" i="4" s="1"/>
  <c r="E162" i="5" s="1"/>
  <c r="E158" i="3"/>
  <c r="E211" i="3"/>
  <c r="D211" i="3"/>
  <c r="F211" i="3"/>
  <c r="E211" i="4" s="1"/>
  <c r="E215" i="5" s="1"/>
  <c r="C211" i="3"/>
  <c r="B211" i="4" s="1"/>
  <c r="B215" i="5" s="1"/>
  <c r="D400" i="3"/>
  <c r="C400" i="3"/>
  <c r="B400" i="4" s="1"/>
  <c r="B404" i="5" s="1"/>
  <c r="F400" i="3"/>
  <c r="E400" i="4" s="1"/>
  <c r="E404" i="5" s="1"/>
  <c r="E400" i="3"/>
  <c r="E243" i="3"/>
  <c r="D243" i="3"/>
  <c r="C243" i="3"/>
  <c r="B243" i="4" s="1"/>
  <c r="B247" i="5" s="1"/>
  <c r="F243" i="3"/>
  <c r="E243" i="4" s="1"/>
  <c r="E247" i="5" s="1"/>
  <c r="D320" i="3"/>
  <c r="C320" i="3"/>
  <c r="B320" i="4" s="1"/>
  <c r="B324" i="5" s="1"/>
  <c r="E320" i="3"/>
  <c r="F320" i="3"/>
  <c r="E320" i="4" s="1"/>
  <c r="E324" i="5" s="1"/>
  <c r="F173" i="3"/>
  <c r="E173" i="4" s="1"/>
  <c r="E177" i="5" s="1"/>
  <c r="D173" i="3"/>
  <c r="E173" i="3"/>
  <c r="C173" i="3"/>
  <c r="B173" i="4" s="1"/>
  <c r="B177" i="5" s="1"/>
  <c r="F236" i="3"/>
  <c r="E236" i="4" s="1"/>
  <c r="E240" i="5" s="1"/>
  <c r="E236" i="3"/>
  <c r="D236" i="3"/>
  <c r="C236" i="3"/>
  <c r="B236" i="4" s="1"/>
  <c r="B240" i="5" s="1"/>
  <c r="F329" i="3"/>
  <c r="E329" i="4" s="1"/>
  <c r="E333" i="5" s="1"/>
  <c r="E329" i="3"/>
  <c r="D329" i="3"/>
  <c r="C329" i="3"/>
  <c r="B329" i="4" s="1"/>
  <c r="B333" i="5" s="1"/>
  <c r="F185" i="3"/>
  <c r="E185" i="4" s="1"/>
  <c r="E189" i="5" s="1"/>
  <c r="C185" i="3"/>
  <c r="B185" i="4" s="1"/>
  <c r="B189" i="5" s="1"/>
  <c r="E185" i="3"/>
  <c r="D185" i="3"/>
  <c r="C266" i="3"/>
  <c r="B266" i="4" s="1"/>
  <c r="B270" i="5" s="1"/>
  <c r="D266" i="3"/>
  <c r="F266" i="3"/>
  <c r="E266" i="4" s="1"/>
  <c r="E270" i="5" s="1"/>
  <c r="E266" i="3"/>
  <c r="F345" i="3"/>
  <c r="E345" i="4" s="1"/>
  <c r="E349" i="5" s="1"/>
  <c r="E345" i="3"/>
  <c r="C345" i="3"/>
  <c r="B345" i="4" s="1"/>
  <c r="B349" i="5" s="1"/>
  <c r="D345" i="3"/>
  <c r="F192" i="3"/>
  <c r="E192" i="4" s="1"/>
  <c r="E196" i="5" s="1"/>
  <c r="E192" i="3"/>
  <c r="D192" i="3"/>
  <c r="C192" i="3"/>
  <c r="B192" i="4" s="1"/>
  <c r="B196" i="5" s="1"/>
  <c r="C294" i="3"/>
  <c r="B294" i="4" s="1"/>
  <c r="B298" i="5" s="1"/>
  <c r="F294" i="3"/>
  <c r="E294" i="4" s="1"/>
  <c r="E298" i="5" s="1"/>
  <c r="E294" i="3"/>
  <c r="D294" i="3"/>
  <c r="F373" i="3"/>
  <c r="E373" i="4" s="1"/>
  <c r="E377" i="5" s="1"/>
  <c r="E373" i="3"/>
  <c r="D373" i="3"/>
  <c r="C373" i="3"/>
  <c r="B373" i="4" s="1"/>
  <c r="B377" i="5" s="1"/>
  <c r="C225" i="3"/>
  <c r="B225" i="4" s="1"/>
  <c r="B229" i="5" s="1"/>
  <c r="D225" i="3"/>
  <c r="F225" i="3"/>
  <c r="E225" i="4" s="1"/>
  <c r="E229" i="5" s="1"/>
  <c r="E225" i="3"/>
  <c r="E232" i="3"/>
  <c r="D232" i="3"/>
  <c r="C232" i="3"/>
  <c r="B232" i="4" s="1"/>
  <c r="B236" i="5" s="1"/>
  <c r="F232" i="3"/>
  <c r="E232" i="4" s="1"/>
  <c r="E236" i="5" s="1"/>
  <c r="E275" i="3"/>
  <c r="F275" i="3"/>
  <c r="E275" i="4" s="1"/>
  <c r="E279" i="5" s="1"/>
  <c r="D275" i="3"/>
  <c r="C275" i="3"/>
  <c r="B275" i="4" s="1"/>
  <c r="B279" i="5" s="1"/>
  <c r="E307" i="3"/>
  <c r="F307" i="3"/>
  <c r="E307" i="4" s="1"/>
  <c r="E311" i="5" s="1"/>
  <c r="D307" i="3"/>
  <c r="C307" i="3"/>
  <c r="B307" i="4" s="1"/>
  <c r="B311" i="5" s="1"/>
  <c r="E339" i="3"/>
  <c r="F339" i="3"/>
  <c r="E339" i="4" s="1"/>
  <c r="E343" i="5" s="1"/>
  <c r="D339" i="3"/>
  <c r="C339" i="3"/>
  <c r="B339" i="4" s="1"/>
  <c r="B343" i="5" s="1"/>
  <c r="E371" i="3"/>
  <c r="F371" i="3"/>
  <c r="E371" i="4" s="1"/>
  <c r="E375" i="5" s="1"/>
  <c r="D371" i="3"/>
  <c r="C371" i="3"/>
  <c r="B371" i="4" s="1"/>
  <c r="B375" i="5" s="1"/>
  <c r="F175" i="3"/>
  <c r="E175" i="4" s="1"/>
  <c r="E179" i="5" s="1"/>
  <c r="D175" i="3"/>
  <c r="C175" i="3"/>
  <c r="B175" i="4" s="1"/>
  <c r="B179" i="5" s="1"/>
  <c r="E175" i="3"/>
  <c r="D111" i="3"/>
  <c r="C111" i="3"/>
  <c r="B111" i="4" s="1"/>
  <c r="B115" i="5" s="1"/>
  <c r="F111" i="3"/>
  <c r="E111" i="4" s="1"/>
  <c r="E115" i="5" s="1"/>
  <c r="E111" i="3"/>
  <c r="D79" i="3"/>
  <c r="C79" i="3"/>
  <c r="B79" i="4" s="1"/>
  <c r="B83" i="5" s="1"/>
  <c r="F79" i="3"/>
  <c r="E79" i="4" s="1"/>
  <c r="E83" i="5" s="1"/>
  <c r="E79" i="3"/>
  <c r="D47" i="3"/>
  <c r="C47" i="3"/>
  <c r="B47" i="4" s="1"/>
  <c r="B51" i="5" s="1"/>
  <c r="F47" i="3"/>
  <c r="E47" i="4" s="1"/>
  <c r="E51" i="5" s="1"/>
  <c r="E47" i="3"/>
  <c r="E20" i="5" l="1"/>
  <c r="H191" i="3"/>
  <c r="G191" i="4" s="1"/>
  <c r="E17" i="5"/>
  <c r="B20" i="5"/>
  <c r="E18" i="5"/>
  <c r="E19" i="5"/>
  <c r="E16" i="5"/>
  <c r="E8" i="5"/>
  <c r="B16" i="5"/>
  <c r="B8" i="5"/>
  <c r="B19" i="5"/>
  <c r="B18" i="5"/>
  <c r="E15" i="5"/>
  <c r="B15" i="5"/>
  <c r="B11" i="5"/>
  <c r="E13" i="5"/>
  <c r="B13" i="5"/>
  <c r="E11" i="5"/>
  <c r="E12" i="5"/>
  <c r="E9" i="5"/>
  <c r="B9" i="5"/>
  <c r="B12" i="5"/>
  <c r="E10" i="5"/>
  <c r="B10" i="5"/>
  <c r="R373" i="5"/>
  <c r="J373" i="5"/>
  <c r="Q373" i="5"/>
  <c r="I373" i="5"/>
  <c r="O373" i="5"/>
  <c r="G373" i="5"/>
  <c r="H373" i="5"/>
  <c r="F373" i="5"/>
  <c r="S373" i="5"/>
  <c r="L373" i="5"/>
  <c r="N373" i="5"/>
  <c r="M373" i="5"/>
  <c r="P373" i="5"/>
  <c r="K373" i="5"/>
  <c r="D344" i="4"/>
  <c r="D348" i="5" s="1"/>
  <c r="I344" i="3"/>
  <c r="H344" i="4" s="1"/>
  <c r="D38" i="4"/>
  <c r="D42" i="5" s="1"/>
  <c r="I38" i="3"/>
  <c r="H38" i="4" s="1"/>
  <c r="Q229" i="5"/>
  <c r="I229" i="5"/>
  <c r="P229" i="5"/>
  <c r="H229" i="5"/>
  <c r="O229" i="5"/>
  <c r="G229" i="5"/>
  <c r="N229" i="5"/>
  <c r="F229" i="5"/>
  <c r="M229" i="5"/>
  <c r="L229" i="5"/>
  <c r="K229" i="5"/>
  <c r="S229" i="5"/>
  <c r="R229" i="5"/>
  <c r="J229" i="5"/>
  <c r="C62" i="4"/>
  <c r="C66" i="5" s="1"/>
  <c r="G62" i="3"/>
  <c r="F62" i="4" s="1"/>
  <c r="H62" i="3"/>
  <c r="G62" i="4" s="1"/>
  <c r="C344" i="4"/>
  <c r="C348" i="5" s="1"/>
  <c r="H344" i="3"/>
  <c r="G344" i="4" s="1"/>
  <c r="G344" i="3"/>
  <c r="F344" i="4" s="1"/>
  <c r="C231" i="4"/>
  <c r="C235" i="5" s="1"/>
  <c r="H231" i="3"/>
  <c r="G231" i="4" s="1"/>
  <c r="G231" i="3"/>
  <c r="F231" i="4" s="1"/>
  <c r="G16" i="3"/>
  <c r="F14" i="4" s="1"/>
  <c r="H16" i="3"/>
  <c r="G14" i="4" s="1"/>
  <c r="C14" i="4"/>
  <c r="C12" i="4"/>
  <c r="G14" i="3"/>
  <c r="F12" i="4" s="1"/>
  <c r="H14" i="3"/>
  <c r="G12" i="4" s="1"/>
  <c r="C45" i="4"/>
  <c r="C49" i="5" s="1"/>
  <c r="G45" i="3"/>
  <c r="F45" i="4" s="1"/>
  <c r="H45" i="3"/>
  <c r="G45" i="4" s="1"/>
  <c r="C43" i="4"/>
  <c r="C47" i="5" s="1"/>
  <c r="G43" i="3"/>
  <c r="F43" i="4" s="1"/>
  <c r="H43" i="3"/>
  <c r="G43" i="4" s="1"/>
  <c r="H264" i="3"/>
  <c r="G264" i="4" s="1"/>
  <c r="G264" i="3"/>
  <c r="F264" i="4" s="1"/>
  <c r="C264" i="4"/>
  <c r="C268" i="5" s="1"/>
  <c r="P318" i="5"/>
  <c r="H318" i="5"/>
  <c r="O318" i="5"/>
  <c r="G318" i="5"/>
  <c r="N318" i="5"/>
  <c r="F318" i="5"/>
  <c r="R318" i="5"/>
  <c r="J318" i="5"/>
  <c r="S318" i="5"/>
  <c r="L318" i="5"/>
  <c r="Q318" i="5"/>
  <c r="M318" i="5"/>
  <c r="K318" i="5"/>
  <c r="I318" i="5"/>
  <c r="C122" i="4"/>
  <c r="C126" i="5" s="1"/>
  <c r="G122" i="3"/>
  <c r="F122" i="4" s="1"/>
  <c r="H122" i="3"/>
  <c r="G122" i="4" s="1"/>
  <c r="C58" i="4"/>
  <c r="C62" i="5" s="1"/>
  <c r="G58" i="3"/>
  <c r="F58" i="4" s="1"/>
  <c r="H58" i="3"/>
  <c r="G58" i="4" s="1"/>
  <c r="M326" i="5"/>
  <c r="L326" i="5"/>
  <c r="S326" i="5"/>
  <c r="K326" i="5"/>
  <c r="R326" i="5"/>
  <c r="G326" i="5"/>
  <c r="Q326" i="5"/>
  <c r="F326" i="5"/>
  <c r="P326" i="5"/>
  <c r="I326" i="5"/>
  <c r="O326" i="5"/>
  <c r="N326" i="5"/>
  <c r="J326" i="5"/>
  <c r="H326" i="5"/>
  <c r="Q338" i="5"/>
  <c r="I338" i="5"/>
  <c r="S338" i="5"/>
  <c r="J338" i="5"/>
  <c r="R338" i="5"/>
  <c r="H338" i="5"/>
  <c r="P338" i="5"/>
  <c r="G338" i="5"/>
  <c r="M338" i="5"/>
  <c r="L338" i="5"/>
  <c r="K338" i="5"/>
  <c r="O338" i="5"/>
  <c r="F338" i="5"/>
  <c r="N338" i="5"/>
  <c r="P294" i="5"/>
  <c r="H294" i="5"/>
  <c r="O294" i="5"/>
  <c r="G294" i="5"/>
  <c r="N294" i="5"/>
  <c r="F294" i="5"/>
  <c r="R294" i="5"/>
  <c r="J294" i="5"/>
  <c r="S294" i="5"/>
  <c r="L294" i="5"/>
  <c r="M294" i="5"/>
  <c r="K294" i="5"/>
  <c r="I294" i="5"/>
  <c r="Q294" i="5"/>
  <c r="G161" i="3"/>
  <c r="F161" i="4" s="1"/>
  <c r="C161" i="4"/>
  <c r="C165" i="5" s="1"/>
  <c r="H161" i="3"/>
  <c r="G161" i="4" s="1"/>
  <c r="C157" i="4"/>
  <c r="C161" i="5" s="1"/>
  <c r="G157" i="3"/>
  <c r="F157" i="4" s="1"/>
  <c r="H157" i="3"/>
  <c r="G157" i="4" s="1"/>
  <c r="G136" i="3"/>
  <c r="F136" i="4" s="1"/>
  <c r="C136" i="4"/>
  <c r="C140" i="5" s="1"/>
  <c r="H136" i="3"/>
  <c r="G136" i="4" s="1"/>
  <c r="C72" i="4"/>
  <c r="C76" i="5" s="1"/>
  <c r="G72" i="3"/>
  <c r="F72" i="4" s="1"/>
  <c r="H72" i="3"/>
  <c r="G72" i="4" s="1"/>
  <c r="C39" i="4"/>
  <c r="C43" i="5" s="1"/>
  <c r="G39" i="3"/>
  <c r="F39" i="4" s="1"/>
  <c r="H39" i="3"/>
  <c r="G39" i="4" s="1"/>
  <c r="C153" i="4"/>
  <c r="C157" i="5" s="1"/>
  <c r="G153" i="3"/>
  <c r="F153" i="4" s="1"/>
  <c r="H153" i="3"/>
  <c r="G153" i="4" s="1"/>
  <c r="C38" i="4"/>
  <c r="C42" i="5" s="1"/>
  <c r="G38" i="3"/>
  <c r="F38" i="4" s="1"/>
  <c r="H38" i="3"/>
  <c r="G38" i="4" s="1"/>
  <c r="C150" i="4"/>
  <c r="C154" i="5" s="1"/>
  <c r="G150" i="3"/>
  <c r="F150" i="4" s="1"/>
  <c r="H150" i="3"/>
  <c r="G150" i="4" s="1"/>
  <c r="D83" i="4"/>
  <c r="D87" i="5" s="1"/>
  <c r="I83" i="3"/>
  <c r="H83" i="4" s="1"/>
  <c r="H217" i="3"/>
  <c r="G217" i="4" s="1"/>
  <c r="C217" i="4"/>
  <c r="C221" i="5" s="1"/>
  <c r="G217" i="3"/>
  <c r="F217" i="4" s="1"/>
  <c r="R281" i="5"/>
  <c r="J281" i="5"/>
  <c r="Q281" i="5"/>
  <c r="I281" i="5"/>
  <c r="P281" i="5"/>
  <c r="H281" i="5"/>
  <c r="L281" i="5"/>
  <c r="O281" i="5"/>
  <c r="N281" i="5"/>
  <c r="M281" i="5"/>
  <c r="F281" i="5"/>
  <c r="K281" i="5"/>
  <c r="G281" i="5"/>
  <c r="S281" i="5"/>
  <c r="C177" i="4"/>
  <c r="C181" i="5" s="1"/>
  <c r="G177" i="3"/>
  <c r="F177" i="4" s="1"/>
  <c r="H177" i="3"/>
  <c r="G177" i="4" s="1"/>
  <c r="D234" i="4"/>
  <c r="D238" i="5" s="1"/>
  <c r="I234" i="3"/>
  <c r="H234" i="4" s="1"/>
  <c r="D318" i="4"/>
  <c r="D322" i="5" s="1"/>
  <c r="I318" i="3"/>
  <c r="H318" i="4" s="1"/>
  <c r="I156" i="3"/>
  <c r="H156" i="4" s="1"/>
  <c r="D156" i="4"/>
  <c r="D160" i="5" s="1"/>
  <c r="D124" i="4"/>
  <c r="D128" i="5" s="1"/>
  <c r="I124" i="3"/>
  <c r="H124" i="4" s="1"/>
  <c r="D92" i="4"/>
  <c r="D96" i="5" s="1"/>
  <c r="I92" i="3"/>
  <c r="H92" i="4" s="1"/>
  <c r="D60" i="4"/>
  <c r="D64" i="5" s="1"/>
  <c r="I60" i="3"/>
  <c r="H60" i="4" s="1"/>
  <c r="D340" i="4"/>
  <c r="D344" i="5" s="1"/>
  <c r="I340" i="3"/>
  <c r="H340" i="4" s="1"/>
  <c r="D356" i="4"/>
  <c r="D360" i="5" s="1"/>
  <c r="I356" i="3"/>
  <c r="H356" i="4" s="1"/>
  <c r="H310" i="3"/>
  <c r="G310" i="4" s="1"/>
  <c r="G310" i="3"/>
  <c r="F310" i="4" s="1"/>
  <c r="C310" i="4"/>
  <c r="C314" i="5" s="1"/>
  <c r="I368" i="3"/>
  <c r="H368" i="4" s="1"/>
  <c r="D368" i="4"/>
  <c r="D372" i="5" s="1"/>
  <c r="S208" i="5"/>
  <c r="R208" i="5"/>
  <c r="Q208" i="5"/>
  <c r="P208" i="5"/>
  <c r="K208" i="5"/>
  <c r="J208" i="5"/>
  <c r="I208" i="5"/>
  <c r="N208" i="5"/>
  <c r="F208" i="5"/>
  <c r="O208" i="5"/>
  <c r="M208" i="5"/>
  <c r="L208" i="5"/>
  <c r="H208" i="5"/>
  <c r="G208" i="5"/>
  <c r="D324" i="4"/>
  <c r="D328" i="5" s="1"/>
  <c r="I324" i="3"/>
  <c r="H324" i="4" s="1"/>
  <c r="D133" i="4"/>
  <c r="D137" i="5" s="1"/>
  <c r="I133" i="3"/>
  <c r="H133" i="4" s="1"/>
  <c r="D145" i="4"/>
  <c r="D149" i="5" s="1"/>
  <c r="I145" i="3"/>
  <c r="H145" i="4" s="1"/>
  <c r="D53" i="4"/>
  <c r="D57" i="5" s="1"/>
  <c r="I53" i="3"/>
  <c r="H53" i="4" s="1"/>
  <c r="D141" i="4"/>
  <c r="D145" i="5" s="1"/>
  <c r="I141" i="3"/>
  <c r="H141" i="4" s="1"/>
  <c r="H358" i="3"/>
  <c r="G358" i="4" s="1"/>
  <c r="G358" i="3"/>
  <c r="F358" i="4" s="1"/>
  <c r="C358" i="4"/>
  <c r="C362" i="5" s="1"/>
  <c r="R397" i="5"/>
  <c r="J397" i="5"/>
  <c r="Q397" i="5"/>
  <c r="I397" i="5"/>
  <c r="O397" i="5"/>
  <c r="G397" i="5"/>
  <c r="N397" i="5"/>
  <c r="F397" i="5"/>
  <c r="M397" i="5"/>
  <c r="L397" i="5"/>
  <c r="K397" i="5"/>
  <c r="S397" i="5"/>
  <c r="H397" i="5"/>
  <c r="P397" i="5"/>
  <c r="C301" i="4"/>
  <c r="C305" i="5" s="1"/>
  <c r="H301" i="3"/>
  <c r="G301" i="4" s="1"/>
  <c r="G301" i="3"/>
  <c r="F301" i="4" s="1"/>
  <c r="D138" i="4"/>
  <c r="D142" i="5" s="1"/>
  <c r="I138" i="3"/>
  <c r="H138" i="4" s="1"/>
  <c r="D74" i="4"/>
  <c r="D78" i="5" s="1"/>
  <c r="I74" i="3"/>
  <c r="H74" i="4" s="1"/>
  <c r="M183" i="5"/>
  <c r="L183" i="5"/>
  <c r="S183" i="5"/>
  <c r="K183" i="5"/>
  <c r="P183" i="5"/>
  <c r="H183" i="5"/>
  <c r="R183" i="5"/>
  <c r="Q183" i="5"/>
  <c r="O183" i="5"/>
  <c r="G183" i="5"/>
  <c r="N183" i="5"/>
  <c r="J183" i="5"/>
  <c r="I183" i="5"/>
  <c r="F183" i="5"/>
  <c r="D26" i="4"/>
  <c r="D30" i="5" s="1"/>
  <c r="I26" i="3"/>
  <c r="H26" i="4" s="1"/>
  <c r="R265" i="5"/>
  <c r="J265" i="5"/>
  <c r="Q265" i="5"/>
  <c r="I265" i="5"/>
  <c r="P265" i="5"/>
  <c r="H265" i="5"/>
  <c r="F265" i="5"/>
  <c r="S265" i="5"/>
  <c r="O265" i="5"/>
  <c r="N265" i="5"/>
  <c r="M265" i="5"/>
  <c r="L265" i="5"/>
  <c r="K265" i="5"/>
  <c r="G265" i="5"/>
  <c r="D89" i="4"/>
  <c r="D93" i="5" s="1"/>
  <c r="I89" i="3"/>
  <c r="H89" i="4" s="1"/>
  <c r="D139" i="4"/>
  <c r="D143" i="5" s="1"/>
  <c r="I139" i="3"/>
  <c r="H139" i="4" s="1"/>
  <c r="D152" i="4"/>
  <c r="D156" i="5" s="1"/>
  <c r="I152" i="3"/>
  <c r="H152" i="4" s="1"/>
  <c r="D88" i="4"/>
  <c r="D92" i="5" s="1"/>
  <c r="I88" i="3"/>
  <c r="H88" i="4" s="1"/>
  <c r="R293" i="5"/>
  <c r="J293" i="5"/>
  <c r="Q293" i="5"/>
  <c r="I293" i="5"/>
  <c r="P293" i="5"/>
  <c r="H293" i="5"/>
  <c r="L293" i="5"/>
  <c r="G293" i="5"/>
  <c r="F293" i="5"/>
  <c r="N293" i="5"/>
  <c r="S293" i="5"/>
  <c r="O293" i="5"/>
  <c r="M293" i="5"/>
  <c r="K293" i="5"/>
  <c r="D18" i="4"/>
  <c r="D22" i="5" s="1"/>
  <c r="I18" i="3"/>
  <c r="H18" i="4" s="1"/>
  <c r="R277" i="5"/>
  <c r="J277" i="5"/>
  <c r="Q277" i="5"/>
  <c r="I277" i="5"/>
  <c r="P277" i="5"/>
  <c r="H277" i="5"/>
  <c r="L277" i="5"/>
  <c r="G277" i="5"/>
  <c r="F277" i="5"/>
  <c r="N277" i="5"/>
  <c r="S277" i="5"/>
  <c r="O277" i="5"/>
  <c r="M277" i="5"/>
  <c r="K277" i="5"/>
  <c r="D178" i="4"/>
  <c r="D182" i="5" s="1"/>
  <c r="I178" i="3"/>
  <c r="H178" i="4" s="1"/>
  <c r="D166" i="4"/>
  <c r="D170" i="5" s="1"/>
  <c r="I166" i="3"/>
  <c r="H166" i="4" s="1"/>
  <c r="D70" i="4"/>
  <c r="D74" i="5" s="1"/>
  <c r="I70" i="3"/>
  <c r="H70" i="4" s="1"/>
  <c r="O325" i="5"/>
  <c r="G325" i="5"/>
  <c r="N325" i="5"/>
  <c r="F325" i="5"/>
  <c r="M325" i="5"/>
  <c r="K325" i="5"/>
  <c r="J325" i="5"/>
  <c r="I325" i="5"/>
  <c r="P325" i="5"/>
  <c r="H325" i="5"/>
  <c r="R325" i="5"/>
  <c r="S325" i="5"/>
  <c r="Q325" i="5"/>
  <c r="L325" i="5"/>
  <c r="D105" i="4"/>
  <c r="D109" i="5" s="1"/>
  <c r="I105" i="3"/>
  <c r="H105" i="4" s="1"/>
  <c r="D107" i="4"/>
  <c r="D111" i="5" s="1"/>
  <c r="I107" i="3"/>
  <c r="H107" i="4" s="1"/>
  <c r="C333" i="4"/>
  <c r="C337" i="5" s="1"/>
  <c r="H333" i="3"/>
  <c r="G333" i="4" s="1"/>
  <c r="G333" i="3"/>
  <c r="F333" i="4" s="1"/>
  <c r="D96" i="4"/>
  <c r="D100" i="5" s="1"/>
  <c r="I96" i="3"/>
  <c r="H96" i="4" s="1"/>
  <c r="D210" i="4"/>
  <c r="D214" i="5" s="1"/>
  <c r="I210" i="3"/>
  <c r="H210" i="4" s="1"/>
  <c r="D27" i="4"/>
  <c r="D31" i="5" s="1"/>
  <c r="I27" i="3"/>
  <c r="H27" i="4" s="1"/>
  <c r="N399" i="5"/>
  <c r="F399" i="5"/>
  <c r="M399" i="5"/>
  <c r="S399" i="5"/>
  <c r="K399" i="5"/>
  <c r="R399" i="5"/>
  <c r="J399" i="5"/>
  <c r="I399" i="5"/>
  <c r="H399" i="5"/>
  <c r="G399" i="5"/>
  <c r="O399" i="5"/>
  <c r="P399" i="5"/>
  <c r="Q399" i="5"/>
  <c r="L399" i="5"/>
  <c r="S335" i="5"/>
  <c r="K335" i="5"/>
  <c r="R335" i="5"/>
  <c r="J335" i="5"/>
  <c r="Q335" i="5"/>
  <c r="I335" i="5"/>
  <c r="L335" i="5"/>
  <c r="H335" i="5"/>
  <c r="G335" i="5"/>
  <c r="N335" i="5"/>
  <c r="F335" i="5"/>
  <c r="P335" i="5"/>
  <c r="O335" i="5"/>
  <c r="M335" i="5"/>
  <c r="N271" i="5"/>
  <c r="F271" i="5"/>
  <c r="M271" i="5"/>
  <c r="L271" i="5"/>
  <c r="P271" i="5"/>
  <c r="H271" i="5"/>
  <c r="S271" i="5"/>
  <c r="R271" i="5"/>
  <c r="Q271" i="5"/>
  <c r="J271" i="5"/>
  <c r="O271" i="5"/>
  <c r="K271" i="5"/>
  <c r="I271" i="5"/>
  <c r="G271" i="5"/>
  <c r="I349" i="3"/>
  <c r="H349" i="4" s="1"/>
  <c r="D349" i="4"/>
  <c r="D353" i="5" s="1"/>
  <c r="L296" i="5"/>
  <c r="S296" i="5"/>
  <c r="K296" i="5"/>
  <c r="R296" i="5"/>
  <c r="J296" i="5"/>
  <c r="N296" i="5"/>
  <c r="F296" i="5"/>
  <c r="Q296" i="5"/>
  <c r="P296" i="5"/>
  <c r="O296" i="5"/>
  <c r="H296" i="5"/>
  <c r="M296" i="5"/>
  <c r="I296" i="5"/>
  <c r="G296" i="5"/>
  <c r="S132" i="5"/>
  <c r="K132" i="5"/>
  <c r="R132" i="5"/>
  <c r="J132" i="5"/>
  <c r="Q132" i="5"/>
  <c r="I132" i="5"/>
  <c r="M132" i="5"/>
  <c r="P132" i="5"/>
  <c r="O132" i="5"/>
  <c r="N132" i="5"/>
  <c r="H132" i="5"/>
  <c r="L132" i="5"/>
  <c r="G132" i="5"/>
  <c r="F132" i="5"/>
  <c r="Q133" i="5"/>
  <c r="I133" i="5"/>
  <c r="P133" i="5"/>
  <c r="H133" i="5"/>
  <c r="O133" i="5"/>
  <c r="G133" i="5"/>
  <c r="S133" i="5"/>
  <c r="K133" i="5"/>
  <c r="N133" i="5"/>
  <c r="M133" i="5"/>
  <c r="L133" i="5"/>
  <c r="F133" i="5"/>
  <c r="J133" i="5"/>
  <c r="R133" i="5"/>
  <c r="D91" i="4"/>
  <c r="D95" i="5" s="1"/>
  <c r="I91" i="3"/>
  <c r="H91" i="4" s="1"/>
  <c r="N395" i="5"/>
  <c r="F395" i="5"/>
  <c r="M395" i="5"/>
  <c r="S395" i="5"/>
  <c r="K395" i="5"/>
  <c r="R395" i="5"/>
  <c r="J395" i="5"/>
  <c r="Q395" i="5"/>
  <c r="P395" i="5"/>
  <c r="O395" i="5"/>
  <c r="G395" i="5"/>
  <c r="L395" i="5"/>
  <c r="I395" i="5"/>
  <c r="H395" i="5"/>
  <c r="S331" i="5"/>
  <c r="K331" i="5"/>
  <c r="R331" i="5"/>
  <c r="J331" i="5"/>
  <c r="Q331" i="5"/>
  <c r="I331" i="5"/>
  <c r="F331" i="5"/>
  <c r="P331" i="5"/>
  <c r="O331" i="5"/>
  <c r="H331" i="5"/>
  <c r="M331" i="5"/>
  <c r="N331" i="5"/>
  <c r="L331" i="5"/>
  <c r="G331" i="5"/>
  <c r="N267" i="5"/>
  <c r="F267" i="5"/>
  <c r="M267" i="5"/>
  <c r="L267" i="5"/>
  <c r="I267" i="5"/>
  <c r="S267" i="5"/>
  <c r="H267" i="5"/>
  <c r="R267" i="5"/>
  <c r="G267" i="5"/>
  <c r="Q267" i="5"/>
  <c r="O267" i="5"/>
  <c r="K267" i="5"/>
  <c r="P267" i="5"/>
  <c r="J267" i="5"/>
  <c r="R257" i="5"/>
  <c r="J257" i="5"/>
  <c r="K257" i="5"/>
  <c r="S257" i="5"/>
  <c r="I257" i="5"/>
  <c r="Q257" i="5"/>
  <c r="H257" i="5"/>
  <c r="P257" i="5"/>
  <c r="G257" i="5"/>
  <c r="F257" i="5"/>
  <c r="N257" i="5"/>
  <c r="M257" i="5"/>
  <c r="O257" i="5"/>
  <c r="L257" i="5"/>
  <c r="H262" i="3"/>
  <c r="G262" i="4" s="1"/>
  <c r="C262" i="4"/>
  <c r="C266" i="5" s="1"/>
  <c r="G262" i="3"/>
  <c r="F262" i="4" s="1"/>
  <c r="H313" i="3"/>
  <c r="G313" i="4" s="1"/>
  <c r="C313" i="4"/>
  <c r="C317" i="5" s="1"/>
  <c r="G313" i="3"/>
  <c r="F313" i="4" s="1"/>
  <c r="D380" i="4"/>
  <c r="D384" i="5" s="1"/>
  <c r="I380" i="3"/>
  <c r="H380" i="4" s="1"/>
  <c r="S216" i="5"/>
  <c r="K216" i="5"/>
  <c r="R216" i="5"/>
  <c r="J216" i="5"/>
  <c r="Q216" i="5"/>
  <c r="I216" i="5"/>
  <c r="P216" i="5"/>
  <c r="H216" i="5"/>
  <c r="G216" i="5"/>
  <c r="F216" i="5"/>
  <c r="N216" i="5"/>
  <c r="M216" i="5"/>
  <c r="O216" i="5"/>
  <c r="L216" i="5"/>
  <c r="R309" i="5"/>
  <c r="J309" i="5"/>
  <c r="Q309" i="5"/>
  <c r="I309" i="5"/>
  <c r="P309" i="5"/>
  <c r="H309" i="5"/>
  <c r="L309" i="5"/>
  <c r="G309" i="5"/>
  <c r="F309" i="5"/>
  <c r="N309" i="5"/>
  <c r="S309" i="5"/>
  <c r="O309" i="5"/>
  <c r="M309" i="5"/>
  <c r="K309" i="5"/>
  <c r="I73" i="3"/>
  <c r="H73" i="4" s="1"/>
  <c r="D73" i="4"/>
  <c r="D77" i="5" s="1"/>
  <c r="Q233" i="5"/>
  <c r="I233" i="5"/>
  <c r="P233" i="5"/>
  <c r="H233" i="5"/>
  <c r="O233" i="5"/>
  <c r="G233" i="5"/>
  <c r="N233" i="5"/>
  <c r="F233" i="5"/>
  <c r="S233" i="5"/>
  <c r="L233" i="5"/>
  <c r="R233" i="5"/>
  <c r="M233" i="5"/>
  <c r="K233" i="5"/>
  <c r="J233" i="5"/>
  <c r="D33" i="4"/>
  <c r="D37" i="5" s="1"/>
  <c r="I33" i="3"/>
  <c r="H33" i="4" s="1"/>
  <c r="S248" i="5"/>
  <c r="K248" i="5"/>
  <c r="R248" i="5"/>
  <c r="J248" i="5"/>
  <c r="Q248" i="5"/>
  <c r="I248" i="5"/>
  <c r="P248" i="5"/>
  <c r="H248" i="5"/>
  <c r="G248" i="5"/>
  <c r="F248" i="5"/>
  <c r="N248" i="5"/>
  <c r="M248" i="5"/>
  <c r="O248" i="5"/>
  <c r="L248" i="5"/>
  <c r="D69" i="4"/>
  <c r="D73" i="5" s="1"/>
  <c r="I69" i="3"/>
  <c r="H69" i="4" s="1"/>
  <c r="D95" i="4"/>
  <c r="D99" i="5" s="1"/>
  <c r="I95" i="3"/>
  <c r="H95" i="4" s="1"/>
  <c r="N391" i="5"/>
  <c r="F391" i="5"/>
  <c r="M391" i="5"/>
  <c r="S391" i="5"/>
  <c r="K391" i="5"/>
  <c r="R391" i="5"/>
  <c r="J391" i="5"/>
  <c r="I391" i="5"/>
  <c r="H391" i="5"/>
  <c r="G391" i="5"/>
  <c r="O391" i="5"/>
  <c r="Q391" i="5"/>
  <c r="P391" i="5"/>
  <c r="L391" i="5"/>
  <c r="S327" i="5"/>
  <c r="K327" i="5"/>
  <c r="R327" i="5"/>
  <c r="J327" i="5"/>
  <c r="Q327" i="5"/>
  <c r="I327" i="5"/>
  <c r="N327" i="5"/>
  <c r="M327" i="5"/>
  <c r="L327" i="5"/>
  <c r="P327" i="5"/>
  <c r="G327" i="5"/>
  <c r="O327" i="5"/>
  <c r="H327" i="5"/>
  <c r="F327" i="5"/>
  <c r="N263" i="5"/>
  <c r="F263" i="5"/>
  <c r="M263" i="5"/>
  <c r="L263" i="5"/>
  <c r="Q263" i="5"/>
  <c r="P263" i="5"/>
  <c r="O263" i="5"/>
  <c r="K263" i="5"/>
  <c r="S263" i="5"/>
  <c r="I263" i="5"/>
  <c r="R263" i="5"/>
  <c r="J263" i="5"/>
  <c r="H263" i="5"/>
  <c r="G263" i="5"/>
  <c r="C245" i="4"/>
  <c r="C249" i="5" s="1"/>
  <c r="H245" i="3"/>
  <c r="G245" i="4" s="1"/>
  <c r="G245" i="3"/>
  <c r="F245" i="4" s="1"/>
  <c r="M243" i="5"/>
  <c r="L243" i="5"/>
  <c r="S243" i="5"/>
  <c r="K243" i="5"/>
  <c r="R243" i="5"/>
  <c r="J243" i="5"/>
  <c r="Q243" i="5"/>
  <c r="P243" i="5"/>
  <c r="O243" i="5"/>
  <c r="H243" i="5"/>
  <c r="G243" i="5"/>
  <c r="N243" i="5"/>
  <c r="I243" i="5"/>
  <c r="F243" i="5"/>
  <c r="H378" i="3"/>
  <c r="G378" i="4" s="1"/>
  <c r="G378" i="3"/>
  <c r="F378" i="4" s="1"/>
  <c r="C378" i="4"/>
  <c r="C382" i="5" s="1"/>
  <c r="Q209" i="5"/>
  <c r="I209" i="5"/>
  <c r="P209" i="5"/>
  <c r="H209" i="5"/>
  <c r="O209" i="5"/>
  <c r="G209" i="5"/>
  <c r="N209" i="5"/>
  <c r="F209" i="5"/>
  <c r="S209" i="5"/>
  <c r="L209" i="5"/>
  <c r="K209" i="5"/>
  <c r="R209" i="5"/>
  <c r="M209" i="5"/>
  <c r="J209" i="5"/>
  <c r="D286" i="4"/>
  <c r="D290" i="5" s="1"/>
  <c r="I286" i="3"/>
  <c r="H286" i="4" s="1"/>
  <c r="D54" i="4"/>
  <c r="D58" i="5" s="1"/>
  <c r="I54" i="3"/>
  <c r="H54" i="4" s="1"/>
  <c r="D21" i="4"/>
  <c r="D25" i="5" s="1"/>
  <c r="I21" i="3"/>
  <c r="H21" i="4" s="1"/>
  <c r="R393" i="5"/>
  <c r="J393" i="5"/>
  <c r="Q393" i="5"/>
  <c r="I393" i="5"/>
  <c r="O393" i="5"/>
  <c r="G393" i="5"/>
  <c r="N393" i="5"/>
  <c r="F393" i="5"/>
  <c r="S393" i="5"/>
  <c r="K393" i="5"/>
  <c r="P393" i="5"/>
  <c r="M393" i="5"/>
  <c r="L393" i="5"/>
  <c r="H393" i="5"/>
  <c r="I11" i="3"/>
  <c r="H16" i="4" s="1"/>
  <c r="D16" i="4"/>
  <c r="D8" i="4"/>
  <c r="I9" i="3"/>
  <c r="H8" i="4" s="1"/>
  <c r="D99" i="4"/>
  <c r="D103" i="5" s="1"/>
  <c r="I99" i="3"/>
  <c r="H99" i="4" s="1"/>
  <c r="N387" i="5"/>
  <c r="F387" i="5"/>
  <c r="M387" i="5"/>
  <c r="S387" i="5"/>
  <c r="K387" i="5"/>
  <c r="R387" i="5"/>
  <c r="J387" i="5"/>
  <c r="Q387" i="5"/>
  <c r="P387" i="5"/>
  <c r="O387" i="5"/>
  <c r="G387" i="5"/>
  <c r="H387" i="5"/>
  <c r="L387" i="5"/>
  <c r="I387" i="5"/>
  <c r="S323" i="5"/>
  <c r="K323" i="5"/>
  <c r="R323" i="5"/>
  <c r="J323" i="5"/>
  <c r="Q323" i="5"/>
  <c r="I323" i="5"/>
  <c r="H323" i="5"/>
  <c r="G323" i="5"/>
  <c r="F323" i="5"/>
  <c r="M323" i="5"/>
  <c r="P323" i="5"/>
  <c r="O323" i="5"/>
  <c r="N323" i="5"/>
  <c r="L323" i="5"/>
  <c r="N259" i="5"/>
  <c r="F259" i="5"/>
  <c r="K259" i="5"/>
  <c r="S259" i="5"/>
  <c r="J259" i="5"/>
  <c r="R259" i="5"/>
  <c r="I259" i="5"/>
  <c r="Q259" i="5"/>
  <c r="H259" i="5"/>
  <c r="G259" i="5"/>
  <c r="O259" i="5"/>
  <c r="M259" i="5"/>
  <c r="P259" i="5"/>
  <c r="L259" i="5"/>
  <c r="C237" i="4"/>
  <c r="C241" i="5" s="1"/>
  <c r="H237" i="3"/>
  <c r="G237" i="4" s="1"/>
  <c r="G237" i="3"/>
  <c r="F237" i="4" s="1"/>
  <c r="M223" i="5"/>
  <c r="L223" i="5"/>
  <c r="S223" i="5"/>
  <c r="K223" i="5"/>
  <c r="R223" i="5"/>
  <c r="J223" i="5"/>
  <c r="I223" i="5"/>
  <c r="H223" i="5"/>
  <c r="G223" i="5"/>
  <c r="P223" i="5"/>
  <c r="F223" i="5"/>
  <c r="O223" i="5"/>
  <c r="Q223" i="5"/>
  <c r="N223" i="5"/>
  <c r="I298" i="3"/>
  <c r="H298" i="4" s="1"/>
  <c r="D298" i="4"/>
  <c r="D302" i="5" s="1"/>
  <c r="P365" i="5"/>
  <c r="H365" i="5"/>
  <c r="S365" i="5"/>
  <c r="J365" i="5"/>
  <c r="R365" i="5"/>
  <c r="I365" i="5"/>
  <c r="Q365" i="5"/>
  <c r="G365" i="5"/>
  <c r="L365" i="5"/>
  <c r="O365" i="5"/>
  <c r="N365" i="5"/>
  <c r="M365" i="5"/>
  <c r="K365" i="5"/>
  <c r="F365" i="5"/>
  <c r="C201" i="4"/>
  <c r="C205" i="5" s="1"/>
  <c r="H201" i="3"/>
  <c r="G201" i="4" s="1"/>
  <c r="G201" i="3"/>
  <c r="F201" i="4" s="1"/>
  <c r="C269" i="4"/>
  <c r="C273" i="5" s="1"/>
  <c r="H269" i="3"/>
  <c r="G269" i="4" s="1"/>
  <c r="G269" i="3"/>
  <c r="F269" i="4" s="1"/>
  <c r="R289" i="5"/>
  <c r="J289" i="5"/>
  <c r="Q289" i="5"/>
  <c r="I289" i="5"/>
  <c r="P289" i="5"/>
  <c r="H289" i="5"/>
  <c r="L289" i="5"/>
  <c r="O289" i="5"/>
  <c r="N289" i="5"/>
  <c r="M289" i="5"/>
  <c r="F289" i="5"/>
  <c r="S289" i="5"/>
  <c r="K289" i="5"/>
  <c r="G289" i="5"/>
  <c r="D148" i="4"/>
  <c r="D152" i="5" s="1"/>
  <c r="I148" i="3"/>
  <c r="H148" i="4" s="1"/>
  <c r="D116" i="4"/>
  <c r="D120" i="5" s="1"/>
  <c r="I116" i="3"/>
  <c r="H116" i="4" s="1"/>
  <c r="D84" i="4"/>
  <c r="D88" i="5" s="1"/>
  <c r="I84" i="3"/>
  <c r="H84" i="4" s="1"/>
  <c r="D52" i="4"/>
  <c r="D56" i="5" s="1"/>
  <c r="I52" i="3"/>
  <c r="H52" i="4" s="1"/>
  <c r="M255" i="5"/>
  <c r="L255" i="5"/>
  <c r="S255" i="5"/>
  <c r="K255" i="5"/>
  <c r="R255" i="5"/>
  <c r="J255" i="5"/>
  <c r="I255" i="5"/>
  <c r="H255" i="5"/>
  <c r="G255" i="5"/>
  <c r="P255" i="5"/>
  <c r="F255" i="5"/>
  <c r="O255" i="5"/>
  <c r="Q255" i="5"/>
  <c r="N255" i="5"/>
  <c r="M227" i="5"/>
  <c r="L227" i="5"/>
  <c r="S227" i="5"/>
  <c r="K227" i="5"/>
  <c r="R227" i="5"/>
  <c r="J227" i="5"/>
  <c r="Q227" i="5"/>
  <c r="P227" i="5"/>
  <c r="O227" i="5"/>
  <c r="H227" i="5"/>
  <c r="G227" i="5"/>
  <c r="N227" i="5"/>
  <c r="I227" i="5"/>
  <c r="F227" i="5"/>
  <c r="I376" i="3"/>
  <c r="H376" i="4" s="1"/>
  <c r="D376" i="4"/>
  <c r="D380" i="5" s="1"/>
  <c r="S256" i="5"/>
  <c r="K256" i="5"/>
  <c r="R256" i="5"/>
  <c r="J256" i="5"/>
  <c r="Q256" i="5"/>
  <c r="I256" i="5"/>
  <c r="P256" i="5"/>
  <c r="H256" i="5"/>
  <c r="G256" i="5"/>
  <c r="F256" i="5"/>
  <c r="N256" i="5"/>
  <c r="O256" i="5"/>
  <c r="M256" i="5"/>
  <c r="L256" i="5"/>
  <c r="D57" i="4"/>
  <c r="D61" i="5" s="1"/>
  <c r="I57" i="3"/>
  <c r="H57" i="4" s="1"/>
  <c r="I93" i="3"/>
  <c r="H93" i="4" s="1"/>
  <c r="D93" i="4"/>
  <c r="D97" i="5" s="1"/>
  <c r="D25" i="4"/>
  <c r="D29" i="5" s="1"/>
  <c r="I25" i="3"/>
  <c r="H25" i="4" s="1"/>
  <c r="D103" i="4"/>
  <c r="D107" i="5" s="1"/>
  <c r="I103" i="3"/>
  <c r="H103" i="4" s="1"/>
  <c r="C248" i="4"/>
  <c r="C252" i="5" s="1"/>
  <c r="H248" i="3"/>
  <c r="G248" i="4" s="1"/>
  <c r="G248" i="3"/>
  <c r="F248" i="4" s="1"/>
  <c r="I392" i="3"/>
  <c r="H392" i="4" s="1"/>
  <c r="D392" i="4"/>
  <c r="D396" i="5" s="1"/>
  <c r="Q217" i="5"/>
  <c r="I217" i="5"/>
  <c r="P217" i="5"/>
  <c r="H217" i="5"/>
  <c r="O217" i="5"/>
  <c r="G217" i="5"/>
  <c r="N217" i="5"/>
  <c r="F217" i="5"/>
  <c r="S217" i="5"/>
  <c r="L217" i="5"/>
  <c r="R217" i="5"/>
  <c r="M217" i="5"/>
  <c r="K217" i="5"/>
  <c r="J217" i="5"/>
  <c r="H281" i="3"/>
  <c r="G281" i="4" s="1"/>
  <c r="C281" i="4"/>
  <c r="C285" i="5" s="1"/>
  <c r="G281" i="3"/>
  <c r="F281" i="4" s="1"/>
  <c r="D348" i="4"/>
  <c r="D352" i="5" s="1"/>
  <c r="I348" i="3"/>
  <c r="H348" i="4" s="1"/>
  <c r="I189" i="3"/>
  <c r="H189" i="4" s="1"/>
  <c r="D189" i="4"/>
  <c r="D193" i="5" s="1"/>
  <c r="I272" i="3"/>
  <c r="H272" i="4" s="1"/>
  <c r="D272" i="4"/>
  <c r="D276" i="5" s="1"/>
  <c r="D146" i="4"/>
  <c r="D150" i="5" s="1"/>
  <c r="I146" i="3"/>
  <c r="H146" i="4" s="1"/>
  <c r="D114" i="4"/>
  <c r="D118" i="5" s="1"/>
  <c r="I114" i="3"/>
  <c r="H114" i="4" s="1"/>
  <c r="D82" i="4"/>
  <c r="D86" i="5" s="1"/>
  <c r="I82" i="3"/>
  <c r="H82" i="4" s="1"/>
  <c r="D50" i="4"/>
  <c r="D54" i="5" s="1"/>
  <c r="I50" i="3"/>
  <c r="H50" i="4" s="1"/>
  <c r="D226" i="4"/>
  <c r="D230" i="5" s="1"/>
  <c r="I226" i="3"/>
  <c r="H226" i="4" s="1"/>
  <c r="D250" i="4"/>
  <c r="D254" i="5" s="1"/>
  <c r="I250" i="3"/>
  <c r="H250" i="4" s="1"/>
  <c r="S192" i="5"/>
  <c r="K192" i="5"/>
  <c r="R192" i="5"/>
  <c r="J192" i="5"/>
  <c r="Q192" i="5"/>
  <c r="I192" i="5"/>
  <c r="N192" i="5"/>
  <c r="F192" i="5"/>
  <c r="P192" i="5"/>
  <c r="O192" i="5"/>
  <c r="M192" i="5"/>
  <c r="L192" i="5"/>
  <c r="H192" i="5"/>
  <c r="G192" i="5"/>
  <c r="D199" i="4"/>
  <c r="D203" i="5" s="1"/>
  <c r="I199" i="3"/>
  <c r="H199" i="4" s="1"/>
  <c r="H342" i="3"/>
  <c r="G342" i="4" s="1"/>
  <c r="G342" i="3"/>
  <c r="F342" i="4" s="1"/>
  <c r="C342" i="4"/>
  <c r="C346" i="5" s="1"/>
  <c r="I61" i="3"/>
  <c r="H61" i="4" s="1"/>
  <c r="D61" i="4"/>
  <c r="D65" i="5" s="1"/>
  <c r="D135" i="4"/>
  <c r="D139" i="5" s="1"/>
  <c r="I135" i="3"/>
  <c r="H135" i="4" s="1"/>
  <c r="D101" i="4"/>
  <c r="D105" i="5" s="1"/>
  <c r="I101" i="3"/>
  <c r="H101" i="4" s="1"/>
  <c r="H375" i="3"/>
  <c r="G375" i="4" s="1"/>
  <c r="C375" i="4"/>
  <c r="C379" i="5" s="1"/>
  <c r="G375" i="3"/>
  <c r="F375" i="4" s="1"/>
  <c r="H311" i="3"/>
  <c r="G311" i="4" s="1"/>
  <c r="C311" i="4"/>
  <c r="C315" i="5" s="1"/>
  <c r="G311" i="3"/>
  <c r="F311" i="4" s="1"/>
  <c r="C390" i="4"/>
  <c r="C394" i="5" s="1"/>
  <c r="H390" i="3"/>
  <c r="G390" i="4" s="1"/>
  <c r="G390" i="3"/>
  <c r="F390" i="4" s="1"/>
  <c r="G193" i="3"/>
  <c r="F193" i="4" s="1"/>
  <c r="C193" i="4"/>
  <c r="C197" i="5" s="1"/>
  <c r="H193" i="3"/>
  <c r="G193" i="4" s="1"/>
  <c r="C174" i="4"/>
  <c r="C178" i="5" s="1"/>
  <c r="H174" i="3"/>
  <c r="G174" i="4" s="1"/>
  <c r="G174" i="3"/>
  <c r="F174" i="4" s="1"/>
  <c r="D64" i="4"/>
  <c r="D68" i="5" s="1"/>
  <c r="I64" i="3"/>
  <c r="H64" i="4" s="1"/>
  <c r="D206" i="4"/>
  <c r="D210" i="5" s="1"/>
  <c r="I206" i="3"/>
  <c r="H206" i="4" s="1"/>
  <c r="O202" i="5"/>
  <c r="G202" i="5"/>
  <c r="N202" i="5"/>
  <c r="F202" i="5"/>
  <c r="M202" i="5"/>
  <c r="R202" i="5"/>
  <c r="J202" i="5"/>
  <c r="L202" i="5"/>
  <c r="K202" i="5"/>
  <c r="I202" i="5"/>
  <c r="Q202" i="5"/>
  <c r="S202" i="5"/>
  <c r="H202" i="5"/>
  <c r="P202" i="5"/>
  <c r="D254" i="4"/>
  <c r="D258" i="5" s="1"/>
  <c r="I254" i="3"/>
  <c r="H254" i="4" s="1"/>
  <c r="D80" i="4"/>
  <c r="D84" i="5" s="1"/>
  <c r="I80" i="3"/>
  <c r="H80" i="4" s="1"/>
  <c r="S176" i="5"/>
  <c r="K176" i="5"/>
  <c r="R176" i="5"/>
  <c r="J176" i="5"/>
  <c r="Q176" i="5"/>
  <c r="I176" i="5"/>
  <c r="N176" i="5"/>
  <c r="F176" i="5"/>
  <c r="P176" i="5"/>
  <c r="O176" i="5"/>
  <c r="M176" i="5"/>
  <c r="L176" i="5"/>
  <c r="H176" i="5"/>
  <c r="G176" i="5"/>
  <c r="D5" i="4"/>
  <c r="I6" i="3"/>
  <c r="H5" i="4" s="1"/>
  <c r="D150" i="4"/>
  <c r="D154" i="5" s="1"/>
  <c r="I150" i="3"/>
  <c r="H150" i="4" s="1"/>
  <c r="P298" i="5"/>
  <c r="H298" i="5"/>
  <c r="O298" i="5"/>
  <c r="G298" i="5"/>
  <c r="N298" i="5"/>
  <c r="F298" i="5"/>
  <c r="R298" i="5"/>
  <c r="J298" i="5"/>
  <c r="M298" i="5"/>
  <c r="L298" i="5"/>
  <c r="K298" i="5"/>
  <c r="S298" i="5"/>
  <c r="Q298" i="5"/>
  <c r="I298" i="5"/>
  <c r="H320" i="3"/>
  <c r="G320" i="4" s="1"/>
  <c r="G320" i="3"/>
  <c r="F320" i="4" s="1"/>
  <c r="C320" i="4"/>
  <c r="C324" i="5" s="1"/>
  <c r="H400" i="3"/>
  <c r="G400" i="4" s="1"/>
  <c r="C400" i="4"/>
  <c r="C404" i="5" s="1"/>
  <c r="G400" i="3"/>
  <c r="F400" i="4" s="1"/>
  <c r="C158" i="4"/>
  <c r="C162" i="5" s="1"/>
  <c r="G158" i="3"/>
  <c r="F158" i="4" s="1"/>
  <c r="H158" i="3"/>
  <c r="G158" i="4" s="1"/>
  <c r="C126" i="4"/>
  <c r="C130" i="5" s="1"/>
  <c r="G126" i="3"/>
  <c r="F126" i="4" s="1"/>
  <c r="H126" i="3"/>
  <c r="G126" i="4" s="1"/>
  <c r="C94" i="4"/>
  <c r="C98" i="5" s="1"/>
  <c r="G94" i="3"/>
  <c r="F94" i="4" s="1"/>
  <c r="H94" i="3"/>
  <c r="G94" i="4" s="1"/>
  <c r="D47" i="4"/>
  <c r="D51" i="5" s="1"/>
  <c r="I47" i="3"/>
  <c r="H47" i="4" s="1"/>
  <c r="D111" i="4"/>
  <c r="D115" i="5" s="1"/>
  <c r="I111" i="3"/>
  <c r="H111" i="4" s="1"/>
  <c r="N375" i="5"/>
  <c r="F375" i="5"/>
  <c r="M375" i="5"/>
  <c r="S375" i="5"/>
  <c r="K375" i="5"/>
  <c r="J375" i="5"/>
  <c r="I375" i="5"/>
  <c r="H375" i="5"/>
  <c r="L375" i="5"/>
  <c r="G375" i="5"/>
  <c r="P375" i="5"/>
  <c r="R375" i="5"/>
  <c r="Q375" i="5"/>
  <c r="O375" i="5"/>
  <c r="N311" i="5"/>
  <c r="F311" i="5"/>
  <c r="M311" i="5"/>
  <c r="L311" i="5"/>
  <c r="P311" i="5"/>
  <c r="H311" i="5"/>
  <c r="S311" i="5"/>
  <c r="R311" i="5"/>
  <c r="Q311" i="5"/>
  <c r="J311" i="5"/>
  <c r="O311" i="5"/>
  <c r="K311" i="5"/>
  <c r="I311" i="5"/>
  <c r="G311" i="5"/>
  <c r="R377" i="5"/>
  <c r="J377" i="5"/>
  <c r="Q377" i="5"/>
  <c r="I377" i="5"/>
  <c r="O377" i="5"/>
  <c r="G377" i="5"/>
  <c r="M377" i="5"/>
  <c r="L377" i="5"/>
  <c r="K377" i="5"/>
  <c r="P377" i="5"/>
  <c r="S377" i="5"/>
  <c r="N377" i="5"/>
  <c r="H377" i="5"/>
  <c r="F377" i="5"/>
  <c r="S196" i="5"/>
  <c r="K196" i="5"/>
  <c r="R196" i="5"/>
  <c r="J196" i="5"/>
  <c r="Q196" i="5"/>
  <c r="I196" i="5"/>
  <c r="N196" i="5"/>
  <c r="F196" i="5"/>
  <c r="H196" i="5"/>
  <c r="G196" i="5"/>
  <c r="M196" i="5"/>
  <c r="P196" i="5"/>
  <c r="O196" i="5"/>
  <c r="L196" i="5"/>
  <c r="I266" i="3"/>
  <c r="H266" i="4" s="1"/>
  <c r="D266" i="4"/>
  <c r="D270" i="5" s="1"/>
  <c r="O333" i="5"/>
  <c r="G333" i="5"/>
  <c r="N333" i="5"/>
  <c r="F333" i="5"/>
  <c r="M333" i="5"/>
  <c r="I333" i="5"/>
  <c r="S333" i="5"/>
  <c r="H333" i="5"/>
  <c r="R333" i="5"/>
  <c r="K333" i="5"/>
  <c r="Q333" i="5"/>
  <c r="P333" i="5"/>
  <c r="L333" i="5"/>
  <c r="J333" i="5"/>
  <c r="Q177" i="5"/>
  <c r="I177" i="5"/>
  <c r="P177" i="5"/>
  <c r="H177" i="5"/>
  <c r="O177" i="5"/>
  <c r="G177" i="5"/>
  <c r="L177" i="5"/>
  <c r="N177" i="5"/>
  <c r="M177" i="5"/>
  <c r="K177" i="5"/>
  <c r="S177" i="5"/>
  <c r="J177" i="5"/>
  <c r="R177" i="5"/>
  <c r="F177" i="5"/>
  <c r="M215" i="5"/>
  <c r="L215" i="5"/>
  <c r="S215" i="5"/>
  <c r="K215" i="5"/>
  <c r="R215" i="5"/>
  <c r="J215" i="5"/>
  <c r="I215" i="5"/>
  <c r="H215" i="5"/>
  <c r="G215" i="5"/>
  <c r="P215" i="5"/>
  <c r="Q215" i="5"/>
  <c r="O215" i="5"/>
  <c r="N215" i="5"/>
  <c r="F215" i="5"/>
  <c r="D142" i="4"/>
  <c r="D146" i="5" s="1"/>
  <c r="I142" i="3"/>
  <c r="H142" i="4" s="1"/>
  <c r="D110" i="4"/>
  <c r="D114" i="5" s="1"/>
  <c r="I110" i="3"/>
  <c r="H110" i="4" s="1"/>
  <c r="D78" i="4"/>
  <c r="D82" i="5" s="1"/>
  <c r="I78" i="3"/>
  <c r="H78" i="4" s="1"/>
  <c r="D46" i="4"/>
  <c r="D50" i="5" s="1"/>
  <c r="I46" i="3"/>
  <c r="H46" i="4" s="1"/>
  <c r="D42" i="4"/>
  <c r="D46" i="5" s="1"/>
  <c r="I42" i="3"/>
  <c r="H42" i="4" s="1"/>
  <c r="H402" i="3"/>
  <c r="G402" i="4" s="1"/>
  <c r="C402" i="4"/>
  <c r="C406" i="5" s="1"/>
  <c r="G402" i="3"/>
  <c r="F402" i="4" s="1"/>
  <c r="D312" i="4"/>
  <c r="D316" i="5" s="1"/>
  <c r="I312" i="3"/>
  <c r="H312" i="4" s="1"/>
  <c r="D77" i="4"/>
  <c r="D81" i="5" s="1"/>
  <c r="I77" i="3"/>
  <c r="H77" i="4" s="1"/>
  <c r="D167" i="4"/>
  <c r="D171" i="5" s="1"/>
  <c r="I167" i="3"/>
  <c r="H167" i="4" s="1"/>
  <c r="D117" i="4"/>
  <c r="D121" i="5" s="1"/>
  <c r="I117" i="3"/>
  <c r="H117" i="4" s="1"/>
  <c r="C209" i="4"/>
  <c r="C213" i="5" s="1"/>
  <c r="H209" i="3"/>
  <c r="G209" i="4" s="1"/>
  <c r="G209" i="3"/>
  <c r="F209" i="4" s="1"/>
  <c r="I330" i="3"/>
  <c r="H330" i="4" s="1"/>
  <c r="D330" i="4"/>
  <c r="D334" i="5" s="1"/>
  <c r="D154" i="4"/>
  <c r="D158" i="5" s="1"/>
  <c r="I154" i="3"/>
  <c r="H154" i="4" s="1"/>
  <c r="D90" i="4"/>
  <c r="D94" i="5" s="1"/>
  <c r="I90" i="3"/>
  <c r="H90" i="4" s="1"/>
  <c r="C306" i="4"/>
  <c r="C310" i="5" s="1"/>
  <c r="H306" i="3"/>
  <c r="G306" i="4" s="1"/>
  <c r="G306" i="3"/>
  <c r="F306" i="4" s="1"/>
  <c r="R297" i="5"/>
  <c r="J297" i="5"/>
  <c r="Q297" i="5"/>
  <c r="I297" i="5"/>
  <c r="P297" i="5"/>
  <c r="H297" i="5"/>
  <c r="L297" i="5"/>
  <c r="O297" i="5"/>
  <c r="N297" i="5"/>
  <c r="M297" i="5"/>
  <c r="F297" i="5"/>
  <c r="K297" i="5"/>
  <c r="G297" i="5"/>
  <c r="S297" i="5"/>
  <c r="M191" i="5"/>
  <c r="L191" i="5"/>
  <c r="S191" i="5"/>
  <c r="K191" i="5"/>
  <c r="P191" i="5"/>
  <c r="H191" i="5"/>
  <c r="R191" i="5"/>
  <c r="Q191" i="5"/>
  <c r="O191" i="5"/>
  <c r="G191" i="5"/>
  <c r="N191" i="5"/>
  <c r="J191" i="5"/>
  <c r="I191" i="5"/>
  <c r="F191" i="5"/>
  <c r="D165" i="4"/>
  <c r="D169" i="5" s="1"/>
  <c r="I165" i="3"/>
  <c r="H165" i="4" s="1"/>
  <c r="D65" i="4"/>
  <c r="D69" i="5" s="1"/>
  <c r="I65" i="3"/>
  <c r="H65" i="4" s="1"/>
  <c r="D168" i="4"/>
  <c r="D172" i="5" s="1"/>
  <c r="I168" i="3"/>
  <c r="H168" i="4" s="1"/>
  <c r="D104" i="4"/>
  <c r="D108" i="5" s="1"/>
  <c r="I104" i="3"/>
  <c r="H104" i="4" s="1"/>
  <c r="D28" i="4"/>
  <c r="D32" i="5" s="1"/>
  <c r="I28" i="3"/>
  <c r="H28" i="4" s="1"/>
  <c r="D280" i="4"/>
  <c r="D284" i="5" s="1"/>
  <c r="I280" i="3"/>
  <c r="H280" i="4" s="1"/>
  <c r="M175" i="5"/>
  <c r="L175" i="5"/>
  <c r="S175" i="5"/>
  <c r="K175" i="5"/>
  <c r="P175" i="5"/>
  <c r="H175" i="5"/>
  <c r="R175" i="5"/>
  <c r="Q175" i="5"/>
  <c r="O175" i="5"/>
  <c r="G175" i="5"/>
  <c r="N175" i="5"/>
  <c r="J175" i="5"/>
  <c r="I175" i="5"/>
  <c r="F175" i="5"/>
  <c r="D97" i="4"/>
  <c r="D101" i="5" s="1"/>
  <c r="I97" i="3"/>
  <c r="H97" i="4" s="1"/>
  <c r="G180" i="3"/>
  <c r="F180" i="4" s="1"/>
  <c r="C180" i="4"/>
  <c r="C184" i="5" s="1"/>
  <c r="H180" i="3"/>
  <c r="G180" i="4" s="1"/>
  <c r="N403" i="5"/>
  <c r="F403" i="5"/>
  <c r="M403" i="5"/>
  <c r="S403" i="5"/>
  <c r="K403" i="5"/>
  <c r="R403" i="5"/>
  <c r="J403" i="5"/>
  <c r="Q403" i="5"/>
  <c r="P403" i="5"/>
  <c r="O403" i="5"/>
  <c r="G403" i="5"/>
  <c r="H403" i="5"/>
  <c r="L403" i="5"/>
  <c r="I403" i="5"/>
  <c r="O339" i="5"/>
  <c r="G339" i="5"/>
  <c r="S339" i="5"/>
  <c r="J339" i="5"/>
  <c r="R339" i="5"/>
  <c r="I339" i="5"/>
  <c r="Q339" i="5"/>
  <c r="H339" i="5"/>
  <c r="K339" i="5"/>
  <c r="F339" i="5"/>
  <c r="M339" i="5"/>
  <c r="P339" i="5"/>
  <c r="N339" i="5"/>
  <c r="L339" i="5"/>
  <c r="N275" i="5"/>
  <c r="F275" i="5"/>
  <c r="M275" i="5"/>
  <c r="L275" i="5"/>
  <c r="P275" i="5"/>
  <c r="H275" i="5"/>
  <c r="K275" i="5"/>
  <c r="J275" i="5"/>
  <c r="I275" i="5"/>
  <c r="R275" i="5"/>
  <c r="S275" i="5"/>
  <c r="Q275" i="5"/>
  <c r="O275" i="5"/>
  <c r="G275" i="5"/>
  <c r="D217" i="4"/>
  <c r="D221" i="5" s="1"/>
  <c r="I217" i="3"/>
  <c r="H217" i="4" s="1"/>
  <c r="C277" i="4"/>
  <c r="C281" i="5" s="1"/>
  <c r="H277" i="3"/>
  <c r="G277" i="4" s="1"/>
  <c r="G277" i="3"/>
  <c r="F277" i="4" s="1"/>
  <c r="D332" i="4"/>
  <c r="D336" i="5" s="1"/>
  <c r="I332" i="3"/>
  <c r="H332" i="4" s="1"/>
  <c r="D177" i="4"/>
  <c r="D181" i="5" s="1"/>
  <c r="I177" i="3"/>
  <c r="H177" i="4" s="1"/>
  <c r="H366" i="3"/>
  <c r="G366" i="4" s="1"/>
  <c r="C366" i="4"/>
  <c r="C370" i="5" s="1"/>
  <c r="G366" i="3"/>
  <c r="F366" i="4" s="1"/>
  <c r="D310" i="4"/>
  <c r="D314" i="5" s="1"/>
  <c r="I310" i="3"/>
  <c r="H310" i="4" s="1"/>
  <c r="H204" i="3"/>
  <c r="G204" i="4" s="1"/>
  <c r="C204" i="4"/>
  <c r="C208" i="5" s="1"/>
  <c r="G204" i="3"/>
  <c r="F204" i="4" s="1"/>
  <c r="D358" i="4"/>
  <c r="D362" i="5" s="1"/>
  <c r="I358" i="3"/>
  <c r="H358" i="4" s="1"/>
  <c r="H393" i="3"/>
  <c r="G393" i="4" s="1"/>
  <c r="C393" i="4"/>
  <c r="C397" i="5" s="1"/>
  <c r="G393" i="3"/>
  <c r="F393" i="4" s="1"/>
  <c r="R305" i="5"/>
  <c r="J305" i="5"/>
  <c r="Q305" i="5"/>
  <c r="I305" i="5"/>
  <c r="P305" i="5"/>
  <c r="H305" i="5"/>
  <c r="L305" i="5"/>
  <c r="O305" i="5"/>
  <c r="N305" i="5"/>
  <c r="M305" i="5"/>
  <c r="F305" i="5"/>
  <c r="S305" i="5"/>
  <c r="G305" i="5"/>
  <c r="K305" i="5"/>
  <c r="C179" i="4"/>
  <c r="C183" i="5" s="1"/>
  <c r="H179" i="3"/>
  <c r="G179" i="4" s="1"/>
  <c r="G179" i="3"/>
  <c r="F179" i="4" s="1"/>
  <c r="C261" i="4"/>
  <c r="C265" i="5" s="1"/>
  <c r="H261" i="3"/>
  <c r="G261" i="4" s="1"/>
  <c r="G261" i="3"/>
  <c r="F261" i="4" s="1"/>
  <c r="H289" i="3"/>
  <c r="G289" i="4" s="1"/>
  <c r="C289" i="4"/>
  <c r="C293" i="5" s="1"/>
  <c r="G289" i="3"/>
  <c r="F289" i="4" s="1"/>
  <c r="H273" i="3"/>
  <c r="G273" i="4" s="1"/>
  <c r="C273" i="4"/>
  <c r="C277" i="5" s="1"/>
  <c r="G273" i="3"/>
  <c r="F273" i="4" s="1"/>
  <c r="O182" i="5"/>
  <c r="G182" i="5"/>
  <c r="N182" i="5"/>
  <c r="F182" i="5"/>
  <c r="M182" i="5"/>
  <c r="R182" i="5"/>
  <c r="J182" i="5"/>
  <c r="S182" i="5"/>
  <c r="Q182" i="5"/>
  <c r="I182" i="5"/>
  <c r="P182" i="5"/>
  <c r="L182" i="5"/>
  <c r="K182" i="5"/>
  <c r="H182" i="5"/>
  <c r="D31" i="4"/>
  <c r="D35" i="5" s="1"/>
  <c r="I31" i="3"/>
  <c r="H31" i="4" s="1"/>
  <c r="H321" i="3"/>
  <c r="G321" i="4" s="1"/>
  <c r="C321" i="4"/>
  <c r="C325" i="5" s="1"/>
  <c r="G321" i="3"/>
  <c r="F321" i="4" s="1"/>
  <c r="D268" i="4"/>
  <c r="D272" i="5" s="1"/>
  <c r="I268" i="3"/>
  <c r="H268" i="4" s="1"/>
  <c r="S337" i="5"/>
  <c r="K337" i="5"/>
  <c r="R337" i="5"/>
  <c r="I337" i="5"/>
  <c r="Q337" i="5"/>
  <c r="H337" i="5"/>
  <c r="P337" i="5"/>
  <c r="G337" i="5"/>
  <c r="O337" i="5"/>
  <c r="N337" i="5"/>
  <c r="M337" i="5"/>
  <c r="J337" i="5"/>
  <c r="L337" i="5"/>
  <c r="F337" i="5"/>
  <c r="H354" i="3"/>
  <c r="G354" i="4" s="1"/>
  <c r="G354" i="3"/>
  <c r="F354" i="4" s="1"/>
  <c r="C354" i="4"/>
  <c r="C358" i="5" s="1"/>
  <c r="C87" i="4"/>
  <c r="C91" i="5" s="1"/>
  <c r="G87" i="3"/>
  <c r="F87" i="4" s="1"/>
  <c r="H87" i="3"/>
  <c r="G87" i="4" s="1"/>
  <c r="I395" i="3"/>
  <c r="H395" i="4" s="1"/>
  <c r="D395" i="4"/>
  <c r="D399" i="5" s="1"/>
  <c r="I331" i="3"/>
  <c r="H331" i="4" s="1"/>
  <c r="D331" i="4"/>
  <c r="D335" i="5" s="1"/>
  <c r="I267" i="3"/>
  <c r="H267" i="4" s="1"/>
  <c r="D267" i="4"/>
  <c r="D271" i="5" s="1"/>
  <c r="H292" i="3"/>
  <c r="G292" i="4" s="1"/>
  <c r="G292" i="3"/>
  <c r="F292" i="4" s="1"/>
  <c r="C292" i="4"/>
  <c r="C296" i="5" s="1"/>
  <c r="C81" i="4"/>
  <c r="C85" i="5" s="1"/>
  <c r="G81" i="3"/>
  <c r="F81" i="4" s="1"/>
  <c r="H81" i="3"/>
  <c r="G81" i="4" s="1"/>
  <c r="G128" i="3"/>
  <c r="F128" i="4" s="1"/>
  <c r="C128" i="4"/>
  <c r="C132" i="5" s="1"/>
  <c r="H128" i="3"/>
  <c r="G128" i="4" s="1"/>
  <c r="C129" i="4"/>
  <c r="C133" i="5" s="1"/>
  <c r="G129" i="3"/>
  <c r="F129" i="4" s="1"/>
  <c r="H129" i="3"/>
  <c r="G129" i="4" s="1"/>
  <c r="H391" i="3"/>
  <c r="G391" i="4" s="1"/>
  <c r="C391" i="4"/>
  <c r="C395" i="5" s="1"/>
  <c r="G391" i="3"/>
  <c r="F391" i="4" s="1"/>
  <c r="H327" i="3"/>
  <c r="G327" i="4" s="1"/>
  <c r="G327" i="3"/>
  <c r="F327" i="4" s="1"/>
  <c r="C327" i="4"/>
  <c r="C331" i="5" s="1"/>
  <c r="H263" i="3"/>
  <c r="G263" i="4" s="1"/>
  <c r="C263" i="4"/>
  <c r="C267" i="5" s="1"/>
  <c r="G263" i="3"/>
  <c r="F263" i="4" s="1"/>
  <c r="C253" i="4"/>
  <c r="C257" i="5" s="1"/>
  <c r="H253" i="3"/>
  <c r="G253" i="4" s="1"/>
  <c r="G253" i="3"/>
  <c r="F253" i="4" s="1"/>
  <c r="D262" i="4"/>
  <c r="D266" i="5" s="1"/>
  <c r="I262" i="3"/>
  <c r="H262" i="4" s="1"/>
  <c r="R317" i="5"/>
  <c r="J317" i="5"/>
  <c r="Q317" i="5"/>
  <c r="I317" i="5"/>
  <c r="P317" i="5"/>
  <c r="H317" i="5"/>
  <c r="L317" i="5"/>
  <c r="G317" i="5"/>
  <c r="F317" i="5"/>
  <c r="N317" i="5"/>
  <c r="S317" i="5"/>
  <c r="O317" i="5"/>
  <c r="M317" i="5"/>
  <c r="K317" i="5"/>
  <c r="H212" i="3"/>
  <c r="G212" i="4" s="1"/>
  <c r="C212" i="4"/>
  <c r="C216" i="5" s="1"/>
  <c r="G212" i="3"/>
  <c r="F212" i="4" s="1"/>
  <c r="I288" i="3"/>
  <c r="H288" i="4" s="1"/>
  <c r="D288" i="4"/>
  <c r="D292" i="5" s="1"/>
  <c r="H305" i="3"/>
  <c r="G305" i="4" s="1"/>
  <c r="C305" i="4"/>
  <c r="C309" i="5" s="1"/>
  <c r="G305" i="3"/>
  <c r="F305" i="4" s="1"/>
  <c r="C229" i="4"/>
  <c r="C233" i="5" s="1"/>
  <c r="H229" i="3"/>
  <c r="G229" i="4" s="1"/>
  <c r="G229" i="3"/>
  <c r="F229" i="4" s="1"/>
  <c r="H244" i="3"/>
  <c r="G244" i="4" s="1"/>
  <c r="C244" i="4"/>
  <c r="C248" i="5" s="1"/>
  <c r="G244" i="3"/>
  <c r="F244" i="4" s="1"/>
  <c r="C387" i="4"/>
  <c r="C391" i="5" s="1"/>
  <c r="H387" i="3"/>
  <c r="G387" i="4" s="1"/>
  <c r="G387" i="3"/>
  <c r="F387" i="4" s="1"/>
  <c r="C323" i="4"/>
  <c r="C327" i="5" s="1"/>
  <c r="H323" i="3"/>
  <c r="G323" i="4" s="1"/>
  <c r="G323" i="3"/>
  <c r="F323" i="4" s="1"/>
  <c r="C259" i="4"/>
  <c r="C263" i="5" s="1"/>
  <c r="H259" i="3"/>
  <c r="G259" i="4" s="1"/>
  <c r="G259" i="3"/>
  <c r="F259" i="4" s="1"/>
  <c r="D245" i="4"/>
  <c r="D249" i="5" s="1"/>
  <c r="I245" i="3"/>
  <c r="H245" i="4" s="1"/>
  <c r="I239" i="3"/>
  <c r="H239" i="4" s="1"/>
  <c r="D239" i="4"/>
  <c r="D243" i="5" s="1"/>
  <c r="D300" i="4"/>
  <c r="D304" i="5" s="1"/>
  <c r="I300" i="3"/>
  <c r="H300" i="4" s="1"/>
  <c r="I378" i="3"/>
  <c r="H378" i="4" s="1"/>
  <c r="D378" i="4"/>
  <c r="D382" i="5" s="1"/>
  <c r="C205" i="4"/>
  <c r="C209" i="5" s="1"/>
  <c r="H205" i="3"/>
  <c r="G205" i="4" s="1"/>
  <c r="G205" i="3"/>
  <c r="F205" i="4" s="1"/>
  <c r="H302" i="3"/>
  <c r="G302" i="4" s="1"/>
  <c r="G302" i="3"/>
  <c r="F302" i="4" s="1"/>
  <c r="C302" i="4"/>
  <c r="C306" i="5" s="1"/>
  <c r="C389" i="4"/>
  <c r="C393" i="5" s="1"/>
  <c r="H389" i="3"/>
  <c r="G389" i="4" s="1"/>
  <c r="G389" i="3"/>
  <c r="F389" i="4" s="1"/>
  <c r="H383" i="3"/>
  <c r="G383" i="4" s="1"/>
  <c r="C383" i="4"/>
  <c r="C387" i="5" s="1"/>
  <c r="G383" i="3"/>
  <c r="F383" i="4" s="1"/>
  <c r="H319" i="3"/>
  <c r="G319" i="4" s="1"/>
  <c r="C319" i="4"/>
  <c r="C323" i="5" s="1"/>
  <c r="G319" i="3"/>
  <c r="F319" i="4" s="1"/>
  <c r="H255" i="3"/>
  <c r="G255" i="4" s="1"/>
  <c r="C255" i="4"/>
  <c r="C259" i="5" s="1"/>
  <c r="G255" i="3"/>
  <c r="F255" i="4" s="1"/>
  <c r="D237" i="4"/>
  <c r="D241" i="5" s="1"/>
  <c r="I237" i="3"/>
  <c r="H237" i="4" s="1"/>
  <c r="C361" i="4"/>
  <c r="C365" i="5" s="1"/>
  <c r="H361" i="3"/>
  <c r="G361" i="4" s="1"/>
  <c r="G361" i="3"/>
  <c r="F361" i="4" s="1"/>
  <c r="D201" i="4"/>
  <c r="D205" i="5" s="1"/>
  <c r="I201" i="3"/>
  <c r="H201" i="4" s="1"/>
  <c r="R273" i="5"/>
  <c r="J273" i="5"/>
  <c r="Q273" i="5"/>
  <c r="I273" i="5"/>
  <c r="P273" i="5"/>
  <c r="H273" i="5"/>
  <c r="L273" i="5"/>
  <c r="O273" i="5"/>
  <c r="N273" i="5"/>
  <c r="M273" i="5"/>
  <c r="F273" i="5"/>
  <c r="S273" i="5"/>
  <c r="G273" i="5"/>
  <c r="K273" i="5"/>
  <c r="C285" i="4"/>
  <c r="C289" i="5" s="1"/>
  <c r="H285" i="3"/>
  <c r="G285" i="4" s="1"/>
  <c r="G285" i="3"/>
  <c r="F285" i="4" s="1"/>
  <c r="H258" i="3"/>
  <c r="G258" i="4" s="1"/>
  <c r="G258" i="3"/>
  <c r="F258" i="4" s="1"/>
  <c r="C258" i="4"/>
  <c r="C262" i="5" s="1"/>
  <c r="H223" i="3"/>
  <c r="G223" i="4" s="1"/>
  <c r="C223" i="4"/>
  <c r="C227" i="5" s="1"/>
  <c r="G223" i="3"/>
  <c r="F223" i="4" s="1"/>
  <c r="H270" i="3"/>
  <c r="G270" i="4" s="1"/>
  <c r="G270" i="3"/>
  <c r="F270" i="4" s="1"/>
  <c r="C270" i="4"/>
  <c r="C274" i="5" s="1"/>
  <c r="H252" i="3"/>
  <c r="G252" i="4" s="1"/>
  <c r="C252" i="4"/>
  <c r="C256" i="5" s="1"/>
  <c r="G252" i="3"/>
  <c r="F252" i="4" s="1"/>
  <c r="D30" i="4"/>
  <c r="D34" i="5" s="1"/>
  <c r="I30" i="3"/>
  <c r="H30" i="4" s="1"/>
  <c r="N383" i="5"/>
  <c r="F383" i="5"/>
  <c r="M383" i="5"/>
  <c r="S383" i="5"/>
  <c r="K383" i="5"/>
  <c r="R383" i="5"/>
  <c r="J383" i="5"/>
  <c r="I383" i="5"/>
  <c r="H383" i="5"/>
  <c r="G383" i="5"/>
  <c r="O383" i="5"/>
  <c r="P383" i="5"/>
  <c r="Q383" i="5"/>
  <c r="L383" i="5"/>
  <c r="N319" i="5"/>
  <c r="F319" i="5"/>
  <c r="M319" i="5"/>
  <c r="L319" i="5"/>
  <c r="P319" i="5"/>
  <c r="H319" i="5"/>
  <c r="S319" i="5"/>
  <c r="R319" i="5"/>
  <c r="Q319" i="5"/>
  <c r="J319" i="5"/>
  <c r="K319" i="5"/>
  <c r="O319" i="5"/>
  <c r="I319" i="5"/>
  <c r="G319" i="5"/>
  <c r="C213" i="4"/>
  <c r="C217" i="5" s="1"/>
  <c r="H213" i="3"/>
  <c r="G213" i="4" s="1"/>
  <c r="G213" i="3"/>
  <c r="F213" i="4" s="1"/>
  <c r="R285" i="5"/>
  <c r="J285" i="5"/>
  <c r="Q285" i="5"/>
  <c r="I285" i="5"/>
  <c r="P285" i="5"/>
  <c r="H285" i="5"/>
  <c r="L285" i="5"/>
  <c r="G285" i="5"/>
  <c r="F285" i="5"/>
  <c r="N285" i="5"/>
  <c r="S285" i="5"/>
  <c r="O285" i="5"/>
  <c r="M285" i="5"/>
  <c r="K285" i="5"/>
  <c r="Q193" i="5"/>
  <c r="I193" i="5"/>
  <c r="P193" i="5"/>
  <c r="H193" i="5"/>
  <c r="O193" i="5"/>
  <c r="G193" i="5"/>
  <c r="L193" i="5"/>
  <c r="N193" i="5"/>
  <c r="M193" i="5"/>
  <c r="K193" i="5"/>
  <c r="S193" i="5"/>
  <c r="J193" i="5"/>
  <c r="R193" i="5"/>
  <c r="F193" i="5"/>
  <c r="I256" i="3"/>
  <c r="H256" i="4" s="1"/>
  <c r="D256" i="4"/>
  <c r="D260" i="5" s="1"/>
  <c r="C188" i="4"/>
  <c r="C192" i="5" s="1"/>
  <c r="G188" i="3"/>
  <c r="F188" i="4" s="1"/>
  <c r="H188" i="3"/>
  <c r="G188" i="4" s="1"/>
  <c r="D342" i="4"/>
  <c r="D346" i="5" s="1"/>
  <c r="I342" i="3"/>
  <c r="H342" i="4" s="1"/>
  <c r="H230" i="3"/>
  <c r="G230" i="4" s="1"/>
  <c r="G230" i="3"/>
  <c r="F230" i="4" s="1"/>
  <c r="C230" i="4"/>
  <c r="C234" i="5" s="1"/>
  <c r="I40" i="3"/>
  <c r="H40" i="4" s="1"/>
  <c r="D40" i="4"/>
  <c r="D44" i="5" s="1"/>
  <c r="D390" i="4"/>
  <c r="D394" i="5" s="1"/>
  <c r="I390" i="3"/>
  <c r="H390" i="4" s="1"/>
  <c r="D193" i="4"/>
  <c r="D197" i="5" s="1"/>
  <c r="I193" i="3"/>
  <c r="H193" i="4" s="1"/>
  <c r="D174" i="4"/>
  <c r="D178" i="5" s="1"/>
  <c r="I174" i="3"/>
  <c r="H174" i="4" s="1"/>
  <c r="C398" i="4"/>
  <c r="C402" i="5" s="1"/>
  <c r="H398" i="3"/>
  <c r="G398" i="4" s="1"/>
  <c r="G398" i="3"/>
  <c r="F398" i="4" s="1"/>
  <c r="C172" i="4"/>
  <c r="C176" i="5" s="1"/>
  <c r="G172" i="3"/>
  <c r="F172" i="4" s="1"/>
  <c r="H172" i="3"/>
  <c r="G172" i="4" s="1"/>
  <c r="O343" i="5"/>
  <c r="G343" i="5"/>
  <c r="N343" i="5"/>
  <c r="F343" i="5"/>
  <c r="M343" i="5"/>
  <c r="Q343" i="5"/>
  <c r="P343" i="5"/>
  <c r="L343" i="5"/>
  <c r="I343" i="5"/>
  <c r="K343" i="5"/>
  <c r="J343" i="5"/>
  <c r="H343" i="5"/>
  <c r="S343" i="5"/>
  <c r="R343" i="5"/>
  <c r="D225" i="4"/>
  <c r="D229" i="5" s="1"/>
  <c r="I225" i="3"/>
  <c r="H225" i="4" s="1"/>
  <c r="C185" i="4"/>
  <c r="C189" i="5" s="1"/>
  <c r="G185" i="3"/>
  <c r="F185" i="4" s="1"/>
  <c r="H185" i="3"/>
  <c r="G185" i="4" s="1"/>
  <c r="S240" i="5"/>
  <c r="K240" i="5"/>
  <c r="R240" i="5"/>
  <c r="J240" i="5"/>
  <c r="Q240" i="5"/>
  <c r="I240" i="5"/>
  <c r="P240" i="5"/>
  <c r="H240" i="5"/>
  <c r="G240" i="5"/>
  <c r="F240" i="5"/>
  <c r="N240" i="5"/>
  <c r="O240" i="5"/>
  <c r="M240" i="5"/>
  <c r="L240" i="5"/>
  <c r="I400" i="3"/>
  <c r="H400" i="4" s="1"/>
  <c r="D400" i="4"/>
  <c r="D404" i="5" s="1"/>
  <c r="D158" i="4"/>
  <c r="D162" i="5" s="1"/>
  <c r="I158" i="3"/>
  <c r="H158" i="4" s="1"/>
  <c r="D126" i="4"/>
  <c r="D130" i="5" s="1"/>
  <c r="I126" i="3"/>
  <c r="H126" i="4" s="1"/>
  <c r="D94" i="4"/>
  <c r="D98" i="5" s="1"/>
  <c r="I94" i="3"/>
  <c r="H94" i="4" s="1"/>
  <c r="D62" i="4"/>
  <c r="D66" i="5" s="1"/>
  <c r="I62" i="3"/>
  <c r="H62" i="4" s="1"/>
  <c r="M235" i="5"/>
  <c r="L235" i="5"/>
  <c r="S235" i="5"/>
  <c r="K235" i="5"/>
  <c r="R235" i="5"/>
  <c r="J235" i="5"/>
  <c r="Q235" i="5"/>
  <c r="P235" i="5"/>
  <c r="O235" i="5"/>
  <c r="H235" i="5"/>
  <c r="N235" i="5"/>
  <c r="I235" i="5"/>
  <c r="G235" i="5"/>
  <c r="F235" i="5"/>
  <c r="C171" i="4"/>
  <c r="C175" i="5" s="1"/>
  <c r="H171" i="3"/>
  <c r="G171" i="4" s="1"/>
  <c r="G171" i="3"/>
  <c r="F171" i="4" s="1"/>
  <c r="S184" i="5"/>
  <c r="K184" i="5"/>
  <c r="R184" i="5"/>
  <c r="J184" i="5"/>
  <c r="Q184" i="5"/>
  <c r="I184" i="5"/>
  <c r="N184" i="5"/>
  <c r="F184" i="5"/>
  <c r="P184" i="5"/>
  <c r="O184" i="5"/>
  <c r="M184" i="5"/>
  <c r="L184" i="5"/>
  <c r="H184" i="5"/>
  <c r="G184" i="5"/>
  <c r="C399" i="4"/>
  <c r="C403" i="5" s="1"/>
  <c r="H399" i="3"/>
  <c r="G399" i="4" s="1"/>
  <c r="G399" i="3"/>
  <c r="F399" i="4" s="1"/>
  <c r="C335" i="4"/>
  <c r="C339" i="5" s="1"/>
  <c r="H335" i="3"/>
  <c r="G335" i="4" s="1"/>
  <c r="G335" i="3"/>
  <c r="F335" i="4" s="1"/>
  <c r="C271" i="4"/>
  <c r="C275" i="5" s="1"/>
  <c r="H271" i="3"/>
  <c r="G271" i="4" s="1"/>
  <c r="G271" i="3"/>
  <c r="F271" i="4" s="1"/>
  <c r="D277" i="4"/>
  <c r="D281" i="5" s="1"/>
  <c r="I277" i="3"/>
  <c r="H277" i="4" s="1"/>
  <c r="M336" i="5"/>
  <c r="R336" i="5"/>
  <c r="I336" i="5"/>
  <c r="Q336" i="5"/>
  <c r="H336" i="5"/>
  <c r="P336" i="5"/>
  <c r="G336" i="5"/>
  <c r="S336" i="5"/>
  <c r="O336" i="5"/>
  <c r="J336" i="5"/>
  <c r="N336" i="5"/>
  <c r="L336" i="5"/>
  <c r="K336" i="5"/>
  <c r="F336" i="5"/>
  <c r="Q181" i="5"/>
  <c r="I181" i="5"/>
  <c r="P181" i="5"/>
  <c r="H181" i="5"/>
  <c r="O181" i="5"/>
  <c r="G181" i="5"/>
  <c r="L181" i="5"/>
  <c r="F181" i="5"/>
  <c r="S181" i="5"/>
  <c r="K181" i="5"/>
  <c r="R181" i="5"/>
  <c r="N181" i="5"/>
  <c r="M181" i="5"/>
  <c r="J181" i="5"/>
  <c r="O238" i="5"/>
  <c r="G238" i="5"/>
  <c r="N238" i="5"/>
  <c r="F238" i="5"/>
  <c r="M238" i="5"/>
  <c r="L238" i="5"/>
  <c r="K238" i="5"/>
  <c r="J238" i="5"/>
  <c r="I238" i="5"/>
  <c r="R238" i="5"/>
  <c r="S238" i="5"/>
  <c r="Q238" i="5"/>
  <c r="P238" i="5"/>
  <c r="H238" i="5"/>
  <c r="C318" i="4"/>
  <c r="C322" i="5" s="1"/>
  <c r="H318" i="3"/>
  <c r="G318" i="4" s="1"/>
  <c r="G318" i="3"/>
  <c r="F318" i="4" s="1"/>
  <c r="D366" i="4"/>
  <c r="D370" i="5" s="1"/>
  <c r="I366" i="3"/>
  <c r="H366" i="4" s="1"/>
  <c r="S160" i="5"/>
  <c r="K160" i="5"/>
  <c r="R160" i="5"/>
  <c r="J160" i="5"/>
  <c r="Q160" i="5"/>
  <c r="I160" i="5"/>
  <c r="M160" i="5"/>
  <c r="H160" i="5"/>
  <c r="G160" i="5"/>
  <c r="F160" i="5"/>
  <c r="P160" i="5"/>
  <c r="O160" i="5"/>
  <c r="N160" i="5"/>
  <c r="L160" i="5"/>
  <c r="S128" i="5"/>
  <c r="K128" i="5"/>
  <c r="R128" i="5"/>
  <c r="J128" i="5"/>
  <c r="Q128" i="5"/>
  <c r="I128" i="5"/>
  <c r="M128" i="5"/>
  <c r="H128" i="5"/>
  <c r="G128" i="5"/>
  <c r="F128" i="5"/>
  <c r="L128" i="5"/>
  <c r="P128" i="5"/>
  <c r="O128" i="5"/>
  <c r="N128" i="5"/>
  <c r="M344" i="5"/>
  <c r="L344" i="5"/>
  <c r="S344" i="5"/>
  <c r="K344" i="5"/>
  <c r="J344" i="5"/>
  <c r="I344" i="5"/>
  <c r="H344" i="5"/>
  <c r="P344" i="5"/>
  <c r="R344" i="5"/>
  <c r="Q344" i="5"/>
  <c r="O344" i="5"/>
  <c r="N344" i="5"/>
  <c r="G344" i="5"/>
  <c r="F344" i="5"/>
  <c r="R360" i="5"/>
  <c r="J360" i="5"/>
  <c r="Q360" i="5"/>
  <c r="H360" i="5"/>
  <c r="P360" i="5"/>
  <c r="G360" i="5"/>
  <c r="O360" i="5"/>
  <c r="F360" i="5"/>
  <c r="K360" i="5"/>
  <c r="N360" i="5"/>
  <c r="M360" i="5"/>
  <c r="L360" i="5"/>
  <c r="I360" i="5"/>
  <c r="S360" i="5"/>
  <c r="L372" i="5"/>
  <c r="S372" i="5"/>
  <c r="K372" i="5"/>
  <c r="Q372" i="5"/>
  <c r="I372" i="5"/>
  <c r="N372" i="5"/>
  <c r="M372" i="5"/>
  <c r="J372" i="5"/>
  <c r="R372" i="5"/>
  <c r="G372" i="5"/>
  <c r="P372" i="5"/>
  <c r="O372" i="5"/>
  <c r="H372" i="5"/>
  <c r="F372" i="5"/>
  <c r="D204" i="4"/>
  <c r="D208" i="5" s="1"/>
  <c r="I204" i="3"/>
  <c r="H204" i="4" s="1"/>
  <c r="Q328" i="5"/>
  <c r="I328" i="5"/>
  <c r="P328" i="5"/>
  <c r="H328" i="5"/>
  <c r="O328" i="5"/>
  <c r="G328" i="5"/>
  <c r="J328" i="5"/>
  <c r="F328" i="5"/>
  <c r="S328" i="5"/>
  <c r="L328" i="5"/>
  <c r="N328" i="5"/>
  <c r="R328" i="5"/>
  <c r="K328" i="5"/>
  <c r="M328" i="5"/>
  <c r="Q137" i="5"/>
  <c r="I137" i="5"/>
  <c r="P137" i="5"/>
  <c r="H137" i="5"/>
  <c r="O137" i="5"/>
  <c r="G137" i="5"/>
  <c r="S137" i="5"/>
  <c r="K137" i="5"/>
  <c r="F137" i="5"/>
  <c r="N137" i="5"/>
  <c r="R137" i="5"/>
  <c r="M137" i="5"/>
  <c r="L137" i="5"/>
  <c r="J137" i="5"/>
  <c r="Q149" i="5"/>
  <c r="I149" i="5"/>
  <c r="P149" i="5"/>
  <c r="H149" i="5"/>
  <c r="O149" i="5"/>
  <c r="G149" i="5"/>
  <c r="S149" i="5"/>
  <c r="K149" i="5"/>
  <c r="N149" i="5"/>
  <c r="M149" i="5"/>
  <c r="L149" i="5"/>
  <c r="F149" i="5"/>
  <c r="J149" i="5"/>
  <c r="R149" i="5"/>
  <c r="Q145" i="5"/>
  <c r="I145" i="5"/>
  <c r="P145" i="5"/>
  <c r="H145" i="5"/>
  <c r="O145" i="5"/>
  <c r="G145" i="5"/>
  <c r="S145" i="5"/>
  <c r="K145" i="5"/>
  <c r="F145" i="5"/>
  <c r="N145" i="5"/>
  <c r="R145" i="5"/>
  <c r="M145" i="5"/>
  <c r="L145" i="5"/>
  <c r="J145" i="5"/>
  <c r="I393" i="3"/>
  <c r="H393" i="4" s="1"/>
  <c r="D393" i="4"/>
  <c r="D397" i="5" s="1"/>
  <c r="I301" i="3"/>
  <c r="H301" i="4" s="1"/>
  <c r="D301" i="4"/>
  <c r="D305" i="5" s="1"/>
  <c r="O142" i="5"/>
  <c r="G142" i="5"/>
  <c r="N142" i="5"/>
  <c r="F142" i="5"/>
  <c r="M142" i="5"/>
  <c r="Q142" i="5"/>
  <c r="I142" i="5"/>
  <c r="L142" i="5"/>
  <c r="K142" i="5"/>
  <c r="J142" i="5"/>
  <c r="H142" i="5"/>
  <c r="S142" i="5"/>
  <c r="R142" i="5"/>
  <c r="P142" i="5"/>
  <c r="I179" i="3"/>
  <c r="H179" i="4" s="1"/>
  <c r="D179" i="4"/>
  <c r="D183" i="5" s="1"/>
  <c r="I261" i="3"/>
  <c r="H261" i="4" s="1"/>
  <c r="D261" i="4"/>
  <c r="D265" i="5" s="1"/>
  <c r="M143" i="5"/>
  <c r="L143" i="5"/>
  <c r="S143" i="5"/>
  <c r="K143" i="5"/>
  <c r="O143" i="5"/>
  <c r="G143" i="5"/>
  <c r="J143" i="5"/>
  <c r="I143" i="5"/>
  <c r="H143" i="5"/>
  <c r="R143" i="5"/>
  <c r="Q143" i="5"/>
  <c r="P143" i="5"/>
  <c r="N143" i="5"/>
  <c r="F143" i="5"/>
  <c r="S156" i="5"/>
  <c r="K156" i="5"/>
  <c r="R156" i="5"/>
  <c r="J156" i="5"/>
  <c r="Q156" i="5"/>
  <c r="I156" i="5"/>
  <c r="M156" i="5"/>
  <c r="P156" i="5"/>
  <c r="O156" i="5"/>
  <c r="N156" i="5"/>
  <c r="H156" i="5"/>
  <c r="L156" i="5"/>
  <c r="G156" i="5"/>
  <c r="F156" i="5"/>
  <c r="I289" i="3"/>
  <c r="H289" i="4" s="1"/>
  <c r="D289" i="4"/>
  <c r="D293" i="5" s="1"/>
  <c r="I273" i="3"/>
  <c r="H273" i="4" s="1"/>
  <c r="D273" i="4"/>
  <c r="D277" i="5" s="1"/>
  <c r="H178" i="3"/>
  <c r="G178" i="4" s="1"/>
  <c r="G178" i="3"/>
  <c r="F178" i="4" s="1"/>
  <c r="C178" i="4"/>
  <c r="C182" i="5" s="1"/>
  <c r="O170" i="5"/>
  <c r="G170" i="5"/>
  <c r="N170" i="5"/>
  <c r="F170" i="5"/>
  <c r="M170" i="5"/>
  <c r="R170" i="5"/>
  <c r="L170" i="5"/>
  <c r="K170" i="5"/>
  <c r="J170" i="5"/>
  <c r="Q170" i="5"/>
  <c r="S170" i="5"/>
  <c r="I170" i="5"/>
  <c r="P170" i="5"/>
  <c r="H170" i="5"/>
  <c r="I321" i="3"/>
  <c r="H321" i="4" s="1"/>
  <c r="D321" i="4"/>
  <c r="D325" i="5" s="1"/>
  <c r="L272" i="5"/>
  <c r="S272" i="5"/>
  <c r="K272" i="5"/>
  <c r="R272" i="5"/>
  <c r="J272" i="5"/>
  <c r="N272" i="5"/>
  <c r="F272" i="5"/>
  <c r="Q272" i="5"/>
  <c r="P272" i="5"/>
  <c r="O272" i="5"/>
  <c r="H272" i="5"/>
  <c r="M272" i="5"/>
  <c r="I272" i="5"/>
  <c r="G272" i="5"/>
  <c r="I333" i="3"/>
  <c r="H333" i="4" s="1"/>
  <c r="D333" i="4"/>
  <c r="D337" i="5" s="1"/>
  <c r="O214" i="5"/>
  <c r="G214" i="5"/>
  <c r="N214" i="5"/>
  <c r="F214" i="5"/>
  <c r="M214" i="5"/>
  <c r="L214" i="5"/>
  <c r="K214" i="5"/>
  <c r="J214" i="5"/>
  <c r="I214" i="5"/>
  <c r="R214" i="5"/>
  <c r="H214" i="5"/>
  <c r="Q214" i="5"/>
  <c r="S214" i="5"/>
  <c r="P214" i="5"/>
  <c r="I354" i="3"/>
  <c r="H354" i="4" s="1"/>
  <c r="D354" i="4"/>
  <c r="D358" i="5" s="1"/>
  <c r="D55" i="4"/>
  <c r="D59" i="5" s="1"/>
  <c r="I55" i="3"/>
  <c r="H55" i="4" s="1"/>
  <c r="D119" i="4"/>
  <c r="D123" i="5" s="1"/>
  <c r="I119" i="3"/>
  <c r="H119" i="4" s="1"/>
  <c r="C363" i="4"/>
  <c r="C367" i="5" s="1"/>
  <c r="H363" i="3"/>
  <c r="G363" i="4" s="1"/>
  <c r="G363" i="3"/>
  <c r="F363" i="4" s="1"/>
  <c r="C299" i="4"/>
  <c r="C303" i="5" s="1"/>
  <c r="H299" i="3"/>
  <c r="G299" i="4" s="1"/>
  <c r="G299" i="3"/>
  <c r="F299" i="4" s="1"/>
  <c r="D134" i="4"/>
  <c r="D138" i="5" s="1"/>
  <c r="I134" i="3"/>
  <c r="H134" i="4" s="1"/>
  <c r="S200" i="5"/>
  <c r="K200" i="5"/>
  <c r="R200" i="5"/>
  <c r="J200" i="5"/>
  <c r="Q200" i="5"/>
  <c r="I200" i="5"/>
  <c r="N200" i="5"/>
  <c r="F200" i="5"/>
  <c r="P200" i="5"/>
  <c r="O200" i="5"/>
  <c r="M200" i="5"/>
  <c r="L200" i="5"/>
  <c r="H200" i="5"/>
  <c r="G200" i="5"/>
  <c r="H279" i="3"/>
  <c r="G279" i="4" s="1"/>
  <c r="C279" i="4"/>
  <c r="C283" i="5" s="1"/>
  <c r="G279" i="3"/>
  <c r="F279" i="4" s="1"/>
  <c r="P361" i="5"/>
  <c r="H361" i="5"/>
  <c r="R361" i="5"/>
  <c r="I361" i="5"/>
  <c r="Q361" i="5"/>
  <c r="G361" i="5"/>
  <c r="O361" i="5"/>
  <c r="F361" i="5"/>
  <c r="K361" i="5"/>
  <c r="N361" i="5"/>
  <c r="M361" i="5"/>
  <c r="L361" i="5"/>
  <c r="J361" i="5"/>
  <c r="S361" i="5"/>
  <c r="D253" i="4"/>
  <c r="D257" i="5" s="1"/>
  <c r="I253" i="3"/>
  <c r="H253" i="4" s="1"/>
  <c r="I313" i="3"/>
  <c r="H313" i="4" s="1"/>
  <c r="D313" i="4"/>
  <c r="D317" i="5" s="1"/>
  <c r="L384" i="5"/>
  <c r="S384" i="5"/>
  <c r="K384" i="5"/>
  <c r="Q384" i="5"/>
  <c r="I384" i="5"/>
  <c r="P384" i="5"/>
  <c r="H384" i="5"/>
  <c r="G384" i="5"/>
  <c r="F384" i="5"/>
  <c r="M384" i="5"/>
  <c r="R384" i="5"/>
  <c r="O384" i="5"/>
  <c r="N384" i="5"/>
  <c r="J384" i="5"/>
  <c r="D212" i="4"/>
  <c r="D216" i="5" s="1"/>
  <c r="I212" i="3"/>
  <c r="H212" i="4" s="1"/>
  <c r="L292" i="5"/>
  <c r="S292" i="5"/>
  <c r="K292" i="5"/>
  <c r="R292" i="5"/>
  <c r="J292" i="5"/>
  <c r="N292" i="5"/>
  <c r="F292" i="5"/>
  <c r="I292" i="5"/>
  <c r="H292" i="5"/>
  <c r="G292" i="5"/>
  <c r="P292" i="5"/>
  <c r="Q292" i="5"/>
  <c r="O292" i="5"/>
  <c r="M292" i="5"/>
  <c r="I305" i="3"/>
  <c r="H305" i="4" s="1"/>
  <c r="D305" i="4"/>
  <c r="D309" i="5" s="1"/>
  <c r="I229" i="3"/>
  <c r="H229" i="4" s="1"/>
  <c r="D229" i="4"/>
  <c r="D233" i="5" s="1"/>
  <c r="D244" i="4"/>
  <c r="D248" i="5" s="1"/>
  <c r="I244" i="3"/>
  <c r="H244" i="4" s="1"/>
  <c r="Q249" i="5"/>
  <c r="I249" i="5"/>
  <c r="P249" i="5"/>
  <c r="H249" i="5"/>
  <c r="O249" i="5"/>
  <c r="G249" i="5"/>
  <c r="N249" i="5"/>
  <c r="F249" i="5"/>
  <c r="S249" i="5"/>
  <c r="L249" i="5"/>
  <c r="R249" i="5"/>
  <c r="M249" i="5"/>
  <c r="K249" i="5"/>
  <c r="J249" i="5"/>
  <c r="L304" i="5"/>
  <c r="S304" i="5"/>
  <c r="K304" i="5"/>
  <c r="R304" i="5"/>
  <c r="J304" i="5"/>
  <c r="N304" i="5"/>
  <c r="F304" i="5"/>
  <c r="Q304" i="5"/>
  <c r="P304" i="5"/>
  <c r="O304" i="5"/>
  <c r="H304" i="5"/>
  <c r="M304" i="5"/>
  <c r="I304" i="5"/>
  <c r="G304" i="5"/>
  <c r="D205" i="4"/>
  <c r="D209" i="5" s="1"/>
  <c r="I205" i="3"/>
  <c r="H205" i="4" s="1"/>
  <c r="C286" i="4"/>
  <c r="C290" i="5" s="1"/>
  <c r="H286" i="3"/>
  <c r="G286" i="4" s="1"/>
  <c r="G286" i="3"/>
  <c r="F286" i="4" s="1"/>
  <c r="D302" i="4"/>
  <c r="D306" i="5" s="1"/>
  <c r="I302" i="3"/>
  <c r="H302" i="4" s="1"/>
  <c r="I389" i="3"/>
  <c r="H389" i="4" s="1"/>
  <c r="D389" i="4"/>
  <c r="D393" i="5" s="1"/>
  <c r="Q241" i="5"/>
  <c r="I241" i="5"/>
  <c r="P241" i="5"/>
  <c r="H241" i="5"/>
  <c r="O241" i="5"/>
  <c r="G241" i="5"/>
  <c r="N241" i="5"/>
  <c r="F241" i="5"/>
  <c r="S241" i="5"/>
  <c r="L241" i="5"/>
  <c r="K241" i="5"/>
  <c r="R241" i="5"/>
  <c r="M241" i="5"/>
  <c r="J241" i="5"/>
  <c r="H219" i="3"/>
  <c r="G219" i="4" s="1"/>
  <c r="C219" i="4"/>
  <c r="C223" i="5" s="1"/>
  <c r="G219" i="3"/>
  <c r="F219" i="4" s="1"/>
  <c r="H298" i="3"/>
  <c r="G298" i="4" s="1"/>
  <c r="G298" i="3"/>
  <c r="F298" i="4" s="1"/>
  <c r="C298" i="4"/>
  <c r="C302" i="5" s="1"/>
  <c r="I361" i="3"/>
  <c r="H361" i="4" s="1"/>
  <c r="D361" i="4"/>
  <c r="D365" i="5" s="1"/>
  <c r="I269" i="3"/>
  <c r="H269" i="4" s="1"/>
  <c r="D269" i="4"/>
  <c r="D273" i="5" s="1"/>
  <c r="I285" i="3"/>
  <c r="H285" i="4" s="1"/>
  <c r="D285" i="4"/>
  <c r="D289" i="5" s="1"/>
  <c r="S152" i="5"/>
  <c r="K152" i="5"/>
  <c r="R152" i="5"/>
  <c r="J152" i="5"/>
  <c r="Q152" i="5"/>
  <c r="I152" i="5"/>
  <c r="M152" i="5"/>
  <c r="H152" i="5"/>
  <c r="G152" i="5"/>
  <c r="F152" i="5"/>
  <c r="P152" i="5"/>
  <c r="O152" i="5"/>
  <c r="N152" i="5"/>
  <c r="L152" i="5"/>
  <c r="S120" i="5"/>
  <c r="K120" i="5"/>
  <c r="R120" i="5"/>
  <c r="J120" i="5"/>
  <c r="Q120" i="5"/>
  <c r="I120" i="5"/>
  <c r="M120" i="5"/>
  <c r="H120" i="5"/>
  <c r="G120" i="5"/>
  <c r="F120" i="5"/>
  <c r="P120" i="5"/>
  <c r="O120" i="5"/>
  <c r="N120" i="5"/>
  <c r="L120" i="5"/>
  <c r="C251" i="4"/>
  <c r="C255" i="5" s="1"/>
  <c r="H251" i="3"/>
  <c r="G251" i="4" s="1"/>
  <c r="G251" i="3"/>
  <c r="F251" i="4" s="1"/>
  <c r="I258" i="3"/>
  <c r="H258" i="4" s="1"/>
  <c r="D258" i="4"/>
  <c r="D262" i="5" s="1"/>
  <c r="D223" i="4"/>
  <c r="D227" i="5" s="1"/>
  <c r="I223" i="3"/>
  <c r="H223" i="4" s="1"/>
  <c r="D270" i="4"/>
  <c r="D274" i="5" s="1"/>
  <c r="I270" i="3"/>
  <c r="H270" i="4" s="1"/>
  <c r="L380" i="5"/>
  <c r="S380" i="5"/>
  <c r="K380" i="5"/>
  <c r="Q380" i="5"/>
  <c r="I380" i="5"/>
  <c r="P380" i="5"/>
  <c r="H380" i="5"/>
  <c r="O380" i="5"/>
  <c r="N380" i="5"/>
  <c r="M380" i="5"/>
  <c r="F380" i="5"/>
  <c r="R380" i="5"/>
  <c r="J380" i="5"/>
  <c r="G380" i="5"/>
  <c r="D252" i="4"/>
  <c r="D256" i="5" s="1"/>
  <c r="I252" i="3"/>
  <c r="H252" i="4" s="1"/>
  <c r="C379" i="4"/>
  <c r="C383" i="5" s="1"/>
  <c r="H379" i="3"/>
  <c r="G379" i="4" s="1"/>
  <c r="G379" i="3"/>
  <c r="F379" i="4" s="1"/>
  <c r="C315" i="4"/>
  <c r="C319" i="5" s="1"/>
  <c r="H315" i="3"/>
  <c r="G315" i="4" s="1"/>
  <c r="G315" i="3"/>
  <c r="F315" i="4" s="1"/>
  <c r="S252" i="5"/>
  <c r="K252" i="5"/>
  <c r="R252" i="5"/>
  <c r="J252" i="5"/>
  <c r="Q252" i="5"/>
  <c r="I252" i="5"/>
  <c r="P252" i="5"/>
  <c r="H252" i="5"/>
  <c r="O252" i="5"/>
  <c r="N252" i="5"/>
  <c r="M252" i="5"/>
  <c r="F252" i="5"/>
  <c r="L252" i="5"/>
  <c r="G252" i="5"/>
  <c r="L396" i="5"/>
  <c r="S396" i="5"/>
  <c r="K396" i="5"/>
  <c r="Q396" i="5"/>
  <c r="I396" i="5"/>
  <c r="P396" i="5"/>
  <c r="H396" i="5"/>
  <c r="O396" i="5"/>
  <c r="N396" i="5"/>
  <c r="M396" i="5"/>
  <c r="F396" i="5"/>
  <c r="J396" i="5"/>
  <c r="R396" i="5"/>
  <c r="G396" i="5"/>
  <c r="D213" i="4"/>
  <c r="D217" i="5" s="1"/>
  <c r="I213" i="3"/>
  <c r="H213" i="4" s="1"/>
  <c r="I281" i="3"/>
  <c r="H281" i="4" s="1"/>
  <c r="D281" i="4"/>
  <c r="D285" i="5" s="1"/>
  <c r="R352" i="5"/>
  <c r="J352" i="5"/>
  <c r="O352" i="5"/>
  <c r="F352" i="5"/>
  <c r="N352" i="5"/>
  <c r="M352" i="5"/>
  <c r="I352" i="5"/>
  <c r="H352" i="5"/>
  <c r="G352" i="5"/>
  <c r="P352" i="5"/>
  <c r="L352" i="5"/>
  <c r="S352" i="5"/>
  <c r="Q352" i="5"/>
  <c r="K352" i="5"/>
  <c r="C189" i="4"/>
  <c r="C193" i="5" s="1"/>
  <c r="H189" i="3"/>
  <c r="G189" i="4" s="1"/>
  <c r="G189" i="3"/>
  <c r="F189" i="4" s="1"/>
  <c r="L260" i="5"/>
  <c r="K260" i="5"/>
  <c r="S260" i="5"/>
  <c r="J260" i="5"/>
  <c r="R260" i="5"/>
  <c r="I260" i="5"/>
  <c r="Q260" i="5"/>
  <c r="H260" i="5"/>
  <c r="G260" i="5"/>
  <c r="F260" i="5"/>
  <c r="O260" i="5"/>
  <c r="P260" i="5"/>
  <c r="N260" i="5"/>
  <c r="M260" i="5"/>
  <c r="L276" i="5"/>
  <c r="S276" i="5"/>
  <c r="K276" i="5"/>
  <c r="R276" i="5"/>
  <c r="J276" i="5"/>
  <c r="N276" i="5"/>
  <c r="F276" i="5"/>
  <c r="I276" i="5"/>
  <c r="H276" i="5"/>
  <c r="G276" i="5"/>
  <c r="P276" i="5"/>
  <c r="Q276" i="5"/>
  <c r="O276" i="5"/>
  <c r="M276" i="5"/>
  <c r="O150" i="5"/>
  <c r="G150" i="5"/>
  <c r="N150" i="5"/>
  <c r="F150" i="5"/>
  <c r="M150" i="5"/>
  <c r="Q150" i="5"/>
  <c r="I150" i="5"/>
  <c r="L150" i="5"/>
  <c r="K150" i="5"/>
  <c r="J150" i="5"/>
  <c r="S150" i="5"/>
  <c r="R150" i="5"/>
  <c r="P150" i="5"/>
  <c r="H150" i="5"/>
  <c r="O230" i="5"/>
  <c r="G230" i="5"/>
  <c r="N230" i="5"/>
  <c r="F230" i="5"/>
  <c r="M230" i="5"/>
  <c r="L230" i="5"/>
  <c r="K230" i="5"/>
  <c r="J230" i="5"/>
  <c r="I230" i="5"/>
  <c r="R230" i="5"/>
  <c r="H230" i="5"/>
  <c r="Q230" i="5"/>
  <c r="S230" i="5"/>
  <c r="P230" i="5"/>
  <c r="O254" i="5"/>
  <c r="G254" i="5"/>
  <c r="N254" i="5"/>
  <c r="F254" i="5"/>
  <c r="M254" i="5"/>
  <c r="L254" i="5"/>
  <c r="K254" i="5"/>
  <c r="J254" i="5"/>
  <c r="I254" i="5"/>
  <c r="R254" i="5"/>
  <c r="S254" i="5"/>
  <c r="Q254" i="5"/>
  <c r="P254" i="5"/>
  <c r="H254" i="5"/>
  <c r="D188" i="4"/>
  <c r="D192" i="5" s="1"/>
  <c r="I188" i="3"/>
  <c r="H188" i="4" s="1"/>
  <c r="M203" i="5"/>
  <c r="L203" i="5"/>
  <c r="S203" i="5"/>
  <c r="K203" i="5"/>
  <c r="P203" i="5"/>
  <c r="H203" i="5"/>
  <c r="J203" i="5"/>
  <c r="I203" i="5"/>
  <c r="G203" i="5"/>
  <c r="O203" i="5"/>
  <c r="F203" i="5"/>
  <c r="R203" i="5"/>
  <c r="Q203" i="5"/>
  <c r="N203" i="5"/>
  <c r="D230" i="4"/>
  <c r="D234" i="5" s="1"/>
  <c r="I230" i="3"/>
  <c r="H230" i="4" s="1"/>
  <c r="M139" i="5"/>
  <c r="L139" i="5"/>
  <c r="S139" i="5"/>
  <c r="K139" i="5"/>
  <c r="O139" i="5"/>
  <c r="G139" i="5"/>
  <c r="R139" i="5"/>
  <c r="Q139" i="5"/>
  <c r="P139" i="5"/>
  <c r="J139" i="5"/>
  <c r="N139" i="5"/>
  <c r="I139" i="5"/>
  <c r="H139" i="5"/>
  <c r="F139" i="5"/>
  <c r="N379" i="5"/>
  <c r="F379" i="5"/>
  <c r="M379" i="5"/>
  <c r="S379" i="5"/>
  <c r="K379" i="5"/>
  <c r="R379" i="5"/>
  <c r="J379" i="5"/>
  <c r="Q379" i="5"/>
  <c r="P379" i="5"/>
  <c r="O379" i="5"/>
  <c r="G379" i="5"/>
  <c r="L379" i="5"/>
  <c r="I379" i="5"/>
  <c r="H379" i="5"/>
  <c r="N315" i="5"/>
  <c r="F315" i="5"/>
  <c r="M315" i="5"/>
  <c r="L315" i="5"/>
  <c r="P315" i="5"/>
  <c r="H315" i="5"/>
  <c r="K315" i="5"/>
  <c r="J315" i="5"/>
  <c r="I315" i="5"/>
  <c r="R315" i="5"/>
  <c r="G315" i="5"/>
  <c r="S315" i="5"/>
  <c r="Q315" i="5"/>
  <c r="O315" i="5"/>
  <c r="Q197" i="5"/>
  <c r="I197" i="5"/>
  <c r="P197" i="5"/>
  <c r="H197" i="5"/>
  <c r="O197" i="5"/>
  <c r="G197" i="5"/>
  <c r="L197" i="5"/>
  <c r="F197" i="5"/>
  <c r="S197" i="5"/>
  <c r="K197" i="5"/>
  <c r="R197" i="5"/>
  <c r="N197" i="5"/>
  <c r="M197" i="5"/>
  <c r="J197" i="5"/>
  <c r="O178" i="5"/>
  <c r="G178" i="5"/>
  <c r="N178" i="5"/>
  <c r="F178" i="5"/>
  <c r="M178" i="5"/>
  <c r="R178" i="5"/>
  <c r="J178" i="5"/>
  <c r="L178" i="5"/>
  <c r="K178" i="5"/>
  <c r="I178" i="5"/>
  <c r="Q178" i="5"/>
  <c r="H178" i="5"/>
  <c r="S178" i="5"/>
  <c r="P178" i="5"/>
  <c r="D398" i="4"/>
  <c r="D402" i="5" s="1"/>
  <c r="I398" i="3"/>
  <c r="H398" i="4" s="1"/>
  <c r="O210" i="5"/>
  <c r="G210" i="5"/>
  <c r="N210" i="5"/>
  <c r="F210" i="5"/>
  <c r="M210" i="5"/>
  <c r="L210" i="5"/>
  <c r="S210" i="5"/>
  <c r="R210" i="5"/>
  <c r="Q210" i="5"/>
  <c r="J210" i="5"/>
  <c r="P210" i="5"/>
  <c r="K210" i="5"/>
  <c r="I210" i="5"/>
  <c r="H210" i="5"/>
  <c r="H198" i="3"/>
  <c r="G198" i="4" s="1"/>
  <c r="C198" i="4"/>
  <c r="C202" i="5" s="1"/>
  <c r="G198" i="3"/>
  <c r="F198" i="4" s="1"/>
  <c r="C254" i="4"/>
  <c r="C258" i="5" s="1"/>
  <c r="H254" i="3"/>
  <c r="G254" i="4" s="1"/>
  <c r="G254" i="3"/>
  <c r="F254" i="4" s="1"/>
  <c r="D172" i="4"/>
  <c r="D176" i="5" s="1"/>
  <c r="I172" i="3"/>
  <c r="H172" i="4" s="1"/>
  <c r="N279" i="5"/>
  <c r="F279" i="5"/>
  <c r="M279" i="5"/>
  <c r="L279" i="5"/>
  <c r="P279" i="5"/>
  <c r="H279" i="5"/>
  <c r="S279" i="5"/>
  <c r="R279" i="5"/>
  <c r="Q279" i="5"/>
  <c r="J279" i="5"/>
  <c r="O279" i="5"/>
  <c r="K279" i="5"/>
  <c r="I279" i="5"/>
  <c r="G279" i="5"/>
  <c r="H345" i="3"/>
  <c r="G345" i="4" s="1"/>
  <c r="C345" i="4"/>
  <c r="C349" i="5" s="1"/>
  <c r="G345" i="3"/>
  <c r="F345" i="4" s="1"/>
  <c r="P357" i="5"/>
  <c r="H357" i="5"/>
  <c r="Q357" i="5"/>
  <c r="G357" i="5"/>
  <c r="O357" i="5"/>
  <c r="F357" i="5"/>
  <c r="N357" i="5"/>
  <c r="I357" i="5"/>
  <c r="S357" i="5"/>
  <c r="L357" i="5"/>
  <c r="K357" i="5"/>
  <c r="R357" i="5"/>
  <c r="M357" i="5"/>
  <c r="J357" i="5"/>
  <c r="I275" i="3"/>
  <c r="H275" i="4" s="1"/>
  <c r="D275" i="4"/>
  <c r="D279" i="5" s="1"/>
  <c r="C371" i="4"/>
  <c r="C375" i="5" s="1"/>
  <c r="H371" i="3"/>
  <c r="G371" i="4" s="1"/>
  <c r="G371" i="3"/>
  <c r="F371" i="4" s="1"/>
  <c r="C307" i="4"/>
  <c r="C311" i="5" s="1"/>
  <c r="H307" i="3"/>
  <c r="G307" i="4" s="1"/>
  <c r="G307" i="3"/>
  <c r="F307" i="4" s="1"/>
  <c r="D173" i="4"/>
  <c r="D177" i="5" s="1"/>
  <c r="I173" i="3"/>
  <c r="H173" i="4" s="1"/>
  <c r="H232" i="3"/>
  <c r="G232" i="4" s="1"/>
  <c r="C232" i="4"/>
  <c r="C236" i="5" s="1"/>
  <c r="G232" i="3"/>
  <c r="F232" i="4" s="1"/>
  <c r="I373" i="3"/>
  <c r="H373" i="4" s="1"/>
  <c r="D373" i="4"/>
  <c r="D377" i="5" s="1"/>
  <c r="D192" i="4"/>
  <c r="D196" i="5" s="1"/>
  <c r="I192" i="3"/>
  <c r="H192" i="4" s="1"/>
  <c r="H266" i="3"/>
  <c r="G266" i="4" s="1"/>
  <c r="G266" i="3"/>
  <c r="F266" i="4" s="1"/>
  <c r="C266" i="4"/>
  <c r="C270" i="5" s="1"/>
  <c r="I329" i="3"/>
  <c r="H329" i="4" s="1"/>
  <c r="D329" i="4"/>
  <c r="D333" i="5" s="1"/>
  <c r="C173" i="4"/>
  <c r="C177" i="5" s="1"/>
  <c r="H173" i="3"/>
  <c r="G173" i="4" s="1"/>
  <c r="G173" i="3"/>
  <c r="F173" i="4" s="1"/>
  <c r="C243" i="4"/>
  <c r="C247" i="5" s="1"/>
  <c r="H243" i="3"/>
  <c r="G243" i="4" s="1"/>
  <c r="G243" i="3"/>
  <c r="F243" i="4" s="1"/>
  <c r="H211" i="3"/>
  <c r="G211" i="4" s="1"/>
  <c r="C211" i="4"/>
  <c r="C215" i="5" s="1"/>
  <c r="G211" i="3"/>
  <c r="F211" i="4" s="1"/>
  <c r="O146" i="5"/>
  <c r="G146" i="5"/>
  <c r="N146" i="5"/>
  <c r="F146" i="5"/>
  <c r="M146" i="5"/>
  <c r="Q146" i="5"/>
  <c r="I146" i="5"/>
  <c r="S146" i="5"/>
  <c r="R146" i="5"/>
  <c r="L146" i="5"/>
  <c r="P146" i="5"/>
  <c r="K146" i="5"/>
  <c r="J146" i="5"/>
  <c r="H146" i="5"/>
  <c r="C214" i="4"/>
  <c r="C218" i="5" s="1"/>
  <c r="H214" i="3"/>
  <c r="G214" i="4" s="1"/>
  <c r="G214" i="3"/>
  <c r="F214" i="4" s="1"/>
  <c r="D202" i="4"/>
  <c r="D206" i="5" s="1"/>
  <c r="I202" i="3"/>
  <c r="H202" i="4" s="1"/>
  <c r="L316" i="5"/>
  <c r="S316" i="5"/>
  <c r="K316" i="5"/>
  <c r="R316" i="5"/>
  <c r="J316" i="5"/>
  <c r="N316" i="5"/>
  <c r="F316" i="5"/>
  <c r="I316" i="5"/>
  <c r="H316" i="5"/>
  <c r="G316" i="5"/>
  <c r="P316" i="5"/>
  <c r="Q316" i="5"/>
  <c r="O316" i="5"/>
  <c r="M316" i="5"/>
  <c r="M171" i="5"/>
  <c r="L171" i="5"/>
  <c r="S171" i="5"/>
  <c r="K171" i="5"/>
  <c r="P171" i="5"/>
  <c r="H171" i="5"/>
  <c r="J171" i="5"/>
  <c r="I171" i="5"/>
  <c r="G171" i="5"/>
  <c r="O171" i="5"/>
  <c r="F171" i="5"/>
  <c r="R171" i="5"/>
  <c r="Q171" i="5"/>
  <c r="N171" i="5"/>
  <c r="Q121" i="5"/>
  <c r="I121" i="5"/>
  <c r="P121" i="5"/>
  <c r="H121" i="5"/>
  <c r="O121" i="5"/>
  <c r="G121" i="5"/>
  <c r="S121" i="5"/>
  <c r="K121" i="5"/>
  <c r="F121" i="5"/>
  <c r="J121" i="5"/>
  <c r="R121" i="5"/>
  <c r="M121" i="5"/>
  <c r="L121" i="5"/>
  <c r="N121" i="5"/>
  <c r="H330" i="3"/>
  <c r="G330" i="4" s="1"/>
  <c r="G330" i="3"/>
  <c r="F330" i="4" s="1"/>
  <c r="C330" i="4"/>
  <c r="C334" i="5" s="1"/>
  <c r="L388" i="5"/>
  <c r="S388" i="5"/>
  <c r="K388" i="5"/>
  <c r="Q388" i="5"/>
  <c r="I388" i="5"/>
  <c r="P388" i="5"/>
  <c r="H388" i="5"/>
  <c r="O388" i="5"/>
  <c r="N388" i="5"/>
  <c r="M388" i="5"/>
  <c r="J388" i="5"/>
  <c r="G388" i="5"/>
  <c r="F388" i="5"/>
  <c r="R388" i="5"/>
  <c r="O158" i="5"/>
  <c r="G158" i="5"/>
  <c r="N158" i="5"/>
  <c r="F158" i="5"/>
  <c r="M158" i="5"/>
  <c r="Q158" i="5"/>
  <c r="I158" i="5"/>
  <c r="L158" i="5"/>
  <c r="K158" i="5"/>
  <c r="J158" i="5"/>
  <c r="H158" i="5"/>
  <c r="S158" i="5"/>
  <c r="R158" i="5"/>
  <c r="P158" i="5"/>
  <c r="I293" i="3"/>
  <c r="H293" i="4" s="1"/>
  <c r="D293" i="4"/>
  <c r="D297" i="5" s="1"/>
  <c r="I187" i="3"/>
  <c r="H187" i="4" s="1"/>
  <c r="D187" i="4"/>
  <c r="D191" i="5" s="1"/>
  <c r="Q169" i="5"/>
  <c r="I169" i="5"/>
  <c r="P169" i="5"/>
  <c r="H169" i="5"/>
  <c r="O169" i="5"/>
  <c r="G169" i="5"/>
  <c r="S169" i="5"/>
  <c r="R169" i="5"/>
  <c r="N169" i="5"/>
  <c r="J169" i="5"/>
  <c r="M169" i="5"/>
  <c r="L169" i="5"/>
  <c r="K169" i="5"/>
  <c r="F169" i="5"/>
  <c r="S172" i="5"/>
  <c r="K172" i="5"/>
  <c r="R172" i="5"/>
  <c r="J172" i="5"/>
  <c r="Q172" i="5"/>
  <c r="I172" i="5"/>
  <c r="N172" i="5"/>
  <c r="F172" i="5"/>
  <c r="H172" i="5"/>
  <c r="G172" i="5"/>
  <c r="M172" i="5"/>
  <c r="P172" i="5"/>
  <c r="O172" i="5"/>
  <c r="L172" i="5"/>
  <c r="L284" i="5"/>
  <c r="S284" i="5"/>
  <c r="K284" i="5"/>
  <c r="R284" i="5"/>
  <c r="J284" i="5"/>
  <c r="N284" i="5"/>
  <c r="F284" i="5"/>
  <c r="I284" i="5"/>
  <c r="H284" i="5"/>
  <c r="G284" i="5"/>
  <c r="P284" i="5"/>
  <c r="Q284" i="5"/>
  <c r="O284" i="5"/>
  <c r="M284" i="5"/>
  <c r="D171" i="4"/>
  <c r="D175" i="5" s="1"/>
  <c r="I171" i="3"/>
  <c r="H171" i="4" s="1"/>
  <c r="D180" i="4"/>
  <c r="D184" i="5" s="1"/>
  <c r="I180" i="3"/>
  <c r="H180" i="4" s="1"/>
  <c r="G83" i="3"/>
  <c r="F83" i="4" s="1"/>
  <c r="H83" i="3"/>
  <c r="G83" i="4" s="1"/>
  <c r="C83" i="4"/>
  <c r="C87" i="5" s="1"/>
  <c r="D399" i="4"/>
  <c r="D403" i="5" s="1"/>
  <c r="I399" i="3"/>
  <c r="H399" i="4" s="1"/>
  <c r="I335" i="3"/>
  <c r="H335" i="4" s="1"/>
  <c r="D335" i="4"/>
  <c r="D339" i="5" s="1"/>
  <c r="I271" i="3"/>
  <c r="H271" i="4" s="1"/>
  <c r="D271" i="4"/>
  <c r="D275" i="5" s="1"/>
  <c r="Q221" i="5"/>
  <c r="I221" i="5"/>
  <c r="P221" i="5"/>
  <c r="H221" i="5"/>
  <c r="O221" i="5"/>
  <c r="G221" i="5"/>
  <c r="N221" i="5"/>
  <c r="F221" i="5"/>
  <c r="M221" i="5"/>
  <c r="L221" i="5"/>
  <c r="K221" i="5"/>
  <c r="J221" i="5"/>
  <c r="S221" i="5"/>
  <c r="R221" i="5"/>
  <c r="C332" i="4"/>
  <c r="C336" i="5" s="1"/>
  <c r="H332" i="3"/>
  <c r="G332" i="4" s="1"/>
  <c r="G332" i="3"/>
  <c r="F332" i="4" s="1"/>
  <c r="H234" i="3"/>
  <c r="G234" i="4" s="1"/>
  <c r="C234" i="4"/>
  <c r="C238" i="5" s="1"/>
  <c r="G234" i="3"/>
  <c r="F234" i="4" s="1"/>
  <c r="P322" i="5"/>
  <c r="H322" i="5"/>
  <c r="O322" i="5"/>
  <c r="G322" i="5"/>
  <c r="N322" i="5"/>
  <c r="F322" i="5"/>
  <c r="R322" i="5"/>
  <c r="J322" i="5"/>
  <c r="M322" i="5"/>
  <c r="L322" i="5"/>
  <c r="K322" i="5"/>
  <c r="I322" i="5"/>
  <c r="S322" i="5"/>
  <c r="Q322" i="5"/>
  <c r="P370" i="5"/>
  <c r="H370" i="5"/>
  <c r="M370" i="5"/>
  <c r="L370" i="5"/>
  <c r="K370" i="5"/>
  <c r="J370" i="5"/>
  <c r="R370" i="5"/>
  <c r="Q370" i="5"/>
  <c r="O370" i="5"/>
  <c r="F370" i="5"/>
  <c r="N370" i="5"/>
  <c r="I370" i="5"/>
  <c r="G370" i="5"/>
  <c r="S370" i="5"/>
  <c r="C156" i="4"/>
  <c r="C160" i="5" s="1"/>
  <c r="G156" i="3"/>
  <c r="F156" i="4" s="1"/>
  <c r="H156" i="3"/>
  <c r="G156" i="4" s="1"/>
  <c r="C124" i="4"/>
  <c r="C128" i="5" s="1"/>
  <c r="G124" i="3"/>
  <c r="F124" i="4" s="1"/>
  <c r="H124" i="3"/>
  <c r="G124" i="4" s="1"/>
  <c r="G92" i="3"/>
  <c r="F92" i="4" s="1"/>
  <c r="C92" i="4"/>
  <c r="C96" i="5" s="1"/>
  <c r="H92" i="3"/>
  <c r="G92" i="4" s="1"/>
  <c r="C60" i="4"/>
  <c r="C64" i="5" s="1"/>
  <c r="G60" i="3"/>
  <c r="F60" i="4" s="1"/>
  <c r="H60" i="3"/>
  <c r="G60" i="4" s="1"/>
  <c r="H340" i="3"/>
  <c r="G340" i="4" s="1"/>
  <c r="C340" i="4"/>
  <c r="C344" i="5" s="1"/>
  <c r="G340" i="3"/>
  <c r="F340" i="4" s="1"/>
  <c r="H356" i="3"/>
  <c r="G356" i="4" s="1"/>
  <c r="G356" i="3"/>
  <c r="F356" i="4" s="1"/>
  <c r="C356" i="4"/>
  <c r="C360" i="5" s="1"/>
  <c r="P314" i="5"/>
  <c r="H314" i="5"/>
  <c r="O314" i="5"/>
  <c r="G314" i="5"/>
  <c r="N314" i="5"/>
  <c r="F314" i="5"/>
  <c r="R314" i="5"/>
  <c r="J314" i="5"/>
  <c r="M314" i="5"/>
  <c r="L314" i="5"/>
  <c r="K314" i="5"/>
  <c r="S314" i="5"/>
  <c r="Q314" i="5"/>
  <c r="I314" i="5"/>
  <c r="H368" i="3"/>
  <c r="G368" i="4" s="1"/>
  <c r="C368" i="4"/>
  <c r="C372" i="5" s="1"/>
  <c r="G368" i="3"/>
  <c r="F368" i="4" s="1"/>
  <c r="H324" i="3"/>
  <c r="G324" i="4" s="1"/>
  <c r="C324" i="4"/>
  <c r="C328" i="5" s="1"/>
  <c r="G324" i="3"/>
  <c r="F324" i="4" s="1"/>
  <c r="C133" i="4"/>
  <c r="C137" i="5" s="1"/>
  <c r="G133" i="3"/>
  <c r="F133" i="4" s="1"/>
  <c r="H133" i="3"/>
  <c r="G133" i="4" s="1"/>
  <c r="C145" i="4"/>
  <c r="C149" i="5" s="1"/>
  <c r="G145" i="3"/>
  <c r="F145" i="4" s="1"/>
  <c r="H145" i="3"/>
  <c r="G145" i="4" s="1"/>
  <c r="C53" i="4"/>
  <c r="C57" i="5" s="1"/>
  <c r="G53" i="3"/>
  <c r="F53" i="4" s="1"/>
  <c r="H53" i="3"/>
  <c r="G53" i="4" s="1"/>
  <c r="C141" i="4"/>
  <c r="C145" i="5" s="1"/>
  <c r="G141" i="3"/>
  <c r="F141" i="4" s="1"/>
  <c r="H141" i="3"/>
  <c r="G141" i="4" s="1"/>
  <c r="N362" i="5"/>
  <c r="F362" i="5"/>
  <c r="R362" i="5"/>
  <c r="I362" i="5"/>
  <c r="Q362" i="5"/>
  <c r="H362" i="5"/>
  <c r="P362" i="5"/>
  <c r="G362" i="5"/>
  <c r="K362" i="5"/>
  <c r="O362" i="5"/>
  <c r="M362" i="5"/>
  <c r="L362" i="5"/>
  <c r="J362" i="5"/>
  <c r="S362" i="5"/>
  <c r="C138" i="4"/>
  <c r="C142" i="5" s="1"/>
  <c r="G138" i="3"/>
  <c r="F138" i="4" s="1"/>
  <c r="H138" i="3"/>
  <c r="G138" i="4" s="1"/>
  <c r="G74" i="3"/>
  <c r="F74" i="4" s="1"/>
  <c r="C74" i="4"/>
  <c r="C78" i="5" s="1"/>
  <c r="H74" i="3"/>
  <c r="G74" i="4" s="1"/>
  <c r="G26" i="3"/>
  <c r="F26" i="4" s="1"/>
  <c r="C26" i="4"/>
  <c r="C30" i="5" s="1"/>
  <c r="H26" i="3"/>
  <c r="G26" i="4" s="1"/>
  <c r="C89" i="4"/>
  <c r="C93" i="5" s="1"/>
  <c r="G89" i="3"/>
  <c r="F89" i="4" s="1"/>
  <c r="H89" i="3"/>
  <c r="G89" i="4" s="1"/>
  <c r="G139" i="3"/>
  <c r="F139" i="4" s="1"/>
  <c r="C139" i="4"/>
  <c r="C143" i="5" s="1"/>
  <c r="H139" i="3"/>
  <c r="G139" i="4" s="1"/>
  <c r="C152" i="4"/>
  <c r="C156" i="5" s="1"/>
  <c r="G152" i="3"/>
  <c r="F152" i="4" s="1"/>
  <c r="H152" i="3"/>
  <c r="G152" i="4" s="1"/>
  <c r="C88" i="4"/>
  <c r="C92" i="5" s="1"/>
  <c r="G88" i="3"/>
  <c r="F88" i="4" s="1"/>
  <c r="H88" i="3"/>
  <c r="G88" i="4" s="1"/>
  <c r="C18" i="4"/>
  <c r="C22" i="5" s="1"/>
  <c r="G18" i="3"/>
  <c r="F18" i="4" s="1"/>
  <c r="H18" i="3"/>
  <c r="G18" i="4" s="1"/>
  <c r="G166" i="3"/>
  <c r="F166" i="4" s="1"/>
  <c r="C166" i="4"/>
  <c r="C170" i="5" s="1"/>
  <c r="H166" i="3"/>
  <c r="G166" i="4" s="1"/>
  <c r="C70" i="4"/>
  <c r="C74" i="5" s="1"/>
  <c r="G70" i="3"/>
  <c r="F70" i="4" s="1"/>
  <c r="H70" i="3"/>
  <c r="G70" i="4" s="1"/>
  <c r="G31" i="3"/>
  <c r="F31" i="4" s="1"/>
  <c r="C31" i="4"/>
  <c r="C35" i="5" s="1"/>
  <c r="H31" i="3"/>
  <c r="G31" i="4" s="1"/>
  <c r="C105" i="4"/>
  <c r="C109" i="5" s="1"/>
  <c r="G105" i="3"/>
  <c r="F105" i="4" s="1"/>
  <c r="H105" i="3"/>
  <c r="G105" i="4" s="1"/>
  <c r="C107" i="4"/>
  <c r="C111" i="5" s="1"/>
  <c r="G107" i="3"/>
  <c r="F107" i="4" s="1"/>
  <c r="H107" i="3"/>
  <c r="G107" i="4" s="1"/>
  <c r="C268" i="4"/>
  <c r="C272" i="5" s="1"/>
  <c r="H268" i="3"/>
  <c r="G268" i="4" s="1"/>
  <c r="G268" i="3"/>
  <c r="F268" i="4" s="1"/>
  <c r="G96" i="3"/>
  <c r="F96" i="4" s="1"/>
  <c r="C96" i="4"/>
  <c r="C100" i="5" s="1"/>
  <c r="H96" i="3"/>
  <c r="G96" i="4" s="1"/>
  <c r="H210" i="3"/>
  <c r="G210" i="4" s="1"/>
  <c r="C210" i="4"/>
  <c r="C214" i="5" s="1"/>
  <c r="G210" i="3"/>
  <c r="F210" i="4" s="1"/>
  <c r="N358" i="5"/>
  <c r="F358" i="5"/>
  <c r="Q358" i="5"/>
  <c r="H358" i="5"/>
  <c r="P358" i="5"/>
  <c r="G358" i="5"/>
  <c r="O358" i="5"/>
  <c r="S358" i="5"/>
  <c r="R358" i="5"/>
  <c r="M358" i="5"/>
  <c r="J358" i="5"/>
  <c r="L358" i="5"/>
  <c r="K358" i="5"/>
  <c r="I358" i="5"/>
  <c r="C27" i="4"/>
  <c r="C31" i="5" s="1"/>
  <c r="G27" i="3"/>
  <c r="F27" i="4" s="1"/>
  <c r="H27" i="3"/>
  <c r="G27" i="4" s="1"/>
  <c r="M239" i="5"/>
  <c r="L239" i="5"/>
  <c r="S239" i="5"/>
  <c r="K239" i="5"/>
  <c r="R239" i="5"/>
  <c r="J239" i="5"/>
  <c r="I239" i="5"/>
  <c r="H239" i="5"/>
  <c r="G239" i="5"/>
  <c r="P239" i="5"/>
  <c r="F239" i="5"/>
  <c r="O239" i="5"/>
  <c r="Q239" i="5"/>
  <c r="N239" i="5"/>
  <c r="C196" i="4"/>
  <c r="C200" i="5" s="1"/>
  <c r="H196" i="3"/>
  <c r="G196" i="4" s="1"/>
  <c r="G196" i="3"/>
  <c r="F196" i="4" s="1"/>
  <c r="C357" i="4"/>
  <c r="C361" i="5" s="1"/>
  <c r="H357" i="3"/>
  <c r="G357" i="4" s="1"/>
  <c r="G357" i="3"/>
  <c r="F357" i="4" s="1"/>
  <c r="C91" i="4"/>
  <c r="C95" i="5" s="1"/>
  <c r="G91" i="3"/>
  <c r="F91" i="4" s="1"/>
  <c r="H91" i="3"/>
  <c r="G91" i="4" s="1"/>
  <c r="D391" i="4"/>
  <c r="D395" i="5" s="1"/>
  <c r="I391" i="3"/>
  <c r="H391" i="4" s="1"/>
  <c r="I327" i="3"/>
  <c r="H327" i="4" s="1"/>
  <c r="D327" i="4"/>
  <c r="D331" i="5" s="1"/>
  <c r="I263" i="3"/>
  <c r="H263" i="4" s="1"/>
  <c r="D263" i="4"/>
  <c r="D267" i="5" s="1"/>
  <c r="P266" i="5"/>
  <c r="H266" i="5"/>
  <c r="O266" i="5"/>
  <c r="G266" i="5"/>
  <c r="N266" i="5"/>
  <c r="F266" i="5"/>
  <c r="M266" i="5"/>
  <c r="L266" i="5"/>
  <c r="K266" i="5"/>
  <c r="J266" i="5"/>
  <c r="S266" i="5"/>
  <c r="R266" i="5"/>
  <c r="Q266" i="5"/>
  <c r="I266" i="5"/>
  <c r="H380" i="3"/>
  <c r="G380" i="4" s="1"/>
  <c r="C380" i="4"/>
  <c r="C384" i="5" s="1"/>
  <c r="G380" i="3"/>
  <c r="F380" i="4" s="1"/>
  <c r="H288" i="3"/>
  <c r="G288" i="4" s="1"/>
  <c r="G288" i="3"/>
  <c r="F288" i="4" s="1"/>
  <c r="C288" i="4"/>
  <c r="C292" i="5" s="1"/>
  <c r="C73" i="4"/>
  <c r="C77" i="5" s="1"/>
  <c r="G73" i="3"/>
  <c r="F73" i="4" s="1"/>
  <c r="H73" i="3"/>
  <c r="G73" i="4" s="1"/>
  <c r="C33" i="4"/>
  <c r="C37" i="5" s="1"/>
  <c r="G33" i="3"/>
  <c r="F33" i="4" s="1"/>
  <c r="H33" i="3"/>
  <c r="G33" i="4" s="1"/>
  <c r="C69" i="4"/>
  <c r="C73" i="5" s="1"/>
  <c r="G69" i="3"/>
  <c r="F69" i="4" s="1"/>
  <c r="H69" i="3"/>
  <c r="G69" i="4" s="1"/>
  <c r="G95" i="3"/>
  <c r="F95" i="4" s="1"/>
  <c r="C95" i="4"/>
  <c r="C99" i="5" s="1"/>
  <c r="H95" i="3"/>
  <c r="G95" i="4" s="1"/>
  <c r="I387" i="3"/>
  <c r="H387" i="4" s="1"/>
  <c r="D387" i="4"/>
  <c r="D391" i="5" s="1"/>
  <c r="I323" i="3"/>
  <c r="H323" i="4" s="1"/>
  <c r="D323" i="4"/>
  <c r="D327" i="5" s="1"/>
  <c r="I259" i="3"/>
  <c r="H259" i="4" s="1"/>
  <c r="D259" i="4"/>
  <c r="D263" i="5" s="1"/>
  <c r="C239" i="4"/>
  <c r="C243" i="5" s="1"/>
  <c r="H239" i="3"/>
  <c r="G239" i="4" s="1"/>
  <c r="G239" i="3"/>
  <c r="F239" i="4" s="1"/>
  <c r="C300" i="4"/>
  <c r="C304" i="5" s="1"/>
  <c r="H300" i="3"/>
  <c r="G300" i="4" s="1"/>
  <c r="G300" i="3"/>
  <c r="F300" i="4" s="1"/>
  <c r="P382" i="5"/>
  <c r="H382" i="5"/>
  <c r="O382" i="5"/>
  <c r="G382" i="5"/>
  <c r="M382" i="5"/>
  <c r="L382" i="5"/>
  <c r="K382" i="5"/>
  <c r="J382" i="5"/>
  <c r="I382" i="5"/>
  <c r="Q382" i="5"/>
  <c r="S382" i="5"/>
  <c r="R382" i="5"/>
  <c r="F382" i="5"/>
  <c r="N382" i="5"/>
  <c r="P290" i="5"/>
  <c r="H290" i="5"/>
  <c r="O290" i="5"/>
  <c r="G290" i="5"/>
  <c r="N290" i="5"/>
  <c r="F290" i="5"/>
  <c r="R290" i="5"/>
  <c r="J290" i="5"/>
  <c r="M290" i="5"/>
  <c r="L290" i="5"/>
  <c r="K290" i="5"/>
  <c r="I290" i="5"/>
  <c r="S290" i="5"/>
  <c r="Q290" i="5"/>
  <c r="P306" i="5"/>
  <c r="H306" i="5"/>
  <c r="O306" i="5"/>
  <c r="G306" i="5"/>
  <c r="N306" i="5"/>
  <c r="F306" i="5"/>
  <c r="R306" i="5"/>
  <c r="J306" i="5"/>
  <c r="M306" i="5"/>
  <c r="L306" i="5"/>
  <c r="K306" i="5"/>
  <c r="I306" i="5"/>
  <c r="S306" i="5"/>
  <c r="Q306" i="5"/>
  <c r="C54" i="4"/>
  <c r="C58" i="5" s="1"/>
  <c r="G54" i="3"/>
  <c r="F54" i="4" s="1"/>
  <c r="H54" i="3"/>
  <c r="G54" i="4" s="1"/>
  <c r="C21" i="4"/>
  <c r="C25" i="5" s="1"/>
  <c r="G21" i="3"/>
  <c r="F21" i="4" s="1"/>
  <c r="H21" i="3"/>
  <c r="G21" i="4" s="1"/>
  <c r="C16" i="4"/>
  <c r="G11" i="3"/>
  <c r="F16" i="4" s="1"/>
  <c r="H11" i="3"/>
  <c r="G16" i="4" s="1"/>
  <c r="G9" i="3"/>
  <c r="F8" i="4" s="1"/>
  <c r="C8" i="4"/>
  <c r="H9" i="3"/>
  <c r="G8" i="4" s="1"/>
  <c r="C99" i="4"/>
  <c r="C103" i="5" s="1"/>
  <c r="G99" i="3"/>
  <c r="F99" i="4" s="1"/>
  <c r="H99" i="3"/>
  <c r="G99" i="4" s="1"/>
  <c r="D383" i="4"/>
  <c r="D387" i="5" s="1"/>
  <c r="I383" i="3"/>
  <c r="H383" i="4" s="1"/>
  <c r="I319" i="3"/>
  <c r="H319" i="4" s="1"/>
  <c r="D319" i="4"/>
  <c r="D323" i="5" s="1"/>
  <c r="I255" i="3"/>
  <c r="H255" i="4" s="1"/>
  <c r="D255" i="4"/>
  <c r="D259" i="5" s="1"/>
  <c r="D219" i="4"/>
  <c r="D223" i="5" s="1"/>
  <c r="I219" i="3"/>
  <c r="H219" i="4" s="1"/>
  <c r="P302" i="5"/>
  <c r="H302" i="5"/>
  <c r="O302" i="5"/>
  <c r="G302" i="5"/>
  <c r="N302" i="5"/>
  <c r="F302" i="5"/>
  <c r="R302" i="5"/>
  <c r="J302" i="5"/>
  <c r="S302" i="5"/>
  <c r="L302" i="5"/>
  <c r="Q302" i="5"/>
  <c r="M302" i="5"/>
  <c r="K302" i="5"/>
  <c r="I302" i="5"/>
  <c r="Q205" i="5"/>
  <c r="I205" i="5"/>
  <c r="P205" i="5"/>
  <c r="H205" i="5"/>
  <c r="O205" i="5"/>
  <c r="G205" i="5"/>
  <c r="L205" i="5"/>
  <c r="F205" i="5"/>
  <c r="S205" i="5"/>
  <c r="K205" i="5"/>
  <c r="R205" i="5"/>
  <c r="N205" i="5"/>
  <c r="M205" i="5"/>
  <c r="J205" i="5"/>
  <c r="G148" i="3"/>
  <c r="F148" i="4" s="1"/>
  <c r="C148" i="4"/>
  <c r="C152" i="5" s="1"/>
  <c r="H148" i="3"/>
  <c r="G148" i="4" s="1"/>
  <c r="C116" i="4"/>
  <c r="C120" i="5" s="1"/>
  <c r="G116" i="3"/>
  <c r="F116" i="4" s="1"/>
  <c r="H116" i="3"/>
  <c r="G116" i="4" s="1"/>
  <c r="C84" i="4"/>
  <c r="C88" i="5" s="1"/>
  <c r="G84" i="3"/>
  <c r="F84" i="4" s="1"/>
  <c r="H84" i="3"/>
  <c r="G84" i="4" s="1"/>
  <c r="G52" i="3"/>
  <c r="F52" i="4" s="1"/>
  <c r="C52" i="4"/>
  <c r="C56" i="5" s="1"/>
  <c r="H52" i="3"/>
  <c r="G52" i="4" s="1"/>
  <c r="D251" i="4"/>
  <c r="D255" i="5" s="1"/>
  <c r="I251" i="3"/>
  <c r="H251" i="4" s="1"/>
  <c r="P262" i="5"/>
  <c r="H262" i="5"/>
  <c r="O262" i="5"/>
  <c r="G262" i="5"/>
  <c r="N262" i="5"/>
  <c r="F262" i="5"/>
  <c r="J262" i="5"/>
  <c r="I262" i="5"/>
  <c r="S262" i="5"/>
  <c r="R262" i="5"/>
  <c r="Q262" i="5"/>
  <c r="M262" i="5"/>
  <c r="L262" i="5"/>
  <c r="K262" i="5"/>
  <c r="P274" i="5"/>
  <c r="H274" i="5"/>
  <c r="O274" i="5"/>
  <c r="G274" i="5"/>
  <c r="N274" i="5"/>
  <c r="F274" i="5"/>
  <c r="R274" i="5"/>
  <c r="J274" i="5"/>
  <c r="M274" i="5"/>
  <c r="L274" i="5"/>
  <c r="K274" i="5"/>
  <c r="I274" i="5"/>
  <c r="S274" i="5"/>
  <c r="Q274" i="5"/>
  <c r="H376" i="3"/>
  <c r="G376" i="4" s="1"/>
  <c r="G376" i="3"/>
  <c r="F376" i="4" s="1"/>
  <c r="C376" i="4"/>
  <c r="C380" i="5" s="1"/>
  <c r="C57" i="4"/>
  <c r="C61" i="5" s="1"/>
  <c r="G57" i="3"/>
  <c r="F57" i="4" s="1"/>
  <c r="H57" i="3"/>
  <c r="G57" i="4" s="1"/>
  <c r="C30" i="4"/>
  <c r="C34" i="5" s="1"/>
  <c r="G30" i="3"/>
  <c r="F30" i="4" s="1"/>
  <c r="H30" i="3"/>
  <c r="G30" i="4" s="1"/>
  <c r="C93" i="4"/>
  <c r="C97" i="5" s="1"/>
  <c r="G93" i="3"/>
  <c r="F93" i="4" s="1"/>
  <c r="H93" i="3"/>
  <c r="G93" i="4" s="1"/>
  <c r="G25" i="3"/>
  <c r="F25" i="4" s="1"/>
  <c r="C25" i="4"/>
  <c r="C29" i="5" s="1"/>
  <c r="H25" i="3"/>
  <c r="G25" i="4" s="1"/>
  <c r="C103" i="4"/>
  <c r="C107" i="5" s="1"/>
  <c r="G103" i="3"/>
  <c r="F103" i="4" s="1"/>
  <c r="H103" i="3"/>
  <c r="G103" i="4" s="1"/>
  <c r="I379" i="3"/>
  <c r="H379" i="4" s="1"/>
  <c r="D379" i="4"/>
  <c r="D383" i="5" s="1"/>
  <c r="I315" i="3"/>
  <c r="H315" i="4" s="1"/>
  <c r="D315" i="4"/>
  <c r="D319" i="5" s="1"/>
  <c r="D248" i="4"/>
  <c r="D252" i="5" s="1"/>
  <c r="I248" i="3"/>
  <c r="H248" i="4" s="1"/>
  <c r="C392" i="4"/>
  <c r="C396" i="5" s="1"/>
  <c r="H392" i="3"/>
  <c r="G392" i="4" s="1"/>
  <c r="G392" i="3"/>
  <c r="F392" i="4" s="1"/>
  <c r="H348" i="3"/>
  <c r="G348" i="4" s="1"/>
  <c r="C348" i="4"/>
  <c r="C352" i="5" s="1"/>
  <c r="G348" i="3"/>
  <c r="F348" i="4" s="1"/>
  <c r="H256" i="3"/>
  <c r="G256" i="4" s="1"/>
  <c r="C256" i="4"/>
  <c r="C260" i="5" s="1"/>
  <c r="G256" i="3"/>
  <c r="F256" i="4" s="1"/>
  <c r="H272" i="3"/>
  <c r="G272" i="4" s="1"/>
  <c r="C272" i="4"/>
  <c r="C276" i="5" s="1"/>
  <c r="G272" i="3"/>
  <c r="F272" i="4" s="1"/>
  <c r="G146" i="3"/>
  <c r="F146" i="4" s="1"/>
  <c r="C146" i="4"/>
  <c r="C150" i="5" s="1"/>
  <c r="H146" i="3"/>
  <c r="G146" i="4" s="1"/>
  <c r="G114" i="3"/>
  <c r="F114" i="4" s="1"/>
  <c r="C114" i="4"/>
  <c r="C118" i="5" s="1"/>
  <c r="H114" i="3"/>
  <c r="G114" i="4" s="1"/>
  <c r="G82" i="3"/>
  <c r="F82" i="4" s="1"/>
  <c r="C82" i="4"/>
  <c r="C86" i="5" s="1"/>
  <c r="H82" i="3"/>
  <c r="G82" i="4" s="1"/>
  <c r="C50" i="4"/>
  <c r="C54" i="5" s="1"/>
  <c r="G50" i="3"/>
  <c r="F50" i="4" s="1"/>
  <c r="H50" i="3"/>
  <c r="G50" i="4" s="1"/>
  <c r="C226" i="4"/>
  <c r="C230" i="5" s="1"/>
  <c r="H226" i="3"/>
  <c r="G226" i="4" s="1"/>
  <c r="G226" i="3"/>
  <c r="F226" i="4" s="1"/>
  <c r="H250" i="3"/>
  <c r="G250" i="4" s="1"/>
  <c r="C250" i="4"/>
  <c r="C254" i="5" s="1"/>
  <c r="G250" i="3"/>
  <c r="F250" i="4" s="1"/>
  <c r="H199" i="3"/>
  <c r="G199" i="4" s="1"/>
  <c r="C199" i="4"/>
  <c r="C203" i="5" s="1"/>
  <c r="G199" i="3"/>
  <c r="F199" i="4" s="1"/>
  <c r="Q346" i="5"/>
  <c r="I346" i="5"/>
  <c r="P346" i="5"/>
  <c r="H346" i="5"/>
  <c r="O346" i="5"/>
  <c r="G346" i="5"/>
  <c r="M346" i="5"/>
  <c r="L346" i="5"/>
  <c r="K346" i="5"/>
  <c r="S346" i="5"/>
  <c r="J346" i="5"/>
  <c r="F346" i="5"/>
  <c r="R346" i="5"/>
  <c r="N346" i="5"/>
  <c r="O234" i="5"/>
  <c r="G234" i="5"/>
  <c r="N234" i="5"/>
  <c r="F234" i="5"/>
  <c r="M234" i="5"/>
  <c r="L234" i="5"/>
  <c r="S234" i="5"/>
  <c r="R234" i="5"/>
  <c r="Q234" i="5"/>
  <c r="J234" i="5"/>
  <c r="I234" i="5"/>
  <c r="P234" i="5"/>
  <c r="K234" i="5"/>
  <c r="H234" i="5"/>
  <c r="C61" i="4"/>
  <c r="C65" i="5" s="1"/>
  <c r="G61" i="3"/>
  <c r="F61" i="4" s="1"/>
  <c r="H61" i="3"/>
  <c r="G61" i="4" s="1"/>
  <c r="C135" i="4"/>
  <c r="C139" i="5" s="1"/>
  <c r="G135" i="3"/>
  <c r="F135" i="4" s="1"/>
  <c r="H135" i="3"/>
  <c r="G135" i="4" s="1"/>
  <c r="C101" i="4"/>
  <c r="C105" i="5" s="1"/>
  <c r="G101" i="3"/>
  <c r="F101" i="4" s="1"/>
  <c r="H101" i="3"/>
  <c r="G101" i="4" s="1"/>
  <c r="C40" i="4"/>
  <c r="C44" i="5" s="1"/>
  <c r="G40" i="3"/>
  <c r="F40" i="4" s="1"/>
  <c r="H40" i="3"/>
  <c r="G40" i="4" s="1"/>
  <c r="D375" i="4"/>
  <c r="D379" i="5" s="1"/>
  <c r="I375" i="3"/>
  <c r="H375" i="4" s="1"/>
  <c r="I311" i="3"/>
  <c r="H311" i="4" s="1"/>
  <c r="D311" i="4"/>
  <c r="D315" i="5" s="1"/>
  <c r="P394" i="5"/>
  <c r="H394" i="5"/>
  <c r="O394" i="5"/>
  <c r="G394" i="5"/>
  <c r="M394" i="5"/>
  <c r="L394" i="5"/>
  <c r="S394" i="5"/>
  <c r="R394" i="5"/>
  <c r="Q394" i="5"/>
  <c r="I394" i="5"/>
  <c r="J394" i="5"/>
  <c r="N394" i="5"/>
  <c r="K394" i="5"/>
  <c r="F394" i="5"/>
  <c r="G64" i="3"/>
  <c r="F64" i="4" s="1"/>
  <c r="C64" i="4"/>
  <c r="C68" i="5" s="1"/>
  <c r="H64" i="3"/>
  <c r="G64" i="4" s="1"/>
  <c r="P402" i="5"/>
  <c r="H402" i="5"/>
  <c r="O402" i="5"/>
  <c r="G402" i="5"/>
  <c r="M402" i="5"/>
  <c r="L402" i="5"/>
  <c r="S402" i="5"/>
  <c r="R402" i="5"/>
  <c r="Q402" i="5"/>
  <c r="I402" i="5"/>
  <c r="N402" i="5"/>
  <c r="K402" i="5"/>
  <c r="J402" i="5"/>
  <c r="F402" i="5"/>
  <c r="H206" i="3"/>
  <c r="G206" i="4" s="1"/>
  <c r="C206" i="4"/>
  <c r="C210" i="5" s="1"/>
  <c r="G206" i="3"/>
  <c r="F206" i="4" s="1"/>
  <c r="D198" i="4"/>
  <c r="D202" i="5" s="1"/>
  <c r="I198" i="3"/>
  <c r="H198" i="4" s="1"/>
  <c r="P258" i="5"/>
  <c r="H258" i="5"/>
  <c r="K258" i="5"/>
  <c r="S258" i="5"/>
  <c r="J258" i="5"/>
  <c r="R258" i="5"/>
  <c r="I258" i="5"/>
  <c r="Q258" i="5"/>
  <c r="G258" i="5"/>
  <c r="F258" i="5"/>
  <c r="N258" i="5"/>
  <c r="O258" i="5"/>
  <c r="M258" i="5"/>
  <c r="L258" i="5"/>
  <c r="C80" i="4"/>
  <c r="C84" i="5" s="1"/>
  <c r="G80" i="3"/>
  <c r="F80" i="4" s="1"/>
  <c r="H80" i="3"/>
  <c r="G80" i="4" s="1"/>
  <c r="C5" i="4"/>
  <c r="G6" i="3"/>
  <c r="F5" i="4" s="1"/>
  <c r="H6" i="3"/>
  <c r="G5" i="4" s="1"/>
  <c r="R385" i="5"/>
  <c r="J385" i="5"/>
  <c r="Q385" i="5"/>
  <c r="I385" i="5"/>
  <c r="O385" i="5"/>
  <c r="G385" i="5"/>
  <c r="N385" i="5"/>
  <c r="F385" i="5"/>
  <c r="S385" i="5"/>
  <c r="K385" i="5"/>
  <c r="L385" i="5"/>
  <c r="P385" i="5"/>
  <c r="M385" i="5"/>
  <c r="H385" i="5"/>
  <c r="D14" i="4"/>
  <c r="I16" i="3"/>
  <c r="H14" i="4" s="1"/>
  <c r="I45" i="3"/>
  <c r="H45" i="4" s="1"/>
  <c r="D45" i="4"/>
  <c r="D49" i="5" s="1"/>
  <c r="D58" i="4"/>
  <c r="D62" i="5" s="1"/>
  <c r="I58" i="3"/>
  <c r="H58" i="4" s="1"/>
  <c r="D161" i="4"/>
  <c r="D165" i="5" s="1"/>
  <c r="I161" i="3"/>
  <c r="H161" i="4" s="1"/>
  <c r="D157" i="4"/>
  <c r="D161" i="5" s="1"/>
  <c r="I157" i="3"/>
  <c r="H157" i="4" s="1"/>
  <c r="D136" i="4"/>
  <c r="D140" i="5" s="1"/>
  <c r="I136" i="3"/>
  <c r="H136" i="4" s="1"/>
  <c r="D72" i="4"/>
  <c r="D76" i="5" s="1"/>
  <c r="I72" i="3"/>
  <c r="H72" i="4" s="1"/>
  <c r="R321" i="5"/>
  <c r="J321" i="5"/>
  <c r="Q321" i="5"/>
  <c r="I321" i="5"/>
  <c r="P321" i="5"/>
  <c r="H321" i="5"/>
  <c r="L321" i="5"/>
  <c r="O321" i="5"/>
  <c r="N321" i="5"/>
  <c r="M321" i="5"/>
  <c r="F321" i="5"/>
  <c r="S321" i="5"/>
  <c r="K321" i="5"/>
  <c r="G321" i="5"/>
  <c r="N371" i="5"/>
  <c r="F371" i="5"/>
  <c r="M371" i="5"/>
  <c r="S371" i="5"/>
  <c r="K371" i="5"/>
  <c r="R371" i="5"/>
  <c r="G371" i="5"/>
  <c r="Q371" i="5"/>
  <c r="P371" i="5"/>
  <c r="O371" i="5"/>
  <c r="H371" i="5"/>
  <c r="J371" i="5"/>
  <c r="L371" i="5"/>
  <c r="I371" i="5"/>
  <c r="G79" i="3"/>
  <c r="F79" i="4" s="1"/>
  <c r="H79" i="3"/>
  <c r="G79" i="4" s="1"/>
  <c r="C79" i="4"/>
  <c r="C83" i="5" s="1"/>
  <c r="I339" i="3"/>
  <c r="H339" i="4" s="1"/>
  <c r="D339" i="4"/>
  <c r="D343" i="5" s="1"/>
  <c r="S236" i="5"/>
  <c r="K236" i="5"/>
  <c r="R236" i="5"/>
  <c r="J236" i="5"/>
  <c r="Q236" i="5"/>
  <c r="I236" i="5"/>
  <c r="P236" i="5"/>
  <c r="H236" i="5"/>
  <c r="O236" i="5"/>
  <c r="N236" i="5"/>
  <c r="M236" i="5"/>
  <c r="F236" i="5"/>
  <c r="L236" i="5"/>
  <c r="G236" i="5"/>
  <c r="C373" i="4"/>
  <c r="C377" i="5" s="1"/>
  <c r="H373" i="3"/>
  <c r="G373" i="4" s="1"/>
  <c r="G373" i="3"/>
  <c r="F373" i="4" s="1"/>
  <c r="C192" i="4"/>
  <c r="C196" i="5" s="1"/>
  <c r="H192" i="3"/>
  <c r="G192" i="4" s="1"/>
  <c r="G192" i="3"/>
  <c r="F192" i="4" s="1"/>
  <c r="C329" i="4"/>
  <c r="C333" i="5" s="1"/>
  <c r="H329" i="3"/>
  <c r="G329" i="4" s="1"/>
  <c r="G329" i="3"/>
  <c r="F329" i="4" s="1"/>
  <c r="M247" i="5"/>
  <c r="L247" i="5"/>
  <c r="S247" i="5"/>
  <c r="K247" i="5"/>
  <c r="R247" i="5"/>
  <c r="J247" i="5"/>
  <c r="I247" i="5"/>
  <c r="H247" i="5"/>
  <c r="G247" i="5"/>
  <c r="P247" i="5"/>
  <c r="Q247" i="5"/>
  <c r="O247" i="5"/>
  <c r="N247" i="5"/>
  <c r="F247" i="5"/>
  <c r="O218" i="5"/>
  <c r="G218" i="5"/>
  <c r="N218" i="5"/>
  <c r="F218" i="5"/>
  <c r="M218" i="5"/>
  <c r="L218" i="5"/>
  <c r="S218" i="5"/>
  <c r="R218" i="5"/>
  <c r="Q218" i="5"/>
  <c r="J218" i="5"/>
  <c r="I218" i="5"/>
  <c r="P218" i="5"/>
  <c r="K218" i="5"/>
  <c r="H218" i="5"/>
  <c r="O206" i="5"/>
  <c r="G206" i="5"/>
  <c r="N206" i="5"/>
  <c r="F206" i="5"/>
  <c r="M206" i="5"/>
  <c r="R206" i="5"/>
  <c r="J206" i="5"/>
  <c r="S206" i="5"/>
  <c r="Q206" i="5"/>
  <c r="I206" i="5"/>
  <c r="P206" i="5"/>
  <c r="L206" i="5"/>
  <c r="K206" i="5"/>
  <c r="H206" i="5"/>
  <c r="I402" i="3"/>
  <c r="H402" i="4" s="1"/>
  <c r="D402" i="4"/>
  <c r="D406" i="5" s="1"/>
  <c r="D22" i="4"/>
  <c r="D26" i="5" s="1"/>
  <c r="I22" i="3"/>
  <c r="H22" i="4" s="1"/>
  <c r="D209" i="4"/>
  <c r="D213" i="5" s="1"/>
  <c r="I209" i="3"/>
  <c r="H209" i="4" s="1"/>
  <c r="I384" i="3"/>
  <c r="H384" i="4" s="1"/>
  <c r="D384" i="4"/>
  <c r="D388" i="5" s="1"/>
  <c r="D306" i="4"/>
  <c r="D310" i="5" s="1"/>
  <c r="I306" i="3"/>
  <c r="H306" i="4" s="1"/>
  <c r="C293" i="4"/>
  <c r="C297" i="5" s="1"/>
  <c r="H293" i="3"/>
  <c r="G293" i="4" s="1"/>
  <c r="G293" i="3"/>
  <c r="F293" i="4" s="1"/>
  <c r="C187" i="4"/>
  <c r="C191" i="5" s="1"/>
  <c r="H187" i="3"/>
  <c r="G187" i="4" s="1"/>
  <c r="G187" i="3"/>
  <c r="F187" i="4" s="1"/>
  <c r="G47" i="3"/>
  <c r="F47" i="4" s="1"/>
  <c r="C47" i="4"/>
  <c r="C51" i="5" s="1"/>
  <c r="H47" i="3"/>
  <c r="G47" i="4" s="1"/>
  <c r="C111" i="4"/>
  <c r="C115" i="5" s="1"/>
  <c r="G111" i="3"/>
  <c r="F111" i="4" s="1"/>
  <c r="H111" i="3"/>
  <c r="G111" i="4" s="1"/>
  <c r="I371" i="3"/>
  <c r="H371" i="4" s="1"/>
  <c r="D371" i="4"/>
  <c r="D375" i="5" s="1"/>
  <c r="I307" i="3"/>
  <c r="H307" i="4" s="1"/>
  <c r="D307" i="4"/>
  <c r="D311" i="5" s="1"/>
  <c r="D232" i="4"/>
  <c r="D236" i="5" s="1"/>
  <c r="I232" i="3"/>
  <c r="H232" i="4" s="1"/>
  <c r="P270" i="5"/>
  <c r="H270" i="5"/>
  <c r="O270" i="5"/>
  <c r="G270" i="5"/>
  <c r="N270" i="5"/>
  <c r="F270" i="5"/>
  <c r="R270" i="5"/>
  <c r="J270" i="5"/>
  <c r="S270" i="5"/>
  <c r="L270" i="5"/>
  <c r="Q270" i="5"/>
  <c r="M270" i="5"/>
  <c r="K270" i="5"/>
  <c r="I270" i="5"/>
  <c r="I243" i="3"/>
  <c r="H243" i="4" s="1"/>
  <c r="D243" i="4"/>
  <c r="D247" i="5" s="1"/>
  <c r="D211" i="4"/>
  <c r="D215" i="5" s="1"/>
  <c r="I211" i="3"/>
  <c r="H211" i="4" s="1"/>
  <c r="C142" i="4"/>
  <c r="C146" i="5" s="1"/>
  <c r="G142" i="3"/>
  <c r="F142" i="4" s="1"/>
  <c r="H142" i="3"/>
  <c r="G142" i="4" s="1"/>
  <c r="C110" i="4"/>
  <c r="C114" i="5" s="1"/>
  <c r="G110" i="3"/>
  <c r="F110" i="4" s="1"/>
  <c r="H110" i="3"/>
  <c r="G110" i="4" s="1"/>
  <c r="C78" i="4"/>
  <c r="C82" i="5" s="1"/>
  <c r="G78" i="3"/>
  <c r="F78" i="4" s="1"/>
  <c r="H78" i="3"/>
  <c r="G78" i="4" s="1"/>
  <c r="C46" i="4"/>
  <c r="C50" i="5" s="1"/>
  <c r="G46" i="3"/>
  <c r="F46" i="4" s="1"/>
  <c r="H46" i="3"/>
  <c r="G46" i="4" s="1"/>
  <c r="D214" i="4"/>
  <c r="D218" i="5" s="1"/>
  <c r="I214" i="3"/>
  <c r="H214" i="4" s="1"/>
  <c r="H202" i="3"/>
  <c r="G202" i="4" s="1"/>
  <c r="C202" i="4"/>
  <c r="C206" i="5" s="1"/>
  <c r="G202" i="3"/>
  <c r="F202" i="4" s="1"/>
  <c r="G42" i="3"/>
  <c r="F42" i="4" s="1"/>
  <c r="C42" i="4"/>
  <c r="C46" i="5" s="1"/>
  <c r="H42" i="3"/>
  <c r="G42" i="4" s="1"/>
  <c r="S406" i="5"/>
  <c r="R406" i="5"/>
  <c r="Q406" i="5"/>
  <c r="P406" i="5"/>
  <c r="H406" i="5"/>
  <c r="O406" i="5"/>
  <c r="G406" i="5"/>
  <c r="N406" i="5"/>
  <c r="M406" i="5"/>
  <c r="L406" i="5"/>
  <c r="K406" i="5"/>
  <c r="J406" i="5"/>
  <c r="I406" i="5"/>
  <c r="F406" i="5"/>
  <c r="C312" i="4"/>
  <c r="C316" i="5" s="1"/>
  <c r="H312" i="3"/>
  <c r="G312" i="4" s="1"/>
  <c r="G312" i="3"/>
  <c r="F312" i="4" s="1"/>
  <c r="C22" i="4"/>
  <c r="C26" i="5" s="1"/>
  <c r="G22" i="3"/>
  <c r="F22" i="4" s="1"/>
  <c r="H22" i="3"/>
  <c r="G22" i="4" s="1"/>
  <c r="C77" i="4"/>
  <c r="C81" i="5" s="1"/>
  <c r="G77" i="3"/>
  <c r="F77" i="4" s="1"/>
  <c r="H77" i="3"/>
  <c r="G77" i="4" s="1"/>
  <c r="C167" i="4"/>
  <c r="C171" i="5" s="1"/>
  <c r="G167" i="3"/>
  <c r="F167" i="4" s="1"/>
  <c r="H167" i="3"/>
  <c r="G167" i="4" s="1"/>
  <c r="C117" i="4"/>
  <c r="C121" i="5" s="1"/>
  <c r="G117" i="3"/>
  <c r="F117" i="4" s="1"/>
  <c r="H117" i="3"/>
  <c r="G117" i="4" s="1"/>
  <c r="Q213" i="5"/>
  <c r="I213" i="5"/>
  <c r="P213" i="5"/>
  <c r="H213" i="5"/>
  <c r="O213" i="5"/>
  <c r="G213" i="5"/>
  <c r="N213" i="5"/>
  <c r="F213" i="5"/>
  <c r="M213" i="5"/>
  <c r="L213" i="5"/>
  <c r="K213" i="5"/>
  <c r="S213" i="5"/>
  <c r="R213" i="5"/>
  <c r="J213" i="5"/>
  <c r="M334" i="5"/>
  <c r="L334" i="5"/>
  <c r="S334" i="5"/>
  <c r="K334" i="5"/>
  <c r="P334" i="5"/>
  <c r="O334" i="5"/>
  <c r="N334" i="5"/>
  <c r="R334" i="5"/>
  <c r="G334" i="5"/>
  <c r="I334" i="5"/>
  <c r="J334" i="5"/>
  <c r="Q334" i="5"/>
  <c r="H334" i="5"/>
  <c r="F334" i="5"/>
  <c r="H384" i="3"/>
  <c r="G384" i="4" s="1"/>
  <c r="C384" i="4"/>
  <c r="C388" i="5" s="1"/>
  <c r="G384" i="3"/>
  <c r="F384" i="4" s="1"/>
  <c r="C154" i="4"/>
  <c r="C158" i="5" s="1"/>
  <c r="G154" i="3"/>
  <c r="F154" i="4" s="1"/>
  <c r="H154" i="3"/>
  <c r="G154" i="4" s="1"/>
  <c r="G90" i="3"/>
  <c r="F90" i="4" s="1"/>
  <c r="C90" i="4"/>
  <c r="C94" i="5" s="1"/>
  <c r="H90" i="3"/>
  <c r="G90" i="4" s="1"/>
  <c r="P310" i="5"/>
  <c r="H310" i="5"/>
  <c r="O310" i="5"/>
  <c r="G310" i="5"/>
  <c r="N310" i="5"/>
  <c r="F310" i="5"/>
  <c r="R310" i="5"/>
  <c r="J310" i="5"/>
  <c r="S310" i="5"/>
  <c r="L310" i="5"/>
  <c r="Q310" i="5"/>
  <c r="M310" i="5"/>
  <c r="K310" i="5"/>
  <c r="I310" i="5"/>
  <c r="C165" i="4"/>
  <c r="C169" i="5" s="1"/>
  <c r="G165" i="3"/>
  <c r="F165" i="4" s="1"/>
  <c r="H165" i="3"/>
  <c r="G165" i="4" s="1"/>
  <c r="C65" i="4"/>
  <c r="C69" i="5" s="1"/>
  <c r="G65" i="3"/>
  <c r="F65" i="4" s="1"/>
  <c r="H65" i="3"/>
  <c r="G65" i="4" s="1"/>
  <c r="C168" i="4"/>
  <c r="C172" i="5" s="1"/>
  <c r="G168" i="3"/>
  <c r="F168" i="4" s="1"/>
  <c r="H168" i="3"/>
  <c r="G168" i="4" s="1"/>
  <c r="G104" i="3"/>
  <c r="F104" i="4" s="1"/>
  <c r="C104" i="4"/>
  <c r="C108" i="5" s="1"/>
  <c r="H104" i="3"/>
  <c r="G104" i="4" s="1"/>
  <c r="C28" i="4"/>
  <c r="C32" i="5" s="1"/>
  <c r="G28" i="3"/>
  <c r="F28" i="4" s="1"/>
  <c r="H28" i="3"/>
  <c r="G28" i="4" s="1"/>
  <c r="C280" i="4"/>
  <c r="C284" i="5" s="1"/>
  <c r="H280" i="3"/>
  <c r="G280" i="4" s="1"/>
  <c r="G280" i="3"/>
  <c r="F280" i="4" s="1"/>
  <c r="C97" i="4"/>
  <c r="C101" i="5" s="1"/>
  <c r="G97" i="3"/>
  <c r="F97" i="4" s="1"/>
  <c r="H97" i="3"/>
  <c r="G97" i="4" s="1"/>
  <c r="D51" i="4"/>
  <c r="D55" i="5" s="1"/>
  <c r="I51" i="3"/>
  <c r="H51" i="4" s="1"/>
  <c r="I115" i="3"/>
  <c r="H115" i="4" s="1"/>
  <c r="D115" i="4"/>
  <c r="D119" i="5" s="1"/>
  <c r="D224" i="4"/>
  <c r="D228" i="5" s="1"/>
  <c r="I224" i="3"/>
  <c r="H224" i="4" s="1"/>
  <c r="I360" i="3"/>
  <c r="H360" i="4" s="1"/>
  <c r="D360" i="4"/>
  <c r="D364" i="5" s="1"/>
  <c r="S188" i="5"/>
  <c r="K188" i="5"/>
  <c r="R188" i="5"/>
  <c r="J188" i="5"/>
  <c r="Q188" i="5"/>
  <c r="I188" i="5"/>
  <c r="N188" i="5"/>
  <c r="F188" i="5"/>
  <c r="H188" i="5"/>
  <c r="G188" i="5"/>
  <c r="M188" i="5"/>
  <c r="P188" i="5"/>
  <c r="O188" i="5"/>
  <c r="L188" i="5"/>
  <c r="D246" i="4"/>
  <c r="D250" i="5" s="1"/>
  <c r="I246" i="3"/>
  <c r="H246" i="4" s="1"/>
  <c r="D316" i="4"/>
  <c r="D320" i="5" s="1"/>
  <c r="I316" i="3"/>
  <c r="H316" i="4" s="1"/>
  <c r="C397" i="4"/>
  <c r="C401" i="5" s="1"/>
  <c r="H397" i="3"/>
  <c r="G397" i="4" s="1"/>
  <c r="G397" i="3"/>
  <c r="F397" i="4" s="1"/>
  <c r="D186" i="4"/>
  <c r="D190" i="5" s="1"/>
  <c r="I186" i="3"/>
  <c r="H186" i="4" s="1"/>
  <c r="D140" i="4"/>
  <c r="D144" i="5" s="1"/>
  <c r="I140" i="3"/>
  <c r="H140" i="4" s="1"/>
  <c r="D108" i="4"/>
  <c r="D112" i="5" s="1"/>
  <c r="I108" i="3"/>
  <c r="H108" i="4" s="1"/>
  <c r="D76" i="4"/>
  <c r="D80" i="5" s="1"/>
  <c r="I76" i="3"/>
  <c r="H76" i="4" s="1"/>
  <c r="D44" i="4"/>
  <c r="D48" i="5" s="1"/>
  <c r="I44" i="3"/>
  <c r="H44" i="4" s="1"/>
  <c r="M199" i="5"/>
  <c r="L199" i="5"/>
  <c r="S199" i="5"/>
  <c r="K199" i="5"/>
  <c r="P199" i="5"/>
  <c r="H199" i="5"/>
  <c r="R199" i="5"/>
  <c r="Q199" i="5"/>
  <c r="O199" i="5"/>
  <c r="G199" i="5"/>
  <c r="N199" i="5"/>
  <c r="J199" i="5"/>
  <c r="I199" i="5"/>
  <c r="F199" i="5"/>
  <c r="I183" i="3"/>
  <c r="H183" i="4" s="1"/>
  <c r="D183" i="4"/>
  <c r="D187" i="5" s="1"/>
  <c r="D34" i="4"/>
  <c r="D38" i="5" s="1"/>
  <c r="I34" i="3"/>
  <c r="H34" i="4" s="1"/>
  <c r="R389" i="5"/>
  <c r="J389" i="5"/>
  <c r="Q389" i="5"/>
  <c r="I389" i="5"/>
  <c r="O389" i="5"/>
  <c r="G389" i="5"/>
  <c r="N389" i="5"/>
  <c r="F389" i="5"/>
  <c r="M389" i="5"/>
  <c r="L389" i="5"/>
  <c r="K389" i="5"/>
  <c r="S389" i="5"/>
  <c r="H389" i="5"/>
  <c r="P389" i="5"/>
  <c r="H278" i="3"/>
  <c r="G278" i="4" s="1"/>
  <c r="G278" i="3"/>
  <c r="F278" i="4" s="1"/>
  <c r="C278" i="4"/>
  <c r="C282" i="5" s="1"/>
  <c r="D41" i="4"/>
  <c r="D45" i="5" s="1"/>
  <c r="I41" i="3"/>
  <c r="H41" i="4" s="1"/>
  <c r="D85" i="4"/>
  <c r="D89" i="5" s="1"/>
  <c r="I85" i="3"/>
  <c r="H85" i="4" s="1"/>
  <c r="D242" i="4"/>
  <c r="D246" i="5" s="1"/>
  <c r="I242" i="3"/>
  <c r="H242" i="4" s="1"/>
  <c r="I125" i="3"/>
  <c r="H125" i="4" s="1"/>
  <c r="D125" i="4"/>
  <c r="D129" i="5" s="1"/>
  <c r="H216" i="3"/>
  <c r="G216" i="4" s="1"/>
  <c r="G216" i="3"/>
  <c r="F216" i="4" s="1"/>
  <c r="C216" i="4"/>
  <c r="C220" i="5" s="1"/>
  <c r="S180" i="5"/>
  <c r="K180" i="5"/>
  <c r="R180" i="5"/>
  <c r="J180" i="5"/>
  <c r="Q180" i="5"/>
  <c r="I180" i="5"/>
  <c r="N180" i="5"/>
  <c r="F180" i="5"/>
  <c r="H180" i="5"/>
  <c r="G180" i="5"/>
  <c r="M180" i="5"/>
  <c r="P180" i="5"/>
  <c r="O180" i="5"/>
  <c r="L180" i="5"/>
  <c r="D218" i="4"/>
  <c r="D222" i="5" s="1"/>
  <c r="I218" i="3"/>
  <c r="H218" i="4" s="1"/>
  <c r="D170" i="4"/>
  <c r="D174" i="5" s="1"/>
  <c r="I170" i="3"/>
  <c r="H170" i="4" s="1"/>
  <c r="D106" i="4"/>
  <c r="D110" i="5" s="1"/>
  <c r="I106" i="3"/>
  <c r="H106" i="4" s="1"/>
  <c r="D36" i="4"/>
  <c r="D40" i="5" s="1"/>
  <c r="I36" i="3"/>
  <c r="H36" i="4" s="1"/>
  <c r="D37" i="4"/>
  <c r="D41" i="5" s="1"/>
  <c r="I37" i="3"/>
  <c r="H37" i="4" s="1"/>
  <c r="D372" i="4"/>
  <c r="D376" i="5" s="1"/>
  <c r="I372" i="3"/>
  <c r="H372" i="4" s="1"/>
  <c r="I137" i="3"/>
  <c r="H137" i="4" s="1"/>
  <c r="D137" i="4"/>
  <c r="D141" i="5" s="1"/>
  <c r="D3" i="4"/>
  <c r="I3" i="3"/>
  <c r="H3" i="4" s="1"/>
  <c r="I336" i="3"/>
  <c r="H336" i="4" s="1"/>
  <c r="D336" i="4"/>
  <c r="D340" i="5" s="1"/>
  <c r="D120" i="4"/>
  <c r="D124" i="5" s="1"/>
  <c r="I120" i="3"/>
  <c r="H120" i="4" s="1"/>
  <c r="D56" i="4"/>
  <c r="D60" i="5" s="1"/>
  <c r="I56" i="3"/>
  <c r="H56" i="4" s="1"/>
  <c r="D29" i="4"/>
  <c r="D33" i="5" s="1"/>
  <c r="I29" i="3"/>
  <c r="H29" i="4" s="1"/>
  <c r="C338" i="4"/>
  <c r="C342" i="5" s="1"/>
  <c r="H338" i="3"/>
  <c r="G338" i="4" s="1"/>
  <c r="G338" i="3"/>
  <c r="F338" i="4" s="1"/>
  <c r="D155" i="4"/>
  <c r="D159" i="5" s="1"/>
  <c r="I155" i="3"/>
  <c r="H155" i="4" s="1"/>
  <c r="D86" i="4"/>
  <c r="D90" i="5" s="1"/>
  <c r="I86" i="3"/>
  <c r="H86" i="4" s="1"/>
  <c r="D15" i="4"/>
  <c r="I10" i="3"/>
  <c r="H15" i="4" s="1"/>
  <c r="D169" i="4"/>
  <c r="D173" i="5" s="1"/>
  <c r="I169" i="3"/>
  <c r="H169" i="4" s="1"/>
  <c r="D159" i="4"/>
  <c r="D163" i="5" s="1"/>
  <c r="I159" i="3"/>
  <c r="H159" i="4" s="1"/>
  <c r="I296" i="3"/>
  <c r="H296" i="4" s="1"/>
  <c r="D296" i="4"/>
  <c r="D300" i="5" s="1"/>
  <c r="M251" i="5"/>
  <c r="L251" i="5"/>
  <c r="S251" i="5"/>
  <c r="K251" i="5"/>
  <c r="R251" i="5"/>
  <c r="J251" i="5"/>
  <c r="Q251" i="5"/>
  <c r="P251" i="5"/>
  <c r="O251" i="5"/>
  <c r="H251" i="5"/>
  <c r="N251" i="5"/>
  <c r="I251" i="5"/>
  <c r="G251" i="5"/>
  <c r="F251" i="5"/>
  <c r="D160" i="4"/>
  <c r="D164" i="5" s="1"/>
  <c r="I160" i="3"/>
  <c r="H160" i="4" s="1"/>
  <c r="D48" i="4"/>
  <c r="D52" i="5" s="1"/>
  <c r="I48" i="3"/>
  <c r="H48" i="4" s="1"/>
  <c r="D194" i="4"/>
  <c r="D198" i="5" s="1"/>
  <c r="I194" i="3"/>
  <c r="H194" i="4" s="1"/>
  <c r="D151" i="4"/>
  <c r="D155" i="5" s="1"/>
  <c r="I151" i="3"/>
  <c r="H151" i="4" s="1"/>
  <c r="M123" i="5"/>
  <c r="L123" i="5"/>
  <c r="S123" i="5"/>
  <c r="K123" i="5"/>
  <c r="O123" i="5"/>
  <c r="G123" i="5"/>
  <c r="R123" i="5"/>
  <c r="Q123" i="5"/>
  <c r="P123" i="5"/>
  <c r="N123" i="5"/>
  <c r="J123" i="5"/>
  <c r="I123" i="5"/>
  <c r="H123" i="5"/>
  <c r="F123" i="5"/>
  <c r="L367" i="5"/>
  <c r="S367" i="5"/>
  <c r="J367" i="5"/>
  <c r="R367" i="5"/>
  <c r="I367" i="5"/>
  <c r="Q367" i="5"/>
  <c r="H367" i="5"/>
  <c r="M367" i="5"/>
  <c r="P367" i="5"/>
  <c r="O367" i="5"/>
  <c r="N367" i="5"/>
  <c r="F367" i="5"/>
  <c r="K367" i="5"/>
  <c r="G367" i="5"/>
  <c r="N303" i="5"/>
  <c r="F303" i="5"/>
  <c r="M303" i="5"/>
  <c r="L303" i="5"/>
  <c r="P303" i="5"/>
  <c r="H303" i="5"/>
  <c r="S303" i="5"/>
  <c r="R303" i="5"/>
  <c r="Q303" i="5"/>
  <c r="J303" i="5"/>
  <c r="O303" i="5"/>
  <c r="K303" i="5"/>
  <c r="I303" i="5"/>
  <c r="G303" i="5"/>
  <c r="C235" i="4"/>
  <c r="C239" i="5" s="1"/>
  <c r="H235" i="3"/>
  <c r="G235" i="4" s="1"/>
  <c r="G235" i="3"/>
  <c r="F235" i="4" s="1"/>
  <c r="O138" i="5"/>
  <c r="G138" i="5"/>
  <c r="N138" i="5"/>
  <c r="F138" i="5"/>
  <c r="M138" i="5"/>
  <c r="Q138" i="5"/>
  <c r="I138" i="5"/>
  <c r="S138" i="5"/>
  <c r="R138" i="5"/>
  <c r="L138" i="5"/>
  <c r="P138" i="5"/>
  <c r="K138" i="5"/>
  <c r="J138" i="5"/>
  <c r="H138" i="5"/>
  <c r="D196" i="4"/>
  <c r="D200" i="5" s="1"/>
  <c r="I196" i="3"/>
  <c r="H196" i="4" s="1"/>
  <c r="N283" i="5"/>
  <c r="F283" i="5"/>
  <c r="M283" i="5"/>
  <c r="L283" i="5"/>
  <c r="P283" i="5"/>
  <c r="H283" i="5"/>
  <c r="K283" i="5"/>
  <c r="J283" i="5"/>
  <c r="I283" i="5"/>
  <c r="R283" i="5"/>
  <c r="G283" i="5"/>
  <c r="S283" i="5"/>
  <c r="Q283" i="5"/>
  <c r="O283" i="5"/>
  <c r="I357" i="3"/>
  <c r="H357" i="4" s="1"/>
  <c r="D357" i="4"/>
  <c r="D361" i="5" s="1"/>
  <c r="D59" i="4"/>
  <c r="D63" i="5" s="1"/>
  <c r="I59" i="3"/>
  <c r="H59" i="4" s="1"/>
  <c r="D123" i="4"/>
  <c r="D127" i="5" s="1"/>
  <c r="I123" i="3"/>
  <c r="H123" i="4" s="1"/>
  <c r="L363" i="5"/>
  <c r="R363" i="5"/>
  <c r="I363" i="5"/>
  <c r="Q363" i="5"/>
  <c r="H363" i="5"/>
  <c r="P363" i="5"/>
  <c r="G363" i="5"/>
  <c r="K363" i="5"/>
  <c r="O363" i="5"/>
  <c r="N363" i="5"/>
  <c r="M363" i="5"/>
  <c r="S363" i="5"/>
  <c r="J363" i="5"/>
  <c r="F363" i="5"/>
  <c r="N299" i="5"/>
  <c r="F299" i="5"/>
  <c r="M299" i="5"/>
  <c r="L299" i="5"/>
  <c r="P299" i="5"/>
  <c r="H299" i="5"/>
  <c r="K299" i="5"/>
  <c r="J299" i="5"/>
  <c r="I299" i="5"/>
  <c r="R299" i="5"/>
  <c r="G299" i="5"/>
  <c r="S299" i="5"/>
  <c r="Q299" i="5"/>
  <c r="O299" i="5"/>
  <c r="S345" i="5"/>
  <c r="K345" i="5"/>
  <c r="R345" i="5"/>
  <c r="J345" i="5"/>
  <c r="Q345" i="5"/>
  <c r="I345" i="5"/>
  <c r="F345" i="5"/>
  <c r="P345" i="5"/>
  <c r="O345" i="5"/>
  <c r="L345" i="5"/>
  <c r="H345" i="5"/>
  <c r="N345" i="5"/>
  <c r="M345" i="5"/>
  <c r="G345" i="5"/>
  <c r="H228" i="3"/>
  <c r="G228" i="4" s="1"/>
  <c r="C228" i="4"/>
  <c r="C232" i="5" s="1"/>
  <c r="G228" i="3"/>
  <c r="F228" i="4" s="1"/>
  <c r="R301" i="5"/>
  <c r="J301" i="5"/>
  <c r="Q301" i="5"/>
  <c r="I301" i="5"/>
  <c r="P301" i="5"/>
  <c r="H301" i="5"/>
  <c r="L301" i="5"/>
  <c r="G301" i="5"/>
  <c r="F301" i="5"/>
  <c r="N301" i="5"/>
  <c r="O301" i="5"/>
  <c r="S301" i="5"/>
  <c r="M301" i="5"/>
  <c r="K301" i="5"/>
  <c r="D382" i="4"/>
  <c r="D386" i="5" s="1"/>
  <c r="I382" i="3"/>
  <c r="H382" i="4" s="1"/>
  <c r="H215" i="3"/>
  <c r="G215" i="4" s="1"/>
  <c r="C215" i="4"/>
  <c r="C219" i="5" s="1"/>
  <c r="G215" i="3"/>
  <c r="F215" i="4" s="1"/>
  <c r="H238" i="3"/>
  <c r="G238" i="4" s="1"/>
  <c r="C238" i="4"/>
  <c r="C242" i="5" s="1"/>
  <c r="G238" i="3"/>
  <c r="F238" i="4" s="1"/>
  <c r="D118" i="4"/>
  <c r="D122" i="5" s="1"/>
  <c r="I118" i="3"/>
  <c r="H118" i="4" s="1"/>
  <c r="D260" i="4"/>
  <c r="D264" i="5" s="1"/>
  <c r="I260" i="3"/>
  <c r="H260" i="4" s="1"/>
  <c r="S244" i="5"/>
  <c r="K244" i="5"/>
  <c r="R244" i="5"/>
  <c r="J244" i="5"/>
  <c r="Q244" i="5"/>
  <c r="I244" i="5"/>
  <c r="P244" i="5"/>
  <c r="H244" i="5"/>
  <c r="O244" i="5"/>
  <c r="N244" i="5"/>
  <c r="M244" i="5"/>
  <c r="F244" i="5"/>
  <c r="L244" i="5"/>
  <c r="G244" i="5"/>
  <c r="D63" i="4"/>
  <c r="D67" i="5" s="1"/>
  <c r="I63" i="3"/>
  <c r="H63" i="4" s="1"/>
  <c r="D127" i="4"/>
  <c r="D131" i="5" s="1"/>
  <c r="I127" i="3"/>
  <c r="H127" i="4" s="1"/>
  <c r="L359" i="5"/>
  <c r="Q359" i="5"/>
  <c r="H359" i="5"/>
  <c r="P359" i="5"/>
  <c r="G359" i="5"/>
  <c r="O359" i="5"/>
  <c r="F359" i="5"/>
  <c r="S359" i="5"/>
  <c r="N359" i="5"/>
  <c r="M359" i="5"/>
  <c r="K359" i="5"/>
  <c r="R359" i="5"/>
  <c r="J359" i="5"/>
  <c r="I359" i="5"/>
  <c r="N295" i="5"/>
  <c r="F295" i="5"/>
  <c r="M295" i="5"/>
  <c r="L295" i="5"/>
  <c r="P295" i="5"/>
  <c r="H295" i="5"/>
  <c r="S295" i="5"/>
  <c r="R295" i="5"/>
  <c r="Q295" i="5"/>
  <c r="J295" i="5"/>
  <c r="O295" i="5"/>
  <c r="K295" i="5"/>
  <c r="I295" i="5"/>
  <c r="G295" i="5"/>
  <c r="S204" i="5"/>
  <c r="K204" i="5"/>
  <c r="R204" i="5"/>
  <c r="J204" i="5"/>
  <c r="Q204" i="5"/>
  <c r="I204" i="5"/>
  <c r="N204" i="5"/>
  <c r="F204" i="5"/>
  <c r="H204" i="5"/>
  <c r="G204" i="5"/>
  <c r="M204" i="5"/>
  <c r="P204" i="5"/>
  <c r="O204" i="5"/>
  <c r="L204" i="5"/>
  <c r="I328" i="3"/>
  <c r="H328" i="4" s="1"/>
  <c r="D328" i="4"/>
  <c r="D332" i="5" s="1"/>
  <c r="I394" i="3"/>
  <c r="H394" i="4" s="1"/>
  <c r="D394" i="4"/>
  <c r="D398" i="5" s="1"/>
  <c r="C222" i="4"/>
  <c r="C226" i="5" s="1"/>
  <c r="H222" i="3"/>
  <c r="G222" i="4" s="1"/>
  <c r="G222" i="3"/>
  <c r="F222" i="4" s="1"/>
  <c r="D284" i="4"/>
  <c r="D288" i="5" s="1"/>
  <c r="I284" i="3"/>
  <c r="H284" i="4" s="1"/>
  <c r="C365" i="4"/>
  <c r="C369" i="5" s="1"/>
  <c r="H365" i="3"/>
  <c r="G365" i="4" s="1"/>
  <c r="G365" i="3"/>
  <c r="F365" i="4" s="1"/>
  <c r="C197" i="4"/>
  <c r="C201" i="5" s="1"/>
  <c r="H197" i="3"/>
  <c r="G197" i="4" s="1"/>
  <c r="G197" i="3"/>
  <c r="F197" i="4" s="1"/>
  <c r="D102" i="4"/>
  <c r="D106" i="5" s="1"/>
  <c r="I102" i="3"/>
  <c r="H102" i="4" s="1"/>
  <c r="D276" i="4"/>
  <c r="D280" i="5" s="1"/>
  <c r="I276" i="3"/>
  <c r="H276" i="4" s="1"/>
  <c r="I304" i="3"/>
  <c r="H304" i="4" s="1"/>
  <c r="D304" i="4"/>
  <c r="D308" i="5" s="1"/>
  <c r="I49" i="3"/>
  <c r="H49" i="4" s="1"/>
  <c r="D49" i="4"/>
  <c r="D53" i="5" s="1"/>
  <c r="D163" i="4"/>
  <c r="D167" i="5" s="1"/>
  <c r="I163" i="3"/>
  <c r="H163" i="4" s="1"/>
  <c r="D67" i="4"/>
  <c r="D71" i="5" s="1"/>
  <c r="I67" i="3"/>
  <c r="H67" i="4" s="1"/>
  <c r="D131" i="4"/>
  <c r="D135" i="5" s="1"/>
  <c r="I131" i="3"/>
  <c r="H131" i="4" s="1"/>
  <c r="L355" i="5"/>
  <c r="P355" i="5"/>
  <c r="G355" i="5"/>
  <c r="O355" i="5"/>
  <c r="F355" i="5"/>
  <c r="N355" i="5"/>
  <c r="M355" i="5"/>
  <c r="K355" i="5"/>
  <c r="J355" i="5"/>
  <c r="S355" i="5"/>
  <c r="I355" i="5"/>
  <c r="H355" i="5"/>
  <c r="R355" i="5"/>
  <c r="Q355" i="5"/>
  <c r="N291" i="5"/>
  <c r="F291" i="5"/>
  <c r="M291" i="5"/>
  <c r="L291" i="5"/>
  <c r="P291" i="5"/>
  <c r="H291" i="5"/>
  <c r="K291" i="5"/>
  <c r="J291" i="5"/>
  <c r="I291" i="5"/>
  <c r="R291" i="5"/>
  <c r="S291" i="5"/>
  <c r="Q291" i="5"/>
  <c r="O291" i="5"/>
  <c r="G291" i="5"/>
  <c r="H249" i="3"/>
  <c r="G249" i="4" s="1"/>
  <c r="C249" i="4"/>
  <c r="C253" i="5" s="1"/>
  <c r="G249" i="3"/>
  <c r="F249" i="4" s="1"/>
  <c r="H326" i="3"/>
  <c r="G326" i="4" s="1"/>
  <c r="G326" i="3"/>
  <c r="F326" i="4" s="1"/>
  <c r="C326" i="4"/>
  <c r="C330" i="5" s="1"/>
  <c r="H377" i="3"/>
  <c r="G377" i="4" s="1"/>
  <c r="C377" i="4"/>
  <c r="C381" i="5" s="1"/>
  <c r="G377" i="3"/>
  <c r="F377" i="4" s="1"/>
  <c r="H207" i="3"/>
  <c r="G207" i="4" s="1"/>
  <c r="C207" i="4"/>
  <c r="C211" i="5" s="1"/>
  <c r="G207" i="3"/>
  <c r="F207" i="4" s="1"/>
  <c r="H282" i="3"/>
  <c r="G282" i="4" s="1"/>
  <c r="C282" i="4"/>
  <c r="C286" i="5" s="1"/>
  <c r="G282" i="3"/>
  <c r="F282" i="4" s="1"/>
  <c r="C190" i="4"/>
  <c r="C194" i="5" s="1"/>
  <c r="H190" i="3"/>
  <c r="G190" i="4" s="1"/>
  <c r="G190" i="3"/>
  <c r="F190" i="4" s="1"/>
  <c r="I164" i="3"/>
  <c r="H164" i="4" s="1"/>
  <c r="D164" i="4"/>
  <c r="D168" i="5" s="1"/>
  <c r="D132" i="4"/>
  <c r="D136" i="5" s="1"/>
  <c r="I132" i="3"/>
  <c r="H132" i="4" s="1"/>
  <c r="D100" i="4"/>
  <c r="D104" i="5" s="1"/>
  <c r="I100" i="3"/>
  <c r="H100" i="4" s="1"/>
  <c r="D68" i="4"/>
  <c r="D72" i="5" s="1"/>
  <c r="I68" i="3"/>
  <c r="H68" i="4" s="1"/>
  <c r="D10" i="4"/>
  <c r="I12" i="3"/>
  <c r="H10" i="4" s="1"/>
  <c r="D4" i="4"/>
  <c r="I5" i="3"/>
  <c r="H4" i="4" s="1"/>
  <c r="D11" i="4"/>
  <c r="I13" i="3"/>
  <c r="H11" i="4" s="1"/>
  <c r="D308" i="4"/>
  <c r="D312" i="5" s="1"/>
  <c r="I308" i="3"/>
  <c r="H308" i="4" s="1"/>
  <c r="R405" i="5"/>
  <c r="J405" i="5"/>
  <c r="Q405" i="5"/>
  <c r="I405" i="5"/>
  <c r="O405" i="5"/>
  <c r="G405" i="5"/>
  <c r="N405" i="5"/>
  <c r="F405" i="5"/>
  <c r="M405" i="5"/>
  <c r="L405" i="5"/>
  <c r="K405" i="5"/>
  <c r="S405" i="5"/>
  <c r="P405" i="5"/>
  <c r="H405" i="5"/>
  <c r="D19" i="4"/>
  <c r="D23" i="5" s="1"/>
  <c r="I19" i="3"/>
  <c r="H19" i="4" s="1"/>
  <c r="D113" i="4"/>
  <c r="D117" i="5" s="1"/>
  <c r="I113" i="3"/>
  <c r="H113" i="4" s="1"/>
  <c r="D35" i="4"/>
  <c r="D39" i="5" s="1"/>
  <c r="I35" i="3"/>
  <c r="H35" i="4" s="1"/>
  <c r="D71" i="4"/>
  <c r="D75" i="5" s="1"/>
  <c r="I71" i="3"/>
  <c r="H71" i="4" s="1"/>
  <c r="I147" i="3"/>
  <c r="H147" i="4" s="1"/>
  <c r="D147" i="4"/>
  <c r="D151" i="5" s="1"/>
  <c r="H241" i="3"/>
  <c r="G241" i="4" s="1"/>
  <c r="C241" i="4"/>
  <c r="C245" i="5" s="1"/>
  <c r="G241" i="3"/>
  <c r="F241" i="4" s="1"/>
  <c r="R313" i="5"/>
  <c r="J313" i="5"/>
  <c r="Q313" i="5"/>
  <c r="I313" i="5"/>
  <c r="P313" i="5"/>
  <c r="H313" i="5"/>
  <c r="L313" i="5"/>
  <c r="O313" i="5"/>
  <c r="N313" i="5"/>
  <c r="M313" i="5"/>
  <c r="F313" i="5"/>
  <c r="K313" i="5"/>
  <c r="G313" i="5"/>
  <c r="S313" i="5"/>
  <c r="H203" i="3"/>
  <c r="G203" i="4" s="1"/>
  <c r="G203" i="3"/>
  <c r="F203" i="4" s="1"/>
  <c r="C203" i="4"/>
  <c r="C207" i="5" s="1"/>
  <c r="R269" i="5"/>
  <c r="J269" i="5"/>
  <c r="Q269" i="5"/>
  <c r="I269" i="5"/>
  <c r="P269" i="5"/>
  <c r="H269" i="5"/>
  <c r="L269" i="5"/>
  <c r="G269" i="5"/>
  <c r="F269" i="5"/>
  <c r="N269" i="5"/>
  <c r="O269" i="5"/>
  <c r="S269" i="5"/>
  <c r="M269" i="5"/>
  <c r="K269" i="5"/>
  <c r="D350" i="4"/>
  <c r="D354" i="5" s="1"/>
  <c r="I350" i="3"/>
  <c r="H350" i="4" s="1"/>
  <c r="C182" i="4"/>
  <c r="C186" i="5" s="1"/>
  <c r="H182" i="3"/>
  <c r="G182" i="4" s="1"/>
  <c r="G182" i="3"/>
  <c r="F182" i="4" s="1"/>
  <c r="D162" i="4"/>
  <c r="D166" i="5" s="1"/>
  <c r="I162" i="3"/>
  <c r="H162" i="4" s="1"/>
  <c r="D130" i="4"/>
  <c r="D134" i="5" s="1"/>
  <c r="I130" i="3"/>
  <c r="H130" i="4" s="1"/>
  <c r="D98" i="4"/>
  <c r="D102" i="5" s="1"/>
  <c r="I98" i="3"/>
  <c r="H98" i="4" s="1"/>
  <c r="D66" i="4"/>
  <c r="D70" i="5" s="1"/>
  <c r="I66" i="3"/>
  <c r="H66" i="4" s="1"/>
  <c r="D9" i="4"/>
  <c r="I4" i="3"/>
  <c r="H9" i="4" s="1"/>
  <c r="C374" i="4"/>
  <c r="C378" i="5" s="1"/>
  <c r="H374" i="3"/>
  <c r="G374" i="4" s="1"/>
  <c r="G374" i="3"/>
  <c r="F374" i="4" s="1"/>
  <c r="C274" i="4"/>
  <c r="C278" i="5" s="1"/>
  <c r="H274" i="3"/>
  <c r="G274" i="4" s="1"/>
  <c r="G274" i="3"/>
  <c r="F274" i="4" s="1"/>
  <c r="D388" i="4"/>
  <c r="D392" i="5" s="1"/>
  <c r="I388" i="3"/>
  <c r="H388" i="4" s="1"/>
  <c r="D143" i="4"/>
  <c r="D147" i="5" s="1"/>
  <c r="I143" i="3"/>
  <c r="H143" i="4" s="1"/>
  <c r="I121" i="3"/>
  <c r="H121" i="4" s="1"/>
  <c r="D121" i="4"/>
  <c r="D125" i="5" s="1"/>
  <c r="D149" i="4"/>
  <c r="D153" i="5" s="1"/>
  <c r="I149" i="3"/>
  <c r="H149" i="4" s="1"/>
  <c r="D75" i="4"/>
  <c r="D79" i="5" s="1"/>
  <c r="I75" i="3"/>
  <c r="H75" i="4" s="1"/>
  <c r="H343" i="3"/>
  <c r="G343" i="4" s="1"/>
  <c r="C343" i="4"/>
  <c r="C347" i="5" s="1"/>
  <c r="G343" i="3"/>
  <c r="F343" i="4" s="1"/>
  <c r="H233" i="3"/>
  <c r="G233" i="4" s="1"/>
  <c r="C233" i="4"/>
  <c r="C237" i="5" s="1"/>
  <c r="G233" i="3"/>
  <c r="F233" i="4" s="1"/>
  <c r="I362" i="3"/>
  <c r="H362" i="4" s="1"/>
  <c r="D362" i="4"/>
  <c r="D366" i="5" s="1"/>
  <c r="Q185" i="5"/>
  <c r="I185" i="5"/>
  <c r="P185" i="5"/>
  <c r="H185" i="5"/>
  <c r="O185" i="5"/>
  <c r="G185" i="5"/>
  <c r="L185" i="5"/>
  <c r="N185" i="5"/>
  <c r="M185" i="5"/>
  <c r="K185" i="5"/>
  <c r="S185" i="5"/>
  <c r="J185" i="5"/>
  <c r="F185" i="5"/>
  <c r="R185" i="5"/>
  <c r="D112" i="4"/>
  <c r="D116" i="5" s="1"/>
  <c r="I112" i="3"/>
  <c r="H112" i="4" s="1"/>
  <c r="S224" i="5"/>
  <c r="K224" i="5"/>
  <c r="R224" i="5"/>
  <c r="J224" i="5"/>
  <c r="Q224" i="5"/>
  <c r="I224" i="5"/>
  <c r="P224" i="5"/>
  <c r="H224" i="5"/>
  <c r="G224" i="5"/>
  <c r="F224" i="5"/>
  <c r="N224" i="5"/>
  <c r="O224" i="5"/>
  <c r="M224" i="5"/>
  <c r="L224" i="5"/>
  <c r="O329" i="5"/>
  <c r="G329" i="5"/>
  <c r="N329" i="5"/>
  <c r="F329" i="5"/>
  <c r="M329" i="5"/>
  <c r="Q329" i="5"/>
  <c r="P329" i="5"/>
  <c r="L329" i="5"/>
  <c r="S329" i="5"/>
  <c r="H329" i="5"/>
  <c r="K329" i="5"/>
  <c r="J329" i="5"/>
  <c r="I329" i="5"/>
  <c r="R329" i="5"/>
  <c r="D109" i="4"/>
  <c r="D113" i="5" s="1"/>
  <c r="I109" i="3"/>
  <c r="H109" i="4" s="1"/>
  <c r="H346" i="3"/>
  <c r="G346" i="4" s="1"/>
  <c r="G346" i="3"/>
  <c r="F346" i="4" s="1"/>
  <c r="C346" i="4"/>
  <c r="C350" i="5" s="1"/>
  <c r="D144" i="4"/>
  <c r="D148" i="5" s="1"/>
  <c r="I144" i="3"/>
  <c r="H144" i="4" s="1"/>
  <c r="C370" i="4"/>
  <c r="C374" i="5" s="1"/>
  <c r="H370" i="3"/>
  <c r="G370" i="4" s="1"/>
  <c r="G370" i="3"/>
  <c r="F370" i="4" s="1"/>
  <c r="R261" i="5"/>
  <c r="J261" i="5"/>
  <c r="Q261" i="5"/>
  <c r="I261" i="5"/>
  <c r="P261" i="5"/>
  <c r="H261" i="5"/>
  <c r="N261" i="5"/>
  <c r="M261" i="5"/>
  <c r="L261" i="5"/>
  <c r="K261" i="5"/>
  <c r="G261" i="5"/>
  <c r="F261" i="5"/>
  <c r="S261" i="5"/>
  <c r="O261" i="5"/>
  <c r="R401" i="5"/>
  <c r="J401" i="5"/>
  <c r="Q401" i="5"/>
  <c r="I401" i="5"/>
  <c r="O401" i="5"/>
  <c r="G401" i="5"/>
  <c r="N401" i="5"/>
  <c r="F401" i="5"/>
  <c r="S401" i="5"/>
  <c r="K401" i="5"/>
  <c r="L401" i="5"/>
  <c r="P401" i="5"/>
  <c r="M401" i="5"/>
  <c r="H401" i="5"/>
  <c r="M231" i="5"/>
  <c r="L231" i="5"/>
  <c r="S231" i="5"/>
  <c r="K231" i="5"/>
  <c r="R231" i="5"/>
  <c r="J231" i="5"/>
  <c r="I231" i="5"/>
  <c r="H231" i="5"/>
  <c r="G231" i="5"/>
  <c r="P231" i="5"/>
  <c r="Q231" i="5"/>
  <c r="O231" i="5"/>
  <c r="N231" i="5"/>
  <c r="F231" i="5"/>
  <c r="O190" i="5"/>
  <c r="G190" i="5"/>
  <c r="N190" i="5"/>
  <c r="F190" i="5"/>
  <c r="M190" i="5"/>
  <c r="R190" i="5"/>
  <c r="J190" i="5"/>
  <c r="S190" i="5"/>
  <c r="Q190" i="5"/>
  <c r="I190" i="5"/>
  <c r="P190" i="5"/>
  <c r="L190" i="5"/>
  <c r="K190" i="5"/>
  <c r="H190" i="5"/>
  <c r="C195" i="4"/>
  <c r="C199" i="5" s="1"/>
  <c r="H195" i="3"/>
  <c r="G195" i="4" s="1"/>
  <c r="G195" i="3"/>
  <c r="F195" i="4" s="1"/>
  <c r="M187" i="5"/>
  <c r="L187" i="5"/>
  <c r="S187" i="5"/>
  <c r="K187" i="5"/>
  <c r="P187" i="5"/>
  <c r="H187" i="5"/>
  <c r="J187" i="5"/>
  <c r="I187" i="5"/>
  <c r="G187" i="5"/>
  <c r="O187" i="5"/>
  <c r="F187" i="5"/>
  <c r="R187" i="5"/>
  <c r="Q187" i="5"/>
  <c r="N187" i="5"/>
  <c r="H385" i="3"/>
  <c r="G385" i="4" s="1"/>
  <c r="G385" i="3"/>
  <c r="F385" i="4" s="1"/>
  <c r="C385" i="4"/>
  <c r="C389" i="5" s="1"/>
  <c r="D278" i="4"/>
  <c r="D282" i="5" s="1"/>
  <c r="I278" i="3"/>
  <c r="H278" i="4" s="1"/>
  <c r="D216" i="4"/>
  <c r="D220" i="5" s="1"/>
  <c r="I216" i="3"/>
  <c r="H216" i="4" s="1"/>
  <c r="C176" i="4"/>
  <c r="C180" i="5" s="1"/>
  <c r="H176" i="3"/>
  <c r="G176" i="4" s="1"/>
  <c r="G176" i="3"/>
  <c r="F176" i="4" s="1"/>
  <c r="O174" i="5"/>
  <c r="G174" i="5"/>
  <c r="N174" i="5"/>
  <c r="F174" i="5"/>
  <c r="M174" i="5"/>
  <c r="R174" i="5"/>
  <c r="J174" i="5"/>
  <c r="S174" i="5"/>
  <c r="Q174" i="5"/>
  <c r="I174" i="5"/>
  <c r="P174" i="5"/>
  <c r="L174" i="5"/>
  <c r="K174" i="5"/>
  <c r="H174" i="5"/>
  <c r="D338" i="4"/>
  <c r="D342" i="5" s="1"/>
  <c r="I338" i="3"/>
  <c r="H338" i="4" s="1"/>
  <c r="D17" i="4"/>
  <c r="D21" i="5" s="1"/>
  <c r="I17" i="3"/>
  <c r="H17" i="4" s="1"/>
  <c r="D20" i="4"/>
  <c r="D24" i="5" s="1"/>
  <c r="I20" i="3"/>
  <c r="H20" i="4" s="1"/>
  <c r="D247" i="4"/>
  <c r="D251" i="5" s="1"/>
  <c r="I247" i="3"/>
  <c r="H247" i="4" s="1"/>
  <c r="O198" i="5"/>
  <c r="G198" i="5"/>
  <c r="N198" i="5"/>
  <c r="F198" i="5"/>
  <c r="M198" i="5"/>
  <c r="R198" i="5"/>
  <c r="J198" i="5"/>
  <c r="S198" i="5"/>
  <c r="Q198" i="5"/>
  <c r="I198" i="5"/>
  <c r="P198" i="5"/>
  <c r="L198" i="5"/>
  <c r="K198" i="5"/>
  <c r="H198" i="5"/>
  <c r="C55" i="4"/>
  <c r="C59" i="5" s="1"/>
  <c r="G55" i="3"/>
  <c r="F55" i="4" s="1"/>
  <c r="H55" i="3"/>
  <c r="G55" i="4" s="1"/>
  <c r="C119" i="4"/>
  <c r="C123" i="5" s="1"/>
  <c r="G119" i="3"/>
  <c r="F119" i="4" s="1"/>
  <c r="H119" i="3"/>
  <c r="G119" i="4" s="1"/>
  <c r="I363" i="3"/>
  <c r="H363" i="4" s="1"/>
  <c r="D363" i="4"/>
  <c r="D367" i="5" s="1"/>
  <c r="I299" i="3"/>
  <c r="H299" i="4" s="1"/>
  <c r="D299" i="4"/>
  <c r="D303" i="5" s="1"/>
  <c r="D235" i="4"/>
  <c r="D239" i="5" s="1"/>
  <c r="I235" i="3"/>
  <c r="H235" i="4" s="1"/>
  <c r="C134" i="4"/>
  <c r="C138" i="5" s="1"/>
  <c r="G134" i="3"/>
  <c r="F134" i="4" s="1"/>
  <c r="H134" i="3"/>
  <c r="G134" i="4" s="1"/>
  <c r="I279" i="3"/>
  <c r="H279" i="4" s="1"/>
  <c r="D279" i="4"/>
  <c r="D283" i="5" s="1"/>
  <c r="H359" i="3"/>
  <c r="G359" i="4" s="1"/>
  <c r="G359" i="3"/>
  <c r="F359" i="4" s="1"/>
  <c r="C359" i="4"/>
  <c r="C363" i="5" s="1"/>
  <c r="H295" i="3"/>
  <c r="G295" i="4" s="1"/>
  <c r="G295" i="3"/>
  <c r="F295" i="4" s="1"/>
  <c r="C295" i="4"/>
  <c r="C299" i="5" s="1"/>
  <c r="S212" i="5"/>
  <c r="K212" i="5"/>
  <c r="R212" i="5"/>
  <c r="J212" i="5"/>
  <c r="Q212" i="5"/>
  <c r="I212" i="5"/>
  <c r="P212" i="5"/>
  <c r="H212" i="5"/>
  <c r="O212" i="5"/>
  <c r="N212" i="5"/>
  <c r="M212" i="5"/>
  <c r="F212" i="5"/>
  <c r="L212" i="5"/>
  <c r="G212" i="5"/>
  <c r="C341" i="4"/>
  <c r="C345" i="5" s="1"/>
  <c r="H341" i="3"/>
  <c r="G341" i="4" s="1"/>
  <c r="G341" i="3"/>
  <c r="F341" i="4" s="1"/>
  <c r="D396" i="4"/>
  <c r="D400" i="5" s="1"/>
  <c r="I396" i="3"/>
  <c r="H396" i="4" s="1"/>
  <c r="S232" i="5"/>
  <c r="K232" i="5"/>
  <c r="R232" i="5"/>
  <c r="J232" i="5"/>
  <c r="Q232" i="5"/>
  <c r="I232" i="5"/>
  <c r="P232" i="5"/>
  <c r="H232" i="5"/>
  <c r="G232" i="5"/>
  <c r="F232" i="5"/>
  <c r="N232" i="5"/>
  <c r="M232" i="5"/>
  <c r="O232" i="5"/>
  <c r="L232" i="5"/>
  <c r="C297" i="4"/>
  <c r="C301" i="5" s="1"/>
  <c r="H297" i="3"/>
  <c r="G297" i="4" s="1"/>
  <c r="G297" i="3"/>
  <c r="F297" i="4" s="1"/>
  <c r="I215" i="3"/>
  <c r="H215" i="4" s="1"/>
  <c r="D215" i="4"/>
  <c r="D219" i="5" s="1"/>
  <c r="D238" i="4"/>
  <c r="D242" i="5" s="1"/>
  <c r="I238" i="3"/>
  <c r="H238" i="4" s="1"/>
  <c r="H240" i="3"/>
  <c r="G240" i="4" s="1"/>
  <c r="C240" i="4"/>
  <c r="C244" i="5" s="1"/>
  <c r="G240" i="3"/>
  <c r="F240" i="4" s="1"/>
  <c r="D6" i="4"/>
  <c r="I7" i="3"/>
  <c r="H6" i="4" s="1"/>
  <c r="C355" i="4"/>
  <c r="C359" i="5" s="1"/>
  <c r="H355" i="3"/>
  <c r="G355" i="4" s="1"/>
  <c r="G355" i="3"/>
  <c r="F355" i="4" s="1"/>
  <c r="C291" i="4"/>
  <c r="C295" i="5" s="1"/>
  <c r="H291" i="3"/>
  <c r="G291" i="4" s="1"/>
  <c r="G291" i="3"/>
  <c r="F291" i="4" s="1"/>
  <c r="H200" i="3"/>
  <c r="G200" i="4" s="1"/>
  <c r="C200" i="4"/>
  <c r="C204" i="5" s="1"/>
  <c r="G200" i="3"/>
  <c r="F200" i="4" s="1"/>
  <c r="D222" i="4"/>
  <c r="D226" i="5" s="1"/>
  <c r="I222" i="3"/>
  <c r="H222" i="4" s="1"/>
  <c r="R369" i="5"/>
  <c r="J369" i="5"/>
  <c r="O369" i="5"/>
  <c r="G369" i="5"/>
  <c r="I369" i="5"/>
  <c r="S369" i="5"/>
  <c r="H369" i="5"/>
  <c r="Q369" i="5"/>
  <c r="F369" i="5"/>
  <c r="P369" i="5"/>
  <c r="N369" i="5"/>
  <c r="L369" i="5"/>
  <c r="K369" i="5"/>
  <c r="M369" i="5"/>
  <c r="D197" i="4"/>
  <c r="D201" i="5" s="1"/>
  <c r="I197" i="3"/>
  <c r="H197" i="4" s="1"/>
  <c r="H351" i="3"/>
  <c r="G351" i="4" s="1"/>
  <c r="C351" i="4"/>
  <c r="C355" i="5" s="1"/>
  <c r="G351" i="3"/>
  <c r="F351" i="4" s="1"/>
  <c r="H287" i="3"/>
  <c r="G287" i="4" s="1"/>
  <c r="C287" i="4"/>
  <c r="C291" i="5" s="1"/>
  <c r="G287" i="3"/>
  <c r="F287" i="4" s="1"/>
  <c r="I249" i="3"/>
  <c r="H249" i="4" s="1"/>
  <c r="D249" i="4"/>
  <c r="D253" i="5" s="1"/>
  <c r="D326" i="4"/>
  <c r="D330" i="5" s="1"/>
  <c r="I326" i="3"/>
  <c r="H326" i="4" s="1"/>
  <c r="R381" i="5"/>
  <c r="J381" i="5"/>
  <c r="Q381" i="5"/>
  <c r="I381" i="5"/>
  <c r="O381" i="5"/>
  <c r="G381" i="5"/>
  <c r="N381" i="5"/>
  <c r="F381" i="5"/>
  <c r="M381" i="5"/>
  <c r="L381" i="5"/>
  <c r="K381" i="5"/>
  <c r="S381" i="5"/>
  <c r="H381" i="5"/>
  <c r="P381" i="5"/>
  <c r="D207" i="4"/>
  <c r="D211" i="5" s="1"/>
  <c r="I207" i="3"/>
  <c r="H207" i="4" s="1"/>
  <c r="I282" i="3"/>
  <c r="H282" i="4" s="1"/>
  <c r="D282" i="4"/>
  <c r="D286" i="5" s="1"/>
  <c r="I352" i="3"/>
  <c r="H352" i="4" s="1"/>
  <c r="D352" i="4"/>
  <c r="D356" i="5" s="1"/>
  <c r="D190" i="4"/>
  <c r="D194" i="5" s="1"/>
  <c r="I190" i="3"/>
  <c r="H190" i="4" s="1"/>
  <c r="D23" i="4"/>
  <c r="D27" i="5" s="1"/>
  <c r="I23" i="3"/>
  <c r="H23" i="4" s="1"/>
  <c r="C401" i="4"/>
  <c r="C405" i="5" s="1"/>
  <c r="H401" i="3"/>
  <c r="G401" i="4" s="1"/>
  <c r="G401" i="3"/>
  <c r="F401" i="4" s="1"/>
  <c r="D7" i="4"/>
  <c r="I8" i="3"/>
  <c r="H7" i="4" s="1"/>
  <c r="O351" i="5"/>
  <c r="G351" i="5"/>
  <c r="N351" i="5"/>
  <c r="F351" i="5"/>
  <c r="M351" i="5"/>
  <c r="L351" i="5"/>
  <c r="K351" i="5"/>
  <c r="J351" i="5"/>
  <c r="R351" i="5"/>
  <c r="S351" i="5"/>
  <c r="Q351" i="5"/>
  <c r="I351" i="5"/>
  <c r="P351" i="5"/>
  <c r="H351" i="5"/>
  <c r="N287" i="5"/>
  <c r="F287" i="5"/>
  <c r="M287" i="5"/>
  <c r="L287" i="5"/>
  <c r="P287" i="5"/>
  <c r="H287" i="5"/>
  <c r="S287" i="5"/>
  <c r="R287" i="5"/>
  <c r="Q287" i="5"/>
  <c r="J287" i="5"/>
  <c r="K287" i="5"/>
  <c r="I287" i="5"/>
  <c r="O287" i="5"/>
  <c r="G287" i="5"/>
  <c r="D241" i="4"/>
  <c r="D245" i="5" s="1"/>
  <c r="I241" i="3"/>
  <c r="H241" i="4" s="1"/>
  <c r="C309" i="4"/>
  <c r="C313" i="5" s="1"/>
  <c r="H309" i="3"/>
  <c r="G309" i="4" s="1"/>
  <c r="G309" i="3"/>
  <c r="F309" i="4" s="1"/>
  <c r="D364" i="4"/>
  <c r="D368" i="5" s="1"/>
  <c r="I364" i="3"/>
  <c r="H364" i="4" s="1"/>
  <c r="C265" i="4"/>
  <c r="C269" i="5" s="1"/>
  <c r="H265" i="3"/>
  <c r="G265" i="4" s="1"/>
  <c r="G265" i="3"/>
  <c r="F265" i="4" s="1"/>
  <c r="D182" i="4"/>
  <c r="D186" i="5" s="1"/>
  <c r="I182" i="3"/>
  <c r="H182" i="4" s="1"/>
  <c r="D13" i="4"/>
  <c r="I15" i="3"/>
  <c r="H13" i="4" s="1"/>
  <c r="D374" i="4"/>
  <c r="D378" i="5" s="1"/>
  <c r="I374" i="3"/>
  <c r="H374" i="4" s="1"/>
  <c r="H386" i="3"/>
  <c r="G386" i="4" s="1"/>
  <c r="G386" i="3"/>
  <c r="F386" i="4" s="1"/>
  <c r="C386" i="4"/>
  <c r="C390" i="5" s="1"/>
  <c r="D274" i="4"/>
  <c r="D278" i="5" s="1"/>
  <c r="I274" i="3"/>
  <c r="H274" i="4" s="1"/>
  <c r="D24" i="4"/>
  <c r="D28" i="5" s="1"/>
  <c r="I24" i="3"/>
  <c r="H24" i="4" s="1"/>
  <c r="D233" i="4"/>
  <c r="D237" i="5" s="1"/>
  <c r="I233" i="3"/>
  <c r="H233" i="4" s="1"/>
  <c r="C181" i="4"/>
  <c r="C185" i="5" s="1"/>
  <c r="H181" i="3"/>
  <c r="G181" i="4" s="1"/>
  <c r="G181" i="3"/>
  <c r="F181" i="4" s="1"/>
  <c r="H220" i="3"/>
  <c r="G220" i="4" s="1"/>
  <c r="C220" i="4"/>
  <c r="C224" i="5" s="1"/>
  <c r="G220" i="3"/>
  <c r="F220" i="4" s="1"/>
  <c r="C325" i="4"/>
  <c r="C329" i="5" s="1"/>
  <c r="H325" i="3"/>
  <c r="G325" i="4" s="1"/>
  <c r="G325" i="3"/>
  <c r="F325" i="4" s="1"/>
  <c r="I346" i="3"/>
  <c r="H346" i="4" s="1"/>
  <c r="D346" i="4"/>
  <c r="D350" i="5" s="1"/>
  <c r="D370" i="4"/>
  <c r="D374" i="5" s="1"/>
  <c r="I370" i="3"/>
  <c r="H370" i="4" s="1"/>
  <c r="H257" i="3"/>
  <c r="G257" i="4" s="1"/>
  <c r="C257" i="4"/>
  <c r="C261" i="5" s="1"/>
  <c r="G257" i="3"/>
  <c r="F257" i="4" s="1"/>
  <c r="D32" i="4"/>
  <c r="D36" i="5" s="1"/>
  <c r="I32" i="3"/>
  <c r="H32" i="4" s="1"/>
  <c r="D79" i="4"/>
  <c r="D83" i="5" s="1"/>
  <c r="I79" i="3"/>
  <c r="H79" i="4" s="1"/>
  <c r="D175" i="4"/>
  <c r="D179" i="5" s="1"/>
  <c r="I175" i="3"/>
  <c r="H175" i="4" s="1"/>
  <c r="H294" i="3"/>
  <c r="G294" i="4" s="1"/>
  <c r="C294" i="4"/>
  <c r="C298" i="5" s="1"/>
  <c r="G294" i="3"/>
  <c r="F294" i="4" s="1"/>
  <c r="S341" i="5"/>
  <c r="K341" i="5"/>
  <c r="R341" i="5"/>
  <c r="J341" i="5"/>
  <c r="O341" i="5"/>
  <c r="N341" i="5"/>
  <c r="M341" i="5"/>
  <c r="G341" i="5"/>
  <c r="F341" i="5"/>
  <c r="I341" i="5"/>
  <c r="Q341" i="5"/>
  <c r="P341" i="5"/>
  <c r="L341" i="5"/>
  <c r="H341" i="5"/>
  <c r="D12" i="4"/>
  <c r="I14" i="3"/>
  <c r="H12" i="4" s="1"/>
  <c r="D43" i="4"/>
  <c r="D47" i="5" s="1"/>
  <c r="I43" i="3"/>
  <c r="H43" i="4" s="1"/>
  <c r="I264" i="3"/>
  <c r="H264" i="4" s="1"/>
  <c r="D264" i="4"/>
  <c r="D268" i="5" s="1"/>
  <c r="H314" i="3"/>
  <c r="G314" i="4" s="1"/>
  <c r="G314" i="3"/>
  <c r="F314" i="4" s="1"/>
  <c r="C314" i="4"/>
  <c r="C318" i="5" s="1"/>
  <c r="C221" i="4"/>
  <c r="C225" i="5" s="1"/>
  <c r="H221" i="3"/>
  <c r="G221" i="4" s="1"/>
  <c r="G221" i="3"/>
  <c r="F221" i="4" s="1"/>
  <c r="D122" i="4"/>
  <c r="D126" i="5" s="1"/>
  <c r="I122" i="3"/>
  <c r="H122" i="4" s="1"/>
  <c r="D153" i="4"/>
  <c r="D157" i="5" s="1"/>
  <c r="I153" i="3"/>
  <c r="H153" i="4" s="1"/>
  <c r="N307" i="5"/>
  <c r="F307" i="5"/>
  <c r="M307" i="5"/>
  <c r="L307" i="5"/>
  <c r="P307" i="5"/>
  <c r="H307" i="5"/>
  <c r="K307" i="5"/>
  <c r="J307" i="5"/>
  <c r="I307" i="5"/>
  <c r="R307" i="5"/>
  <c r="S307" i="5"/>
  <c r="Q307" i="5"/>
  <c r="O307" i="5"/>
  <c r="G307" i="5"/>
  <c r="C184" i="4"/>
  <c r="C188" i="5" s="1"/>
  <c r="H184" i="3"/>
  <c r="G184" i="4" s="1"/>
  <c r="G184" i="3"/>
  <c r="F184" i="4" s="1"/>
  <c r="S349" i="5"/>
  <c r="K349" i="5"/>
  <c r="R349" i="5"/>
  <c r="J349" i="5"/>
  <c r="Q349" i="5"/>
  <c r="I349" i="5"/>
  <c r="L349" i="5"/>
  <c r="H349" i="5"/>
  <c r="G349" i="5"/>
  <c r="O349" i="5"/>
  <c r="F349" i="5"/>
  <c r="N349" i="5"/>
  <c r="P349" i="5"/>
  <c r="M349" i="5"/>
  <c r="D185" i="4"/>
  <c r="D189" i="5" s="1"/>
  <c r="I185" i="3"/>
  <c r="H185" i="4" s="1"/>
  <c r="H236" i="3"/>
  <c r="G236" i="4" s="1"/>
  <c r="C236" i="4"/>
  <c r="C240" i="5" s="1"/>
  <c r="G236" i="3"/>
  <c r="F236" i="4" s="1"/>
  <c r="I320" i="3"/>
  <c r="H320" i="4" s="1"/>
  <c r="D320" i="4"/>
  <c r="D324" i="5" s="1"/>
  <c r="H353" i="3"/>
  <c r="G353" i="4" s="1"/>
  <c r="G353" i="3"/>
  <c r="F353" i="4" s="1"/>
  <c r="C353" i="4"/>
  <c r="C357" i="5" s="1"/>
  <c r="C381" i="4"/>
  <c r="C385" i="5" s="1"/>
  <c r="H381" i="3"/>
  <c r="G381" i="4" s="1"/>
  <c r="G381" i="3"/>
  <c r="F381" i="4" s="1"/>
  <c r="D231" i="4"/>
  <c r="D235" i="5" s="1"/>
  <c r="I231" i="3"/>
  <c r="H231" i="4" s="1"/>
  <c r="H337" i="3"/>
  <c r="G337" i="4" s="1"/>
  <c r="G337" i="3"/>
  <c r="F337" i="4" s="1"/>
  <c r="C337" i="4"/>
  <c r="C341" i="5" s="1"/>
  <c r="I314" i="3"/>
  <c r="H314" i="4" s="1"/>
  <c r="D314" i="4"/>
  <c r="D318" i="5" s="1"/>
  <c r="D221" i="4"/>
  <c r="D225" i="5" s="1"/>
  <c r="I221" i="3"/>
  <c r="H221" i="4" s="1"/>
  <c r="H322" i="3"/>
  <c r="G322" i="4" s="1"/>
  <c r="G322" i="3"/>
  <c r="F322" i="4" s="1"/>
  <c r="C322" i="4"/>
  <c r="C326" i="5" s="1"/>
  <c r="H290" i="3"/>
  <c r="G290" i="4" s="1"/>
  <c r="G290" i="3"/>
  <c r="F290" i="4" s="1"/>
  <c r="C290" i="4"/>
  <c r="C294" i="5" s="1"/>
  <c r="M119" i="5"/>
  <c r="L119" i="5"/>
  <c r="S119" i="5"/>
  <c r="K119" i="5"/>
  <c r="O119" i="5"/>
  <c r="G119" i="5"/>
  <c r="J119" i="5"/>
  <c r="Q119" i="5"/>
  <c r="P119" i="5"/>
  <c r="N119" i="5"/>
  <c r="I119" i="5"/>
  <c r="H119" i="5"/>
  <c r="R119" i="5"/>
  <c r="F119" i="5"/>
  <c r="S228" i="5"/>
  <c r="K228" i="5"/>
  <c r="R228" i="5"/>
  <c r="J228" i="5"/>
  <c r="Q228" i="5"/>
  <c r="I228" i="5"/>
  <c r="P228" i="5"/>
  <c r="H228" i="5"/>
  <c r="O228" i="5"/>
  <c r="N228" i="5"/>
  <c r="M228" i="5"/>
  <c r="F228" i="5"/>
  <c r="L228" i="5"/>
  <c r="G228" i="5"/>
  <c r="H246" i="3"/>
  <c r="G246" i="4" s="1"/>
  <c r="G246" i="3"/>
  <c r="F246" i="4" s="1"/>
  <c r="C246" i="4"/>
  <c r="C250" i="5" s="1"/>
  <c r="L320" i="5"/>
  <c r="S320" i="5"/>
  <c r="K320" i="5"/>
  <c r="R320" i="5"/>
  <c r="J320" i="5"/>
  <c r="N320" i="5"/>
  <c r="F320" i="5"/>
  <c r="Q320" i="5"/>
  <c r="P320" i="5"/>
  <c r="O320" i="5"/>
  <c r="H320" i="5"/>
  <c r="M320" i="5"/>
  <c r="I320" i="5"/>
  <c r="G320" i="5"/>
  <c r="I397" i="3"/>
  <c r="H397" i="4" s="1"/>
  <c r="D397" i="4"/>
  <c r="D401" i="5" s="1"/>
  <c r="H227" i="3"/>
  <c r="G227" i="4" s="1"/>
  <c r="C227" i="4"/>
  <c r="C231" i="5" s="1"/>
  <c r="G227" i="3"/>
  <c r="F227" i="4" s="1"/>
  <c r="H186" i="3"/>
  <c r="G186" i="4" s="1"/>
  <c r="G186" i="3"/>
  <c r="F186" i="4" s="1"/>
  <c r="C186" i="4"/>
  <c r="C190" i="5" s="1"/>
  <c r="S144" i="5"/>
  <c r="K144" i="5"/>
  <c r="R144" i="5"/>
  <c r="J144" i="5"/>
  <c r="Q144" i="5"/>
  <c r="I144" i="5"/>
  <c r="M144" i="5"/>
  <c r="H144" i="5"/>
  <c r="G144" i="5"/>
  <c r="F144" i="5"/>
  <c r="P144" i="5"/>
  <c r="O144" i="5"/>
  <c r="N144" i="5"/>
  <c r="L144" i="5"/>
  <c r="D195" i="4"/>
  <c r="D199" i="5" s="1"/>
  <c r="I195" i="3"/>
  <c r="H195" i="4" s="1"/>
  <c r="C183" i="4"/>
  <c r="C187" i="5" s="1"/>
  <c r="H183" i="3"/>
  <c r="G183" i="4" s="1"/>
  <c r="G183" i="3"/>
  <c r="F183" i="4" s="1"/>
  <c r="I385" i="3"/>
  <c r="H385" i="4" s="1"/>
  <c r="D385" i="4"/>
  <c r="D389" i="5" s="1"/>
  <c r="D176" i="4"/>
  <c r="D180" i="5" s="1"/>
  <c r="I176" i="3"/>
  <c r="H176" i="4" s="1"/>
  <c r="O222" i="5"/>
  <c r="G222" i="5"/>
  <c r="N222" i="5"/>
  <c r="F222" i="5"/>
  <c r="M222" i="5"/>
  <c r="L222" i="5"/>
  <c r="K222" i="5"/>
  <c r="J222" i="5"/>
  <c r="I222" i="5"/>
  <c r="R222" i="5"/>
  <c r="S222" i="5"/>
  <c r="Q222" i="5"/>
  <c r="P222" i="5"/>
  <c r="H222" i="5"/>
  <c r="C170" i="4"/>
  <c r="C174" i="5" s="1"/>
  <c r="H170" i="3"/>
  <c r="G170" i="4" s="1"/>
  <c r="G170" i="3"/>
  <c r="F170" i="4" s="1"/>
  <c r="L376" i="5"/>
  <c r="S376" i="5"/>
  <c r="K376" i="5"/>
  <c r="Q376" i="5"/>
  <c r="I376" i="5"/>
  <c r="R376" i="5"/>
  <c r="F376" i="5"/>
  <c r="P376" i="5"/>
  <c r="O376" i="5"/>
  <c r="H376" i="5"/>
  <c r="N376" i="5"/>
  <c r="M376" i="5"/>
  <c r="J376" i="5"/>
  <c r="G376" i="5"/>
  <c r="S124" i="5"/>
  <c r="K124" i="5"/>
  <c r="R124" i="5"/>
  <c r="J124" i="5"/>
  <c r="Q124" i="5"/>
  <c r="I124" i="5"/>
  <c r="M124" i="5"/>
  <c r="P124" i="5"/>
  <c r="O124" i="5"/>
  <c r="N124" i="5"/>
  <c r="F124" i="5"/>
  <c r="L124" i="5"/>
  <c r="H124" i="5"/>
  <c r="G124" i="5"/>
  <c r="L300" i="5"/>
  <c r="S300" i="5"/>
  <c r="K300" i="5"/>
  <c r="R300" i="5"/>
  <c r="J300" i="5"/>
  <c r="N300" i="5"/>
  <c r="F300" i="5"/>
  <c r="I300" i="5"/>
  <c r="H300" i="5"/>
  <c r="G300" i="5"/>
  <c r="P300" i="5"/>
  <c r="Q300" i="5"/>
  <c r="O300" i="5"/>
  <c r="M300" i="5"/>
  <c r="C194" i="4"/>
  <c r="C198" i="5" s="1"/>
  <c r="H194" i="3"/>
  <c r="G194" i="4" s="1"/>
  <c r="G194" i="3"/>
  <c r="F194" i="4" s="1"/>
  <c r="M155" i="5"/>
  <c r="L155" i="5"/>
  <c r="S155" i="5"/>
  <c r="K155" i="5"/>
  <c r="O155" i="5"/>
  <c r="G155" i="5"/>
  <c r="R155" i="5"/>
  <c r="Q155" i="5"/>
  <c r="P155" i="5"/>
  <c r="J155" i="5"/>
  <c r="N155" i="5"/>
  <c r="I155" i="5"/>
  <c r="H155" i="5"/>
  <c r="F155" i="5"/>
  <c r="D87" i="4"/>
  <c r="D91" i="5" s="1"/>
  <c r="I87" i="3"/>
  <c r="H87" i="4" s="1"/>
  <c r="C395" i="4"/>
  <c r="C399" i="5" s="1"/>
  <c r="H395" i="3"/>
  <c r="G395" i="4" s="1"/>
  <c r="G395" i="3"/>
  <c r="F395" i="4" s="1"/>
  <c r="C331" i="4"/>
  <c r="C335" i="5" s="1"/>
  <c r="H331" i="3"/>
  <c r="G331" i="4" s="1"/>
  <c r="G331" i="3"/>
  <c r="F331" i="4" s="1"/>
  <c r="C267" i="4"/>
  <c r="C271" i="5" s="1"/>
  <c r="H267" i="3"/>
  <c r="G267" i="4" s="1"/>
  <c r="G267" i="3"/>
  <c r="F267" i="4" s="1"/>
  <c r="D292" i="4"/>
  <c r="D296" i="5" s="1"/>
  <c r="I292" i="3"/>
  <c r="H292" i="4" s="1"/>
  <c r="M127" i="5"/>
  <c r="L127" i="5"/>
  <c r="S127" i="5"/>
  <c r="K127" i="5"/>
  <c r="O127" i="5"/>
  <c r="G127" i="5"/>
  <c r="J127" i="5"/>
  <c r="I127" i="5"/>
  <c r="H127" i="5"/>
  <c r="R127" i="5"/>
  <c r="Q127" i="5"/>
  <c r="P127" i="5"/>
  <c r="N127" i="5"/>
  <c r="F127" i="5"/>
  <c r="L400" i="5"/>
  <c r="S400" i="5"/>
  <c r="K400" i="5"/>
  <c r="Q400" i="5"/>
  <c r="I400" i="5"/>
  <c r="P400" i="5"/>
  <c r="H400" i="5"/>
  <c r="G400" i="5"/>
  <c r="F400" i="5"/>
  <c r="M400" i="5"/>
  <c r="R400" i="5"/>
  <c r="O400" i="5"/>
  <c r="N400" i="5"/>
  <c r="J400" i="5"/>
  <c r="D228" i="4"/>
  <c r="D232" i="5" s="1"/>
  <c r="I228" i="3"/>
  <c r="H228" i="4" s="1"/>
  <c r="C382" i="4"/>
  <c r="C386" i="5" s="1"/>
  <c r="H382" i="3"/>
  <c r="G382" i="4" s="1"/>
  <c r="G382" i="3"/>
  <c r="F382" i="4" s="1"/>
  <c r="O122" i="5"/>
  <c r="G122" i="5"/>
  <c r="N122" i="5"/>
  <c r="F122" i="5"/>
  <c r="M122" i="5"/>
  <c r="Q122" i="5"/>
  <c r="I122" i="5"/>
  <c r="S122" i="5"/>
  <c r="R122" i="5"/>
  <c r="L122" i="5"/>
  <c r="K122" i="5"/>
  <c r="J122" i="5"/>
  <c r="H122" i="5"/>
  <c r="P122" i="5"/>
  <c r="L264" i="5"/>
  <c r="S264" i="5"/>
  <c r="K264" i="5"/>
  <c r="R264" i="5"/>
  <c r="J264" i="5"/>
  <c r="M264" i="5"/>
  <c r="I264" i="5"/>
  <c r="H264" i="5"/>
  <c r="G264" i="5"/>
  <c r="F264" i="5"/>
  <c r="P264" i="5"/>
  <c r="O264" i="5"/>
  <c r="Q264" i="5"/>
  <c r="N264" i="5"/>
  <c r="M131" i="5"/>
  <c r="L131" i="5"/>
  <c r="S131" i="5"/>
  <c r="K131" i="5"/>
  <c r="O131" i="5"/>
  <c r="G131" i="5"/>
  <c r="R131" i="5"/>
  <c r="Q131" i="5"/>
  <c r="P131" i="5"/>
  <c r="J131" i="5"/>
  <c r="N131" i="5"/>
  <c r="I131" i="5"/>
  <c r="H131" i="5"/>
  <c r="F131" i="5"/>
  <c r="D200" i="4"/>
  <c r="D204" i="5" s="1"/>
  <c r="I200" i="3"/>
  <c r="H200" i="4" s="1"/>
  <c r="L288" i="5"/>
  <c r="S288" i="5"/>
  <c r="K288" i="5"/>
  <c r="R288" i="5"/>
  <c r="J288" i="5"/>
  <c r="N288" i="5"/>
  <c r="F288" i="5"/>
  <c r="Q288" i="5"/>
  <c r="P288" i="5"/>
  <c r="O288" i="5"/>
  <c r="H288" i="5"/>
  <c r="M288" i="5"/>
  <c r="I288" i="5"/>
  <c r="G288" i="5"/>
  <c r="I365" i="3"/>
  <c r="H365" i="4" s="1"/>
  <c r="D365" i="4"/>
  <c r="D369" i="5" s="1"/>
  <c r="L280" i="5"/>
  <c r="S280" i="5"/>
  <c r="K280" i="5"/>
  <c r="R280" i="5"/>
  <c r="J280" i="5"/>
  <c r="N280" i="5"/>
  <c r="F280" i="5"/>
  <c r="Q280" i="5"/>
  <c r="P280" i="5"/>
  <c r="O280" i="5"/>
  <c r="H280" i="5"/>
  <c r="I280" i="5"/>
  <c r="G280" i="5"/>
  <c r="M280" i="5"/>
  <c r="L308" i="5"/>
  <c r="S308" i="5"/>
  <c r="K308" i="5"/>
  <c r="R308" i="5"/>
  <c r="J308" i="5"/>
  <c r="N308" i="5"/>
  <c r="F308" i="5"/>
  <c r="I308" i="5"/>
  <c r="H308" i="5"/>
  <c r="G308" i="5"/>
  <c r="P308" i="5"/>
  <c r="Q308" i="5"/>
  <c r="O308" i="5"/>
  <c r="M308" i="5"/>
  <c r="M167" i="5"/>
  <c r="L167" i="5"/>
  <c r="S167" i="5"/>
  <c r="K167" i="5"/>
  <c r="P167" i="5"/>
  <c r="O167" i="5"/>
  <c r="N167" i="5"/>
  <c r="R167" i="5"/>
  <c r="G167" i="5"/>
  <c r="J167" i="5"/>
  <c r="Q167" i="5"/>
  <c r="I167" i="5"/>
  <c r="H167" i="5"/>
  <c r="F167" i="5"/>
  <c r="M135" i="5"/>
  <c r="L135" i="5"/>
  <c r="S135" i="5"/>
  <c r="K135" i="5"/>
  <c r="O135" i="5"/>
  <c r="G135" i="5"/>
  <c r="J135" i="5"/>
  <c r="I135" i="5"/>
  <c r="H135" i="5"/>
  <c r="R135" i="5"/>
  <c r="F135" i="5"/>
  <c r="Q135" i="5"/>
  <c r="P135" i="5"/>
  <c r="N135" i="5"/>
  <c r="I377" i="3"/>
  <c r="H377" i="4" s="1"/>
  <c r="D377" i="4"/>
  <c r="D381" i="5" s="1"/>
  <c r="R356" i="5"/>
  <c r="J356" i="5"/>
  <c r="P356" i="5"/>
  <c r="G356" i="5"/>
  <c r="O356" i="5"/>
  <c r="F356" i="5"/>
  <c r="N356" i="5"/>
  <c r="K356" i="5"/>
  <c r="I356" i="5"/>
  <c r="H356" i="5"/>
  <c r="Q356" i="5"/>
  <c r="S356" i="5"/>
  <c r="M356" i="5"/>
  <c r="L356" i="5"/>
  <c r="O194" i="5"/>
  <c r="G194" i="5"/>
  <c r="N194" i="5"/>
  <c r="F194" i="5"/>
  <c r="M194" i="5"/>
  <c r="R194" i="5"/>
  <c r="J194" i="5"/>
  <c r="L194" i="5"/>
  <c r="K194" i="5"/>
  <c r="I194" i="5"/>
  <c r="Q194" i="5"/>
  <c r="H194" i="5"/>
  <c r="S194" i="5"/>
  <c r="P194" i="5"/>
  <c r="S168" i="5"/>
  <c r="K168" i="5"/>
  <c r="R168" i="5"/>
  <c r="J168" i="5"/>
  <c r="Q168" i="5"/>
  <c r="I168" i="5"/>
  <c r="L168" i="5"/>
  <c r="H168" i="5"/>
  <c r="G168" i="5"/>
  <c r="N168" i="5"/>
  <c r="F168" i="5"/>
  <c r="P168" i="5"/>
  <c r="O168" i="5"/>
  <c r="M168" i="5"/>
  <c r="S136" i="5"/>
  <c r="K136" i="5"/>
  <c r="R136" i="5"/>
  <c r="J136" i="5"/>
  <c r="Q136" i="5"/>
  <c r="I136" i="5"/>
  <c r="M136" i="5"/>
  <c r="H136" i="5"/>
  <c r="G136" i="5"/>
  <c r="F136" i="5"/>
  <c r="P136" i="5"/>
  <c r="O136" i="5"/>
  <c r="N136" i="5"/>
  <c r="L136" i="5"/>
  <c r="L312" i="5"/>
  <c r="S312" i="5"/>
  <c r="K312" i="5"/>
  <c r="R312" i="5"/>
  <c r="J312" i="5"/>
  <c r="N312" i="5"/>
  <c r="F312" i="5"/>
  <c r="Q312" i="5"/>
  <c r="P312" i="5"/>
  <c r="O312" i="5"/>
  <c r="H312" i="5"/>
  <c r="I312" i="5"/>
  <c r="M312" i="5"/>
  <c r="G312" i="5"/>
  <c r="D401" i="4"/>
  <c r="D405" i="5" s="1"/>
  <c r="I401" i="3"/>
  <c r="H401" i="4" s="1"/>
  <c r="M151" i="5"/>
  <c r="L151" i="5"/>
  <c r="S151" i="5"/>
  <c r="K151" i="5"/>
  <c r="O151" i="5"/>
  <c r="G151" i="5"/>
  <c r="J151" i="5"/>
  <c r="I151" i="5"/>
  <c r="H151" i="5"/>
  <c r="R151" i="5"/>
  <c r="F151" i="5"/>
  <c r="Q151" i="5"/>
  <c r="P151" i="5"/>
  <c r="N151" i="5"/>
  <c r="C347" i="4"/>
  <c r="C351" i="5" s="1"/>
  <c r="H347" i="3"/>
  <c r="G347" i="4" s="1"/>
  <c r="G347" i="3"/>
  <c r="F347" i="4" s="1"/>
  <c r="C283" i="4"/>
  <c r="C287" i="5" s="1"/>
  <c r="H283" i="3"/>
  <c r="G283" i="4" s="1"/>
  <c r="G283" i="3"/>
  <c r="F283" i="4" s="1"/>
  <c r="D309" i="4"/>
  <c r="D313" i="5" s="1"/>
  <c r="I309" i="3"/>
  <c r="H309" i="4" s="1"/>
  <c r="R368" i="5"/>
  <c r="J368" i="5"/>
  <c r="P368" i="5"/>
  <c r="K368" i="5"/>
  <c r="I368" i="5"/>
  <c r="S368" i="5"/>
  <c r="H368" i="5"/>
  <c r="M368" i="5"/>
  <c r="Q368" i="5"/>
  <c r="O368" i="5"/>
  <c r="N368" i="5"/>
  <c r="F368" i="5"/>
  <c r="L368" i="5"/>
  <c r="G368" i="5"/>
  <c r="M207" i="5"/>
  <c r="L207" i="5"/>
  <c r="S207" i="5"/>
  <c r="K207" i="5"/>
  <c r="P207" i="5"/>
  <c r="H207" i="5"/>
  <c r="R207" i="5"/>
  <c r="Q207" i="5"/>
  <c r="O207" i="5"/>
  <c r="G207" i="5"/>
  <c r="N207" i="5"/>
  <c r="J207" i="5"/>
  <c r="I207" i="5"/>
  <c r="F207" i="5"/>
  <c r="I265" i="3"/>
  <c r="H265" i="4" s="1"/>
  <c r="D265" i="4"/>
  <c r="D269" i="5" s="1"/>
  <c r="C350" i="4"/>
  <c r="C354" i="5" s="1"/>
  <c r="H350" i="3"/>
  <c r="G350" i="4" s="1"/>
  <c r="G350" i="3"/>
  <c r="F350" i="4" s="1"/>
  <c r="O186" i="5"/>
  <c r="G186" i="5"/>
  <c r="N186" i="5"/>
  <c r="F186" i="5"/>
  <c r="M186" i="5"/>
  <c r="R186" i="5"/>
  <c r="J186" i="5"/>
  <c r="L186" i="5"/>
  <c r="K186" i="5"/>
  <c r="I186" i="5"/>
  <c r="Q186" i="5"/>
  <c r="S186" i="5"/>
  <c r="H186" i="5"/>
  <c r="P186" i="5"/>
  <c r="O166" i="5"/>
  <c r="G166" i="5"/>
  <c r="N166" i="5"/>
  <c r="F166" i="5"/>
  <c r="M166" i="5"/>
  <c r="I166" i="5"/>
  <c r="S166" i="5"/>
  <c r="H166" i="5"/>
  <c r="R166" i="5"/>
  <c r="K166" i="5"/>
  <c r="Q166" i="5"/>
  <c r="P166" i="5"/>
  <c r="L166" i="5"/>
  <c r="J166" i="5"/>
  <c r="O134" i="5"/>
  <c r="G134" i="5"/>
  <c r="N134" i="5"/>
  <c r="F134" i="5"/>
  <c r="M134" i="5"/>
  <c r="Q134" i="5"/>
  <c r="I134" i="5"/>
  <c r="L134" i="5"/>
  <c r="K134" i="5"/>
  <c r="J134" i="5"/>
  <c r="S134" i="5"/>
  <c r="R134" i="5"/>
  <c r="P134" i="5"/>
  <c r="H134" i="5"/>
  <c r="I386" i="3"/>
  <c r="H386" i="4" s="1"/>
  <c r="D386" i="4"/>
  <c r="D390" i="5" s="1"/>
  <c r="L392" i="5"/>
  <c r="S392" i="5"/>
  <c r="K392" i="5"/>
  <c r="Q392" i="5"/>
  <c r="I392" i="5"/>
  <c r="P392" i="5"/>
  <c r="H392" i="5"/>
  <c r="G392" i="5"/>
  <c r="F392" i="5"/>
  <c r="M392" i="5"/>
  <c r="N392" i="5"/>
  <c r="R392" i="5"/>
  <c r="O392" i="5"/>
  <c r="J392" i="5"/>
  <c r="M147" i="5"/>
  <c r="L147" i="5"/>
  <c r="S147" i="5"/>
  <c r="K147" i="5"/>
  <c r="O147" i="5"/>
  <c r="G147" i="5"/>
  <c r="R147" i="5"/>
  <c r="Q147" i="5"/>
  <c r="P147" i="5"/>
  <c r="J147" i="5"/>
  <c r="N147" i="5"/>
  <c r="I147" i="5"/>
  <c r="H147" i="5"/>
  <c r="F147" i="5"/>
  <c r="Q125" i="5"/>
  <c r="I125" i="5"/>
  <c r="P125" i="5"/>
  <c r="H125" i="5"/>
  <c r="O125" i="5"/>
  <c r="G125" i="5"/>
  <c r="S125" i="5"/>
  <c r="K125" i="5"/>
  <c r="N125" i="5"/>
  <c r="M125" i="5"/>
  <c r="L125" i="5"/>
  <c r="J125" i="5"/>
  <c r="F125" i="5"/>
  <c r="R125" i="5"/>
  <c r="Q153" i="5"/>
  <c r="I153" i="5"/>
  <c r="P153" i="5"/>
  <c r="H153" i="5"/>
  <c r="O153" i="5"/>
  <c r="G153" i="5"/>
  <c r="S153" i="5"/>
  <c r="K153" i="5"/>
  <c r="F153" i="5"/>
  <c r="N153" i="5"/>
  <c r="R153" i="5"/>
  <c r="M153" i="5"/>
  <c r="L153" i="5"/>
  <c r="J153" i="5"/>
  <c r="O347" i="5"/>
  <c r="G347" i="5"/>
  <c r="N347" i="5"/>
  <c r="F347" i="5"/>
  <c r="M347" i="5"/>
  <c r="I347" i="5"/>
  <c r="S347" i="5"/>
  <c r="H347" i="5"/>
  <c r="R347" i="5"/>
  <c r="L347" i="5"/>
  <c r="Q347" i="5"/>
  <c r="P347" i="5"/>
  <c r="K347" i="5"/>
  <c r="J347" i="5"/>
  <c r="H362" i="3"/>
  <c r="G362" i="4" s="1"/>
  <c r="G362" i="3"/>
  <c r="F362" i="4" s="1"/>
  <c r="C362" i="4"/>
  <c r="C366" i="5" s="1"/>
  <c r="D181" i="4"/>
  <c r="D185" i="5" s="1"/>
  <c r="I181" i="3"/>
  <c r="H181" i="4" s="1"/>
  <c r="D220" i="4"/>
  <c r="D224" i="5" s="1"/>
  <c r="I220" i="3"/>
  <c r="H220" i="4" s="1"/>
  <c r="I325" i="3"/>
  <c r="H325" i="4" s="1"/>
  <c r="D325" i="4"/>
  <c r="D329" i="5" s="1"/>
  <c r="S148" i="5"/>
  <c r="K148" i="5"/>
  <c r="R148" i="5"/>
  <c r="J148" i="5"/>
  <c r="Q148" i="5"/>
  <c r="I148" i="5"/>
  <c r="M148" i="5"/>
  <c r="P148" i="5"/>
  <c r="O148" i="5"/>
  <c r="N148" i="5"/>
  <c r="H148" i="5"/>
  <c r="L148" i="5"/>
  <c r="G148" i="5"/>
  <c r="F148" i="5"/>
  <c r="I257" i="3"/>
  <c r="H257" i="4" s="1"/>
  <c r="D257" i="4"/>
  <c r="D261" i="5" s="1"/>
  <c r="M179" i="5"/>
  <c r="L179" i="5"/>
  <c r="S179" i="5"/>
  <c r="K179" i="5"/>
  <c r="P179" i="5"/>
  <c r="H179" i="5"/>
  <c r="J179" i="5"/>
  <c r="I179" i="5"/>
  <c r="G179" i="5"/>
  <c r="O179" i="5"/>
  <c r="R179" i="5"/>
  <c r="Q179" i="5"/>
  <c r="F179" i="5"/>
  <c r="N179" i="5"/>
  <c r="C339" i="4"/>
  <c r="C343" i="5" s="1"/>
  <c r="H339" i="3"/>
  <c r="G339" i="4" s="1"/>
  <c r="G339" i="3"/>
  <c r="F339" i="4" s="1"/>
  <c r="C275" i="4"/>
  <c r="C279" i="5" s="1"/>
  <c r="H275" i="3"/>
  <c r="G275" i="4" s="1"/>
  <c r="G275" i="3"/>
  <c r="F275" i="4" s="1"/>
  <c r="D294" i="4"/>
  <c r="D298" i="5" s="1"/>
  <c r="I294" i="3"/>
  <c r="H294" i="4" s="1"/>
  <c r="H369" i="3"/>
  <c r="G369" i="4" s="1"/>
  <c r="C369" i="4"/>
  <c r="C373" i="5" s="1"/>
  <c r="G369" i="3"/>
  <c r="F369" i="4" s="1"/>
  <c r="H334" i="3"/>
  <c r="G334" i="4" s="1"/>
  <c r="G334" i="3"/>
  <c r="F334" i="4" s="1"/>
  <c r="C334" i="4"/>
  <c r="C338" i="5" s="1"/>
  <c r="D39" i="4"/>
  <c r="D43" i="5" s="1"/>
  <c r="I39" i="3"/>
  <c r="H39" i="4" s="1"/>
  <c r="C317" i="4"/>
  <c r="C321" i="5" s="1"/>
  <c r="H317" i="3"/>
  <c r="G317" i="4" s="1"/>
  <c r="G317" i="3"/>
  <c r="F317" i="4" s="1"/>
  <c r="C367" i="4"/>
  <c r="C371" i="5" s="1"/>
  <c r="H367" i="3"/>
  <c r="G367" i="4" s="1"/>
  <c r="G367" i="3"/>
  <c r="F367" i="4" s="1"/>
  <c r="C303" i="4"/>
  <c r="C307" i="5" s="1"/>
  <c r="H303" i="3"/>
  <c r="G303" i="4" s="1"/>
  <c r="G303" i="3"/>
  <c r="F303" i="4" s="1"/>
  <c r="R364" i="5"/>
  <c r="J364" i="5"/>
  <c r="S364" i="5"/>
  <c r="I364" i="5"/>
  <c r="Q364" i="5"/>
  <c r="H364" i="5"/>
  <c r="P364" i="5"/>
  <c r="G364" i="5"/>
  <c r="L364" i="5"/>
  <c r="O364" i="5"/>
  <c r="N364" i="5"/>
  <c r="M364" i="5"/>
  <c r="K364" i="5"/>
  <c r="F364" i="5"/>
  <c r="D184" i="4"/>
  <c r="D188" i="5" s="1"/>
  <c r="I184" i="3"/>
  <c r="H184" i="4" s="1"/>
  <c r="O246" i="5"/>
  <c r="G246" i="5"/>
  <c r="N246" i="5"/>
  <c r="F246" i="5"/>
  <c r="M246" i="5"/>
  <c r="L246" i="5"/>
  <c r="K246" i="5"/>
  <c r="J246" i="5"/>
  <c r="I246" i="5"/>
  <c r="R246" i="5"/>
  <c r="H246" i="5"/>
  <c r="Q246" i="5"/>
  <c r="S246" i="5"/>
  <c r="P246" i="5"/>
  <c r="Q129" i="5"/>
  <c r="I129" i="5"/>
  <c r="P129" i="5"/>
  <c r="H129" i="5"/>
  <c r="O129" i="5"/>
  <c r="G129" i="5"/>
  <c r="S129" i="5"/>
  <c r="K129" i="5"/>
  <c r="F129" i="5"/>
  <c r="N129" i="5"/>
  <c r="R129" i="5"/>
  <c r="M129" i="5"/>
  <c r="L129" i="5"/>
  <c r="J129" i="5"/>
  <c r="Q141" i="5"/>
  <c r="I141" i="5"/>
  <c r="P141" i="5"/>
  <c r="H141" i="5"/>
  <c r="O141" i="5"/>
  <c r="G141" i="5"/>
  <c r="S141" i="5"/>
  <c r="K141" i="5"/>
  <c r="N141" i="5"/>
  <c r="M141" i="5"/>
  <c r="L141" i="5"/>
  <c r="F141" i="5"/>
  <c r="R141" i="5"/>
  <c r="J141" i="5"/>
  <c r="K7" i="5"/>
  <c r="Q7" i="5"/>
  <c r="I7" i="5"/>
  <c r="J7" i="5"/>
  <c r="L7" i="5"/>
  <c r="R7" i="5"/>
  <c r="M340" i="5"/>
  <c r="L340" i="5"/>
  <c r="K340" i="5"/>
  <c r="J340" i="5"/>
  <c r="S340" i="5"/>
  <c r="I340" i="5"/>
  <c r="G340" i="5"/>
  <c r="F340" i="5"/>
  <c r="R340" i="5"/>
  <c r="N340" i="5"/>
  <c r="P340" i="5"/>
  <c r="Q340" i="5"/>
  <c r="H340" i="5"/>
  <c r="O340" i="5"/>
  <c r="M159" i="5"/>
  <c r="L159" i="5"/>
  <c r="S159" i="5"/>
  <c r="K159" i="5"/>
  <c r="O159" i="5"/>
  <c r="G159" i="5"/>
  <c r="J159" i="5"/>
  <c r="I159" i="5"/>
  <c r="H159" i="5"/>
  <c r="R159" i="5"/>
  <c r="Q159" i="5"/>
  <c r="P159" i="5"/>
  <c r="N159" i="5"/>
  <c r="F159" i="5"/>
  <c r="Q173" i="5"/>
  <c r="I173" i="5"/>
  <c r="P173" i="5"/>
  <c r="H173" i="5"/>
  <c r="O173" i="5"/>
  <c r="G173" i="5"/>
  <c r="L173" i="5"/>
  <c r="F173" i="5"/>
  <c r="S173" i="5"/>
  <c r="K173" i="5"/>
  <c r="R173" i="5"/>
  <c r="N173" i="5"/>
  <c r="M173" i="5"/>
  <c r="J173" i="5"/>
  <c r="S163" i="5"/>
  <c r="M163" i="5"/>
  <c r="L163" i="5"/>
  <c r="K163" i="5"/>
  <c r="O163" i="5"/>
  <c r="G163" i="5"/>
  <c r="R163" i="5"/>
  <c r="Q163" i="5"/>
  <c r="P163" i="5"/>
  <c r="J163" i="5"/>
  <c r="N163" i="5"/>
  <c r="I163" i="5"/>
  <c r="H163" i="5"/>
  <c r="F163" i="5"/>
  <c r="S164" i="5"/>
  <c r="K164" i="5"/>
  <c r="R164" i="5"/>
  <c r="J164" i="5"/>
  <c r="Q164" i="5"/>
  <c r="I164" i="5"/>
  <c r="F164" i="5"/>
  <c r="P164" i="5"/>
  <c r="O164" i="5"/>
  <c r="H164" i="5"/>
  <c r="N164" i="5"/>
  <c r="M164" i="5"/>
  <c r="L164" i="5"/>
  <c r="G164" i="5"/>
  <c r="P353" i="5"/>
  <c r="H353" i="5"/>
  <c r="O353" i="5"/>
  <c r="F353" i="5"/>
  <c r="N353" i="5"/>
  <c r="M353" i="5"/>
  <c r="G353" i="5"/>
  <c r="S353" i="5"/>
  <c r="R353" i="5"/>
  <c r="K353" i="5"/>
  <c r="Q353" i="5"/>
  <c r="L353" i="5"/>
  <c r="J353" i="5"/>
  <c r="I353" i="5"/>
  <c r="I81" i="3"/>
  <c r="H81" i="4" s="1"/>
  <c r="D81" i="4"/>
  <c r="D85" i="5" s="1"/>
  <c r="D128" i="4"/>
  <c r="D132" i="5" s="1"/>
  <c r="I128" i="3"/>
  <c r="H128" i="4" s="1"/>
  <c r="D129" i="4"/>
  <c r="D133" i="5" s="1"/>
  <c r="I129" i="3"/>
  <c r="H129" i="4" s="1"/>
  <c r="H208" i="3"/>
  <c r="G208" i="4" s="1"/>
  <c r="C208" i="4"/>
  <c r="C212" i="5" s="1"/>
  <c r="G208" i="3"/>
  <c r="F208" i="4" s="1"/>
  <c r="D341" i="4"/>
  <c r="D345" i="5" s="1"/>
  <c r="I341" i="3"/>
  <c r="H341" i="4" s="1"/>
  <c r="I297" i="3"/>
  <c r="H297" i="4" s="1"/>
  <c r="D297" i="4"/>
  <c r="D301" i="5" s="1"/>
  <c r="Q332" i="5"/>
  <c r="I332" i="5"/>
  <c r="P332" i="5"/>
  <c r="H332" i="5"/>
  <c r="O332" i="5"/>
  <c r="G332" i="5"/>
  <c r="M332" i="5"/>
  <c r="L332" i="5"/>
  <c r="K332" i="5"/>
  <c r="R332" i="5"/>
  <c r="J332" i="5"/>
  <c r="F332" i="5"/>
  <c r="S332" i="5"/>
  <c r="N332" i="5"/>
  <c r="C394" i="4"/>
  <c r="C398" i="5" s="1"/>
  <c r="H394" i="3"/>
  <c r="G394" i="4" s="1"/>
  <c r="G394" i="3"/>
  <c r="F394" i="4" s="1"/>
  <c r="C175" i="4"/>
  <c r="C179" i="5" s="1"/>
  <c r="G175" i="3"/>
  <c r="F175" i="4" s="1"/>
  <c r="H175" i="3"/>
  <c r="G175" i="4" s="1"/>
  <c r="H225" i="3"/>
  <c r="G225" i="4" s="1"/>
  <c r="C225" i="4"/>
  <c r="C229" i="5" s="1"/>
  <c r="G225" i="3"/>
  <c r="F225" i="4" s="1"/>
  <c r="I345" i="3"/>
  <c r="H345" i="4" s="1"/>
  <c r="D345" i="4"/>
  <c r="D349" i="5" s="1"/>
  <c r="Q189" i="5"/>
  <c r="I189" i="5"/>
  <c r="P189" i="5"/>
  <c r="H189" i="5"/>
  <c r="O189" i="5"/>
  <c r="G189" i="5"/>
  <c r="L189" i="5"/>
  <c r="F189" i="5"/>
  <c r="S189" i="5"/>
  <c r="K189" i="5"/>
  <c r="R189" i="5"/>
  <c r="N189" i="5"/>
  <c r="M189" i="5"/>
  <c r="J189" i="5"/>
  <c r="I236" i="3"/>
  <c r="H236" i="4" s="1"/>
  <c r="D236" i="4"/>
  <c r="D240" i="5" s="1"/>
  <c r="Q324" i="5"/>
  <c r="I324" i="5"/>
  <c r="P324" i="5"/>
  <c r="H324" i="5"/>
  <c r="O324" i="5"/>
  <c r="G324" i="5"/>
  <c r="R324" i="5"/>
  <c r="N324" i="5"/>
  <c r="M324" i="5"/>
  <c r="F324" i="5"/>
  <c r="K324" i="5"/>
  <c r="S324" i="5"/>
  <c r="L324" i="5"/>
  <c r="J324" i="5"/>
  <c r="L404" i="5"/>
  <c r="S404" i="5"/>
  <c r="K404" i="5"/>
  <c r="Q404" i="5"/>
  <c r="I404" i="5"/>
  <c r="P404" i="5"/>
  <c r="H404" i="5"/>
  <c r="O404" i="5"/>
  <c r="N404" i="5"/>
  <c r="M404" i="5"/>
  <c r="J404" i="5"/>
  <c r="G404" i="5"/>
  <c r="F404" i="5"/>
  <c r="R404" i="5"/>
  <c r="O162" i="5"/>
  <c r="G162" i="5"/>
  <c r="N162" i="5"/>
  <c r="F162" i="5"/>
  <c r="M162" i="5"/>
  <c r="Q162" i="5"/>
  <c r="I162" i="5"/>
  <c r="S162" i="5"/>
  <c r="R162" i="5"/>
  <c r="L162" i="5"/>
  <c r="P162" i="5"/>
  <c r="K162" i="5"/>
  <c r="J162" i="5"/>
  <c r="H162" i="5"/>
  <c r="O130" i="5"/>
  <c r="G130" i="5"/>
  <c r="N130" i="5"/>
  <c r="F130" i="5"/>
  <c r="M130" i="5"/>
  <c r="Q130" i="5"/>
  <c r="I130" i="5"/>
  <c r="S130" i="5"/>
  <c r="R130" i="5"/>
  <c r="L130" i="5"/>
  <c r="P130" i="5"/>
  <c r="K130" i="5"/>
  <c r="J130" i="5"/>
  <c r="H130" i="5"/>
  <c r="I353" i="3"/>
  <c r="H353" i="4" s="1"/>
  <c r="D353" i="4"/>
  <c r="D357" i="5" s="1"/>
  <c r="I369" i="3"/>
  <c r="H369" i="4" s="1"/>
  <c r="D369" i="4"/>
  <c r="D373" i="5" s="1"/>
  <c r="M348" i="5"/>
  <c r="L348" i="5"/>
  <c r="S348" i="5"/>
  <c r="K348" i="5"/>
  <c r="P348" i="5"/>
  <c r="O348" i="5"/>
  <c r="N348" i="5"/>
  <c r="H348" i="5"/>
  <c r="R348" i="5"/>
  <c r="G348" i="5"/>
  <c r="J348" i="5"/>
  <c r="Q348" i="5"/>
  <c r="I348" i="5"/>
  <c r="F348" i="5"/>
  <c r="D381" i="4"/>
  <c r="D385" i="5" s="1"/>
  <c r="I381" i="3"/>
  <c r="H381" i="4" s="1"/>
  <c r="I337" i="3"/>
  <c r="H337" i="4" s="1"/>
  <c r="D337" i="4"/>
  <c r="D341" i="5" s="1"/>
  <c r="S268" i="5"/>
  <c r="R268" i="5"/>
  <c r="N268" i="5"/>
  <c r="L268" i="5"/>
  <c r="K268" i="5"/>
  <c r="J268" i="5"/>
  <c r="P268" i="5"/>
  <c r="Q268" i="5"/>
  <c r="O268" i="5"/>
  <c r="M268" i="5"/>
  <c r="I268" i="5"/>
  <c r="H268" i="5"/>
  <c r="G268" i="5"/>
  <c r="F268" i="5"/>
  <c r="Q225" i="5"/>
  <c r="I225" i="5"/>
  <c r="P225" i="5"/>
  <c r="H225" i="5"/>
  <c r="O225" i="5"/>
  <c r="G225" i="5"/>
  <c r="N225" i="5"/>
  <c r="F225" i="5"/>
  <c r="S225" i="5"/>
  <c r="L225" i="5"/>
  <c r="K225" i="5"/>
  <c r="R225" i="5"/>
  <c r="M225" i="5"/>
  <c r="J225" i="5"/>
  <c r="O126" i="5"/>
  <c r="G126" i="5"/>
  <c r="N126" i="5"/>
  <c r="F126" i="5"/>
  <c r="M126" i="5"/>
  <c r="Q126" i="5"/>
  <c r="I126" i="5"/>
  <c r="L126" i="5"/>
  <c r="K126" i="5"/>
  <c r="J126" i="5"/>
  <c r="S126" i="5"/>
  <c r="R126" i="5"/>
  <c r="P126" i="5"/>
  <c r="H126" i="5"/>
  <c r="I322" i="3"/>
  <c r="H322" i="4" s="1"/>
  <c r="D322" i="4"/>
  <c r="D326" i="5" s="1"/>
  <c r="D334" i="4"/>
  <c r="D338" i="5" s="1"/>
  <c r="I334" i="3"/>
  <c r="H334" i="4" s="1"/>
  <c r="I290" i="3"/>
  <c r="H290" i="4" s="1"/>
  <c r="D290" i="4"/>
  <c r="D294" i="5" s="1"/>
  <c r="Q165" i="5"/>
  <c r="I165" i="5"/>
  <c r="P165" i="5"/>
  <c r="H165" i="5"/>
  <c r="O165" i="5"/>
  <c r="G165" i="5"/>
  <c r="M165" i="5"/>
  <c r="L165" i="5"/>
  <c r="K165" i="5"/>
  <c r="R165" i="5"/>
  <c r="J165" i="5"/>
  <c r="F165" i="5"/>
  <c r="S165" i="5"/>
  <c r="N165" i="5"/>
  <c r="Q161" i="5"/>
  <c r="I161" i="5"/>
  <c r="P161" i="5"/>
  <c r="H161" i="5"/>
  <c r="O161" i="5"/>
  <c r="G161" i="5"/>
  <c r="S161" i="5"/>
  <c r="K161" i="5"/>
  <c r="F161" i="5"/>
  <c r="N161" i="5"/>
  <c r="R161" i="5"/>
  <c r="M161" i="5"/>
  <c r="L161" i="5"/>
  <c r="J161" i="5"/>
  <c r="S140" i="5"/>
  <c r="K140" i="5"/>
  <c r="R140" i="5"/>
  <c r="J140" i="5"/>
  <c r="Q140" i="5"/>
  <c r="I140" i="5"/>
  <c r="M140" i="5"/>
  <c r="P140" i="5"/>
  <c r="O140" i="5"/>
  <c r="N140" i="5"/>
  <c r="H140" i="5"/>
  <c r="L140" i="5"/>
  <c r="G140" i="5"/>
  <c r="F140" i="5"/>
  <c r="I317" i="3"/>
  <c r="H317" i="4" s="1"/>
  <c r="D317" i="4"/>
  <c r="D321" i="5" s="1"/>
  <c r="Q157" i="5"/>
  <c r="I157" i="5"/>
  <c r="P157" i="5"/>
  <c r="H157" i="5"/>
  <c r="O157" i="5"/>
  <c r="G157" i="5"/>
  <c r="S157" i="5"/>
  <c r="K157" i="5"/>
  <c r="N157" i="5"/>
  <c r="M157" i="5"/>
  <c r="L157" i="5"/>
  <c r="F157" i="5"/>
  <c r="R157" i="5"/>
  <c r="J157" i="5"/>
  <c r="O154" i="5"/>
  <c r="G154" i="5"/>
  <c r="N154" i="5"/>
  <c r="F154" i="5"/>
  <c r="M154" i="5"/>
  <c r="Q154" i="5"/>
  <c r="I154" i="5"/>
  <c r="S154" i="5"/>
  <c r="R154" i="5"/>
  <c r="L154" i="5"/>
  <c r="P154" i="5"/>
  <c r="K154" i="5"/>
  <c r="J154" i="5"/>
  <c r="H154" i="5"/>
  <c r="C51" i="4"/>
  <c r="C55" i="5" s="1"/>
  <c r="G51" i="3"/>
  <c r="F51" i="4" s="1"/>
  <c r="H51" i="3"/>
  <c r="G51" i="4" s="1"/>
  <c r="C115" i="4"/>
  <c r="C119" i="5" s="1"/>
  <c r="G115" i="3"/>
  <c r="F115" i="4" s="1"/>
  <c r="H115" i="3"/>
  <c r="G115" i="4" s="1"/>
  <c r="I367" i="3"/>
  <c r="H367" i="4" s="1"/>
  <c r="D367" i="4"/>
  <c r="D371" i="5" s="1"/>
  <c r="I303" i="3"/>
  <c r="H303" i="4" s="1"/>
  <c r="D303" i="4"/>
  <c r="D307" i="5" s="1"/>
  <c r="H224" i="3"/>
  <c r="G224" i="4" s="1"/>
  <c r="C224" i="4"/>
  <c r="C228" i="5" s="1"/>
  <c r="G224" i="3"/>
  <c r="F224" i="4" s="1"/>
  <c r="H360" i="3"/>
  <c r="G360" i="4" s="1"/>
  <c r="C360" i="4"/>
  <c r="C364" i="5" s="1"/>
  <c r="G360" i="3"/>
  <c r="F360" i="4" s="1"/>
  <c r="O250" i="5"/>
  <c r="G250" i="5"/>
  <c r="N250" i="5"/>
  <c r="F250" i="5"/>
  <c r="M250" i="5"/>
  <c r="L250" i="5"/>
  <c r="S250" i="5"/>
  <c r="R250" i="5"/>
  <c r="Q250" i="5"/>
  <c r="J250" i="5"/>
  <c r="I250" i="5"/>
  <c r="P250" i="5"/>
  <c r="K250" i="5"/>
  <c r="H250" i="5"/>
  <c r="H316" i="3"/>
  <c r="G316" i="4" s="1"/>
  <c r="C316" i="4"/>
  <c r="C320" i="5" s="1"/>
  <c r="G316" i="3"/>
  <c r="F316" i="4" s="1"/>
  <c r="D227" i="4"/>
  <c r="D231" i="5" s="1"/>
  <c r="I227" i="3"/>
  <c r="H227" i="4" s="1"/>
  <c r="G140" i="3"/>
  <c r="F140" i="4" s="1"/>
  <c r="C140" i="4"/>
  <c r="C144" i="5" s="1"/>
  <c r="H140" i="3"/>
  <c r="G140" i="4" s="1"/>
  <c r="G108" i="3"/>
  <c r="F108" i="4" s="1"/>
  <c r="C108" i="4"/>
  <c r="C112" i="5" s="1"/>
  <c r="H108" i="3"/>
  <c r="G108" i="4" s="1"/>
  <c r="G76" i="3"/>
  <c r="F76" i="4" s="1"/>
  <c r="C76" i="4"/>
  <c r="C80" i="5" s="1"/>
  <c r="H76" i="3"/>
  <c r="G76" i="4" s="1"/>
  <c r="C44" i="4"/>
  <c r="C48" i="5" s="1"/>
  <c r="G44" i="3"/>
  <c r="F44" i="4" s="1"/>
  <c r="H44" i="3"/>
  <c r="G44" i="4" s="1"/>
  <c r="C34" i="4"/>
  <c r="C38" i="5" s="1"/>
  <c r="G34" i="3"/>
  <c r="F34" i="4" s="1"/>
  <c r="H34" i="3"/>
  <c r="G34" i="4" s="1"/>
  <c r="P282" i="5"/>
  <c r="H282" i="5"/>
  <c r="O282" i="5"/>
  <c r="G282" i="5"/>
  <c r="N282" i="5"/>
  <c r="F282" i="5"/>
  <c r="R282" i="5"/>
  <c r="J282" i="5"/>
  <c r="M282" i="5"/>
  <c r="L282" i="5"/>
  <c r="K282" i="5"/>
  <c r="S282" i="5"/>
  <c r="Q282" i="5"/>
  <c r="I282" i="5"/>
  <c r="G41" i="3"/>
  <c r="F41" i="4" s="1"/>
  <c r="C41" i="4"/>
  <c r="C45" i="5" s="1"/>
  <c r="H41" i="3"/>
  <c r="G41" i="4" s="1"/>
  <c r="C85" i="4"/>
  <c r="C89" i="5" s="1"/>
  <c r="G85" i="3"/>
  <c r="F85" i="4" s="1"/>
  <c r="H85" i="3"/>
  <c r="G85" i="4" s="1"/>
  <c r="C242" i="4"/>
  <c r="C246" i="5" s="1"/>
  <c r="H242" i="3"/>
  <c r="G242" i="4" s="1"/>
  <c r="G242" i="3"/>
  <c r="F242" i="4" s="1"/>
  <c r="C125" i="4"/>
  <c r="C129" i="5" s="1"/>
  <c r="G125" i="3"/>
  <c r="F125" i="4" s="1"/>
  <c r="H125" i="3"/>
  <c r="G125" i="4" s="1"/>
  <c r="S220" i="5"/>
  <c r="K220" i="5"/>
  <c r="R220" i="5"/>
  <c r="J220" i="5"/>
  <c r="Q220" i="5"/>
  <c r="I220" i="5"/>
  <c r="P220" i="5"/>
  <c r="H220" i="5"/>
  <c r="O220" i="5"/>
  <c r="N220" i="5"/>
  <c r="M220" i="5"/>
  <c r="F220" i="5"/>
  <c r="L220" i="5"/>
  <c r="G220" i="5"/>
  <c r="C218" i="4"/>
  <c r="C222" i="5" s="1"/>
  <c r="H218" i="3"/>
  <c r="G218" i="4" s="1"/>
  <c r="G218" i="3"/>
  <c r="F218" i="4" s="1"/>
  <c r="C106" i="4"/>
  <c r="C110" i="5" s="1"/>
  <c r="G106" i="3"/>
  <c r="F106" i="4" s="1"/>
  <c r="H106" i="3"/>
  <c r="G106" i="4" s="1"/>
  <c r="G36" i="3"/>
  <c r="F36" i="4" s="1"/>
  <c r="C36" i="4"/>
  <c r="C40" i="5" s="1"/>
  <c r="H36" i="3"/>
  <c r="G36" i="4" s="1"/>
  <c r="C37" i="4"/>
  <c r="C41" i="5" s="1"/>
  <c r="G37" i="3"/>
  <c r="F37" i="4" s="1"/>
  <c r="H37" i="3"/>
  <c r="G37" i="4" s="1"/>
  <c r="C372" i="4"/>
  <c r="C376" i="5" s="1"/>
  <c r="H372" i="3"/>
  <c r="G372" i="4" s="1"/>
  <c r="G372" i="3"/>
  <c r="F372" i="4" s="1"/>
  <c r="C137" i="4"/>
  <c r="C141" i="5" s="1"/>
  <c r="G137" i="3"/>
  <c r="F137" i="4" s="1"/>
  <c r="H137" i="3"/>
  <c r="G137" i="4" s="1"/>
  <c r="G3" i="3"/>
  <c r="F3" i="4" s="1"/>
  <c r="C3" i="4"/>
  <c r="H3" i="3"/>
  <c r="G3" i="4" s="1"/>
  <c r="H336" i="3"/>
  <c r="G336" i="4" s="1"/>
  <c r="G336" i="3"/>
  <c r="F336" i="4" s="1"/>
  <c r="C336" i="4"/>
  <c r="C340" i="5" s="1"/>
  <c r="C120" i="4"/>
  <c r="C124" i="5" s="1"/>
  <c r="G120" i="3"/>
  <c r="F120" i="4" s="1"/>
  <c r="H120" i="3"/>
  <c r="G120" i="4" s="1"/>
  <c r="C56" i="4"/>
  <c r="C60" i="5" s="1"/>
  <c r="G56" i="3"/>
  <c r="F56" i="4" s="1"/>
  <c r="H56" i="3"/>
  <c r="G56" i="4" s="1"/>
  <c r="C29" i="4"/>
  <c r="C33" i="5" s="1"/>
  <c r="G29" i="3"/>
  <c r="F29" i="4" s="1"/>
  <c r="H29" i="3"/>
  <c r="G29" i="4" s="1"/>
  <c r="Q342" i="5"/>
  <c r="I342" i="5"/>
  <c r="P342" i="5"/>
  <c r="H342" i="5"/>
  <c r="O342" i="5"/>
  <c r="G342" i="5"/>
  <c r="J342" i="5"/>
  <c r="F342" i="5"/>
  <c r="S342" i="5"/>
  <c r="M342" i="5"/>
  <c r="L342" i="5"/>
  <c r="R342" i="5"/>
  <c r="N342" i="5"/>
  <c r="K342" i="5"/>
  <c r="C17" i="4"/>
  <c r="C21" i="5" s="1"/>
  <c r="G17" i="3"/>
  <c r="F17" i="4" s="1"/>
  <c r="H17" i="3"/>
  <c r="G17" i="4" s="1"/>
  <c r="C155" i="4"/>
  <c r="C159" i="5" s="1"/>
  <c r="G155" i="3"/>
  <c r="F155" i="4" s="1"/>
  <c r="H155" i="3"/>
  <c r="G155" i="4" s="1"/>
  <c r="C86" i="4"/>
  <c r="C90" i="5" s="1"/>
  <c r="G86" i="3"/>
  <c r="F86" i="4" s="1"/>
  <c r="H86" i="3"/>
  <c r="G86" i="4" s="1"/>
  <c r="G20" i="3"/>
  <c r="F20" i="4" s="1"/>
  <c r="C20" i="4"/>
  <c r="C24" i="5" s="1"/>
  <c r="H20" i="3"/>
  <c r="G20" i="4" s="1"/>
  <c r="G10" i="3"/>
  <c r="F15" i="4" s="1"/>
  <c r="C15" i="4"/>
  <c r="H10" i="3"/>
  <c r="G15" i="4" s="1"/>
  <c r="C169" i="4"/>
  <c r="C173" i="5" s="1"/>
  <c r="G169" i="3"/>
  <c r="F169" i="4" s="1"/>
  <c r="H169" i="3"/>
  <c r="G169" i="4" s="1"/>
  <c r="G159" i="3"/>
  <c r="F159" i="4" s="1"/>
  <c r="H159" i="3"/>
  <c r="G159" i="4" s="1"/>
  <c r="C159" i="4"/>
  <c r="C163" i="5" s="1"/>
  <c r="H296" i="3"/>
  <c r="G296" i="4" s="1"/>
  <c r="C296" i="4"/>
  <c r="C300" i="5" s="1"/>
  <c r="G296" i="3"/>
  <c r="F296" i="4" s="1"/>
  <c r="H247" i="3"/>
  <c r="G247" i="4" s="1"/>
  <c r="G247" i="3"/>
  <c r="F247" i="4" s="1"/>
  <c r="C247" i="4"/>
  <c r="C251" i="5" s="1"/>
  <c r="C160" i="4"/>
  <c r="C164" i="5" s="1"/>
  <c r="G160" i="3"/>
  <c r="F160" i="4" s="1"/>
  <c r="H160" i="3"/>
  <c r="G160" i="4" s="1"/>
  <c r="G48" i="3"/>
  <c r="F48" i="4" s="1"/>
  <c r="C48" i="4"/>
  <c r="C52" i="5" s="1"/>
  <c r="H48" i="3"/>
  <c r="G48" i="4" s="1"/>
  <c r="C151" i="4"/>
  <c r="C155" i="5" s="1"/>
  <c r="G151" i="3"/>
  <c r="F151" i="4" s="1"/>
  <c r="H151" i="3"/>
  <c r="G151" i="4" s="1"/>
  <c r="C349" i="4"/>
  <c r="C353" i="5" s="1"/>
  <c r="H349" i="3"/>
  <c r="G349" i="4" s="1"/>
  <c r="G349" i="3"/>
  <c r="F349" i="4" s="1"/>
  <c r="C59" i="4"/>
  <c r="C63" i="5" s="1"/>
  <c r="G59" i="3"/>
  <c r="F59" i="4" s="1"/>
  <c r="H59" i="3"/>
  <c r="G59" i="4" s="1"/>
  <c r="G123" i="3"/>
  <c r="F123" i="4" s="1"/>
  <c r="C123" i="4"/>
  <c r="C127" i="5" s="1"/>
  <c r="H123" i="3"/>
  <c r="G123" i="4" s="1"/>
  <c r="I359" i="3"/>
  <c r="H359" i="4" s="1"/>
  <c r="D359" i="4"/>
  <c r="D363" i="5" s="1"/>
  <c r="I295" i="3"/>
  <c r="H295" i="4" s="1"/>
  <c r="D295" i="4"/>
  <c r="D299" i="5" s="1"/>
  <c r="D208" i="4"/>
  <c r="D212" i="5" s="1"/>
  <c r="I208" i="3"/>
  <c r="H208" i="4" s="1"/>
  <c r="H396" i="3"/>
  <c r="G396" i="4" s="1"/>
  <c r="G396" i="3"/>
  <c r="F396" i="4" s="1"/>
  <c r="C396" i="4"/>
  <c r="C400" i="5" s="1"/>
  <c r="P386" i="5"/>
  <c r="H386" i="5"/>
  <c r="O386" i="5"/>
  <c r="G386" i="5"/>
  <c r="M386" i="5"/>
  <c r="L386" i="5"/>
  <c r="S386" i="5"/>
  <c r="R386" i="5"/>
  <c r="Q386" i="5"/>
  <c r="I386" i="5"/>
  <c r="N386" i="5"/>
  <c r="K386" i="5"/>
  <c r="J386" i="5"/>
  <c r="F386" i="5"/>
  <c r="M219" i="5"/>
  <c r="L219" i="5"/>
  <c r="S219" i="5"/>
  <c r="K219" i="5"/>
  <c r="R219" i="5"/>
  <c r="J219" i="5"/>
  <c r="Q219" i="5"/>
  <c r="P219" i="5"/>
  <c r="O219" i="5"/>
  <c r="H219" i="5"/>
  <c r="N219" i="5"/>
  <c r="I219" i="5"/>
  <c r="G219" i="5"/>
  <c r="F219" i="5"/>
  <c r="O242" i="5"/>
  <c r="G242" i="5"/>
  <c r="N242" i="5"/>
  <c r="F242" i="5"/>
  <c r="M242" i="5"/>
  <c r="L242" i="5"/>
  <c r="S242" i="5"/>
  <c r="R242" i="5"/>
  <c r="Q242" i="5"/>
  <c r="J242" i="5"/>
  <c r="P242" i="5"/>
  <c r="K242" i="5"/>
  <c r="I242" i="5"/>
  <c r="H242" i="5"/>
  <c r="C118" i="4"/>
  <c r="C122" i="5" s="1"/>
  <c r="G118" i="3"/>
  <c r="F118" i="4" s="1"/>
  <c r="H118" i="3"/>
  <c r="G118" i="4" s="1"/>
  <c r="H260" i="3"/>
  <c r="G260" i="4" s="1"/>
  <c r="G260" i="3"/>
  <c r="F260" i="4" s="1"/>
  <c r="C260" i="4"/>
  <c r="C264" i="5" s="1"/>
  <c r="D240" i="4"/>
  <c r="D244" i="5" s="1"/>
  <c r="I240" i="3"/>
  <c r="H240" i="4" s="1"/>
  <c r="C6" i="4"/>
  <c r="G7" i="3"/>
  <c r="F6" i="4" s="1"/>
  <c r="H7" i="3"/>
  <c r="G6" i="4" s="1"/>
  <c r="C63" i="4"/>
  <c r="C67" i="5" s="1"/>
  <c r="G63" i="3"/>
  <c r="F63" i="4" s="1"/>
  <c r="H63" i="3"/>
  <c r="G63" i="4" s="1"/>
  <c r="G127" i="3"/>
  <c r="F127" i="4" s="1"/>
  <c r="C127" i="4"/>
  <c r="C131" i="5" s="1"/>
  <c r="H127" i="3"/>
  <c r="G127" i="4" s="1"/>
  <c r="I355" i="3"/>
  <c r="H355" i="4" s="1"/>
  <c r="D355" i="4"/>
  <c r="D359" i="5" s="1"/>
  <c r="I291" i="3"/>
  <c r="H291" i="4" s="1"/>
  <c r="D291" i="4"/>
  <c r="D295" i="5" s="1"/>
  <c r="H328" i="3"/>
  <c r="G328" i="4" s="1"/>
  <c r="C328" i="4"/>
  <c r="C332" i="5" s="1"/>
  <c r="G328" i="3"/>
  <c r="F328" i="4" s="1"/>
  <c r="P398" i="5"/>
  <c r="H398" i="5"/>
  <c r="O398" i="5"/>
  <c r="G398" i="5"/>
  <c r="M398" i="5"/>
  <c r="L398" i="5"/>
  <c r="K398" i="5"/>
  <c r="J398" i="5"/>
  <c r="I398" i="5"/>
  <c r="Q398" i="5"/>
  <c r="S398" i="5"/>
  <c r="R398" i="5"/>
  <c r="N398" i="5"/>
  <c r="F398" i="5"/>
  <c r="O226" i="5"/>
  <c r="G226" i="5"/>
  <c r="N226" i="5"/>
  <c r="F226" i="5"/>
  <c r="M226" i="5"/>
  <c r="L226" i="5"/>
  <c r="S226" i="5"/>
  <c r="R226" i="5"/>
  <c r="Q226" i="5"/>
  <c r="J226" i="5"/>
  <c r="P226" i="5"/>
  <c r="K226" i="5"/>
  <c r="I226" i="5"/>
  <c r="H226" i="5"/>
  <c r="H284" i="3"/>
  <c r="G284" i="4" s="1"/>
  <c r="C284" i="4"/>
  <c r="C288" i="5" s="1"/>
  <c r="G284" i="3"/>
  <c r="F284" i="4" s="1"/>
  <c r="Q201" i="5"/>
  <c r="I201" i="5"/>
  <c r="P201" i="5"/>
  <c r="H201" i="5"/>
  <c r="O201" i="5"/>
  <c r="G201" i="5"/>
  <c r="L201" i="5"/>
  <c r="N201" i="5"/>
  <c r="M201" i="5"/>
  <c r="K201" i="5"/>
  <c r="S201" i="5"/>
  <c r="J201" i="5"/>
  <c r="F201" i="5"/>
  <c r="R201" i="5"/>
  <c r="C102" i="4"/>
  <c r="C106" i="5" s="1"/>
  <c r="G102" i="3"/>
  <c r="F102" i="4" s="1"/>
  <c r="H102" i="3"/>
  <c r="G102" i="4" s="1"/>
  <c r="H276" i="3"/>
  <c r="G276" i="4" s="1"/>
  <c r="G276" i="3"/>
  <c r="F276" i="4" s="1"/>
  <c r="C276" i="4"/>
  <c r="C280" i="5" s="1"/>
  <c r="H304" i="3"/>
  <c r="G304" i="4" s="1"/>
  <c r="G304" i="3"/>
  <c r="F304" i="4" s="1"/>
  <c r="C304" i="4"/>
  <c r="C308" i="5" s="1"/>
  <c r="C49" i="4"/>
  <c r="C53" i="5" s="1"/>
  <c r="G49" i="3"/>
  <c r="F49" i="4" s="1"/>
  <c r="H49" i="3"/>
  <c r="G49" i="4" s="1"/>
  <c r="G163" i="3"/>
  <c r="F163" i="4" s="1"/>
  <c r="C163" i="4"/>
  <c r="C167" i="5" s="1"/>
  <c r="H163" i="3"/>
  <c r="G163" i="4" s="1"/>
  <c r="C67" i="4"/>
  <c r="C71" i="5" s="1"/>
  <c r="G67" i="3"/>
  <c r="F67" i="4" s="1"/>
  <c r="H67" i="3"/>
  <c r="G67" i="4" s="1"/>
  <c r="C131" i="4"/>
  <c r="C135" i="5" s="1"/>
  <c r="G131" i="3"/>
  <c r="F131" i="4" s="1"/>
  <c r="H131" i="3"/>
  <c r="G131" i="4" s="1"/>
  <c r="I351" i="3"/>
  <c r="H351" i="4" s="1"/>
  <c r="D351" i="4"/>
  <c r="D355" i="5" s="1"/>
  <c r="I287" i="3"/>
  <c r="H287" i="4" s="1"/>
  <c r="D287" i="4"/>
  <c r="D291" i="5" s="1"/>
  <c r="Q253" i="5"/>
  <c r="I253" i="5"/>
  <c r="P253" i="5"/>
  <c r="H253" i="5"/>
  <c r="O253" i="5"/>
  <c r="G253" i="5"/>
  <c r="N253" i="5"/>
  <c r="F253" i="5"/>
  <c r="M253" i="5"/>
  <c r="L253" i="5"/>
  <c r="K253" i="5"/>
  <c r="J253" i="5"/>
  <c r="S253" i="5"/>
  <c r="R253" i="5"/>
  <c r="M330" i="5"/>
  <c r="L330" i="5"/>
  <c r="S330" i="5"/>
  <c r="K330" i="5"/>
  <c r="J330" i="5"/>
  <c r="I330" i="5"/>
  <c r="H330" i="5"/>
  <c r="O330" i="5"/>
  <c r="R330" i="5"/>
  <c r="Q330" i="5"/>
  <c r="P330" i="5"/>
  <c r="F330" i="5"/>
  <c r="N330" i="5"/>
  <c r="G330" i="5"/>
  <c r="M211" i="5"/>
  <c r="L211" i="5"/>
  <c r="S211" i="5"/>
  <c r="K211" i="5"/>
  <c r="R211" i="5"/>
  <c r="J211" i="5"/>
  <c r="Q211" i="5"/>
  <c r="P211" i="5"/>
  <c r="O211" i="5"/>
  <c r="H211" i="5"/>
  <c r="G211" i="5"/>
  <c r="N211" i="5"/>
  <c r="I211" i="5"/>
  <c r="F211" i="5"/>
  <c r="P286" i="5"/>
  <c r="H286" i="5"/>
  <c r="O286" i="5"/>
  <c r="G286" i="5"/>
  <c r="N286" i="5"/>
  <c r="F286" i="5"/>
  <c r="R286" i="5"/>
  <c r="J286" i="5"/>
  <c r="S286" i="5"/>
  <c r="L286" i="5"/>
  <c r="Q286" i="5"/>
  <c r="M286" i="5"/>
  <c r="K286" i="5"/>
  <c r="I286" i="5"/>
  <c r="H352" i="3"/>
  <c r="G352" i="4" s="1"/>
  <c r="G352" i="3"/>
  <c r="F352" i="4" s="1"/>
  <c r="C352" i="4"/>
  <c r="C356" i="5" s="1"/>
  <c r="C164" i="4"/>
  <c r="C168" i="5" s="1"/>
  <c r="G164" i="3"/>
  <c r="F164" i="4" s="1"/>
  <c r="H164" i="3"/>
  <c r="G164" i="4" s="1"/>
  <c r="C132" i="4"/>
  <c r="C136" i="5" s="1"/>
  <c r="G132" i="3"/>
  <c r="F132" i="4" s="1"/>
  <c r="H132" i="3"/>
  <c r="G132" i="4" s="1"/>
  <c r="C100" i="4"/>
  <c r="C104" i="5" s="1"/>
  <c r="G100" i="3"/>
  <c r="F100" i="4" s="1"/>
  <c r="H100" i="3"/>
  <c r="G100" i="4" s="1"/>
  <c r="C68" i="4"/>
  <c r="C72" i="5" s="1"/>
  <c r="G68" i="3"/>
  <c r="F68" i="4" s="1"/>
  <c r="H68" i="3"/>
  <c r="G68" i="4" s="1"/>
  <c r="C10" i="4"/>
  <c r="C16" i="5" s="1"/>
  <c r="G12" i="3"/>
  <c r="F10" i="4" s="1"/>
  <c r="H12" i="3"/>
  <c r="G10" i="4" s="1"/>
  <c r="C23" i="4"/>
  <c r="C27" i="5" s="1"/>
  <c r="G23" i="3"/>
  <c r="F23" i="4" s="1"/>
  <c r="H23" i="3"/>
  <c r="G23" i="4" s="1"/>
  <c r="C4" i="4"/>
  <c r="G5" i="3"/>
  <c r="F4" i="4" s="1"/>
  <c r="H5" i="3"/>
  <c r="G4" i="4" s="1"/>
  <c r="C11" i="4"/>
  <c r="G13" i="3"/>
  <c r="F11" i="4" s="1"/>
  <c r="H13" i="3"/>
  <c r="G11" i="4" s="1"/>
  <c r="H308" i="3"/>
  <c r="G308" i="4" s="1"/>
  <c r="G308" i="3"/>
  <c r="F308" i="4" s="1"/>
  <c r="C308" i="4"/>
  <c r="C312" i="5" s="1"/>
  <c r="G19" i="3"/>
  <c r="F19" i="4" s="1"/>
  <c r="C19" i="4"/>
  <c r="C23" i="5" s="1"/>
  <c r="H19" i="3"/>
  <c r="G19" i="4" s="1"/>
  <c r="C113" i="4"/>
  <c r="C117" i="5" s="1"/>
  <c r="G113" i="3"/>
  <c r="F113" i="4" s="1"/>
  <c r="H113" i="3"/>
  <c r="G113" i="4" s="1"/>
  <c r="G35" i="3"/>
  <c r="F35" i="4" s="1"/>
  <c r="C35" i="4"/>
  <c r="C39" i="5" s="1"/>
  <c r="H35" i="3"/>
  <c r="G35" i="4" s="1"/>
  <c r="G8" i="3"/>
  <c r="F7" i="4" s="1"/>
  <c r="C7" i="4"/>
  <c r="H8" i="3"/>
  <c r="G7" i="4" s="1"/>
  <c r="C71" i="4"/>
  <c r="C75" i="5" s="1"/>
  <c r="G71" i="3"/>
  <c r="F71" i="4" s="1"/>
  <c r="H71" i="3"/>
  <c r="G71" i="4" s="1"/>
  <c r="C147" i="4"/>
  <c r="C151" i="5" s="1"/>
  <c r="G147" i="3"/>
  <c r="F147" i="4" s="1"/>
  <c r="H147" i="3"/>
  <c r="G147" i="4" s="1"/>
  <c r="I347" i="3"/>
  <c r="H347" i="4" s="1"/>
  <c r="D347" i="4"/>
  <c r="D351" i="5" s="1"/>
  <c r="I283" i="3"/>
  <c r="H283" i="4" s="1"/>
  <c r="D283" i="4"/>
  <c r="D287" i="5" s="1"/>
  <c r="Q245" i="5"/>
  <c r="I245" i="5"/>
  <c r="P245" i="5"/>
  <c r="H245" i="5"/>
  <c r="O245" i="5"/>
  <c r="G245" i="5"/>
  <c r="N245" i="5"/>
  <c r="F245" i="5"/>
  <c r="M245" i="5"/>
  <c r="L245" i="5"/>
  <c r="K245" i="5"/>
  <c r="S245" i="5"/>
  <c r="R245" i="5"/>
  <c r="J245" i="5"/>
  <c r="C364" i="4"/>
  <c r="C368" i="5" s="1"/>
  <c r="H364" i="3"/>
  <c r="G364" i="4" s="1"/>
  <c r="G364" i="3"/>
  <c r="F364" i="4" s="1"/>
  <c r="D203" i="4"/>
  <c r="D207" i="5" s="1"/>
  <c r="I203" i="3"/>
  <c r="H203" i="4" s="1"/>
  <c r="N354" i="5"/>
  <c r="F354" i="5"/>
  <c r="P354" i="5"/>
  <c r="G354" i="5"/>
  <c r="O354" i="5"/>
  <c r="M354" i="5"/>
  <c r="R354" i="5"/>
  <c r="Q354" i="5"/>
  <c r="L354" i="5"/>
  <c r="I354" i="5"/>
  <c r="H354" i="5"/>
  <c r="K354" i="5"/>
  <c r="S354" i="5"/>
  <c r="J354" i="5"/>
  <c r="C162" i="4"/>
  <c r="C166" i="5" s="1"/>
  <c r="G162" i="3"/>
  <c r="F162" i="4" s="1"/>
  <c r="H162" i="3"/>
  <c r="G162" i="4" s="1"/>
  <c r="C130" i="4"/>
  <c r="C134" i="5" s="1"/>
  <c r="G130" i="3"/>
  <c r="F130" i="4" s="1"/>
  <c r="H130" i="3"/>
  <c r="G130" i="4" s="1"/>
  <c r="C98" i="4"/>
  <c r="C102" i="5" s="1"/>
  <c r="G98" i="3"/>
  <c r="F98" i="4" s="1"/>
  <c r="H98" i="3"/>
  <c r="G98" i="4" s="1"/>
  <c r="C66" i="4"/>
  <c r="C70" i="5" s="1"/>
  <c r="G66" i="3"/>
  <c r="F66" i="4" s="1"/>
  <c r="H66" i="3"/>
  <c r="G66" i="4" s="1"/>
  <c r="G4" i="3"/>
  <c r="F9" i="4" s="1"/>
  <c r="C9" i="4"/>
  <c r="H4" i="3"/>
  <c r="G9" i="4" s="1"/>
  <c r="G15" i="3"/>
  <c r="F13" i="4" s="1"/>
  <c r="C13" i="4"/>
  <c r="H15" i="3"/>
  <c r="G13" i="4" s="1"/>
  <c r="P378" i="5"/>
  <c r="H378" i="5"/>
  <c r="O378" i="5"/>
  <c r="G378" i="5"/>
  <c r="M378" i="5"/>
  <c r="I378" i="5"/>
  <c r="S378" i="5"/>
  <c r="F378" i="5"/>
  <c r="R378" i="5"/>
  <c r="K378" i="5"/>
  <c r="L378" i="5"/>
  <c r="Q378" i="5"/>
  <c r="N378" i="5"/>
  <c r="J378" i="5"/>
  <c r="P390" i="5"/>
  <c r="H390" i="5"/>
  <c r="O390" i="5"/>
  <c r="G390" i="5"/>
  <c r="M390" i="5"/>
  <c r="L390" i="5"/>
  <c r="K390" i="5"/>
  <c r="J390" i="5"/>
  <c r="I390" i="5"/>
  <c r="Q390" i="5"/>
  <c r="F390" i="5"/>
  <c r="R390" i="5"/>
  <c r="S390" i="5"/>
  <c r="N390" i="5"/>
  <c r="P278" i="5"/>
  <c r="H278" i="5"/>
  <c r="O278" i="5"/>
  <c r="G278" i="5"/>
  <c r="N278" i="5"/>
  <c r="F278" i="5"/>
  <c r="R278" i="5"/>
  <c r="J278" i="5"/>
  <c r="S278" i="5"/>
  <c r="L278" i="5"/>
  <c r="Q278" i="5"/>
  <c r="M278" i="5"/>
  <c r="K278" i="5"/>
  <c r="I278" i="5"/>
  <c r="H388" i="3"/>
  <c r="G388" i="4" s="1"/>
  <c r="C388" i="4"/>
  <c r="C392" i="5" s="1"/>
  <c r="G388" i="3"/>
  <c r="F388" i="4" s="1"/>
  <c r="G143" i="3"/>
  <c r="F143" i="4" s="1"/>
  <c r="H143" i="3"/>
  <c r="G143" i="4" s="1"/>
  <c r="C143" i="4"/>
  <c r="C147" i="5" s="1"/>
  <c r="C121" i="4"/>
  <c r="C125" i="5" s="1"/>
  <c r="G121" i="3"/>
  <c r="F121" i="4" s="1"/>
  <c r="H121" i="3"/>
  <c r="G121" i="4" s="1"/>
  <c r="C149" i="4"/>
  <c r="C153" i="5" s="1"/>
  <c r="G149" i="3"/>
  <c r="F149" i="4" s="1"/>
  <c r="H149" i="3"/>
  <c r="G149" i="4" s="1"/>
  <c r="C24" i="4"/>
  <c r="C28" i="5" s="1"/>
  <c r="G24" i="3"/>
  <c r="F24" i="4" s="1"/>
  <c r="H24" i="3"/>
  <c r="G24" i="4" s="1"/>
  <c r="C75" i="4"/>
  <c r="C79" i="5" s="1"/>
  <c r="G75" i="3"/>
  <c r="F75" i="4" s="1"/>
  <c r="H75" i="3"/>
  <c r="G75" i="4" s="1"/>
  <c r="I343" i="3"/>
  <c r="H343" i="4" s="1"/>
  <c r="D343" i="4"/>
  <c r="D347" i="5" s="1"/>
  <c r="Q237" i="5"/>
  <c r="I237" i="5"/>
  <c r="P237" i="5"/>
  <c r="H237" i="5"/>
  <c r="O237" i="5"/>
  <c r="G237" i="5"/>
  <c r="N237" i="5"/>
  <c r="F237" i="5"/>
  <c r="M237" i="5"/>
  <c r="L237" i="5"/>
  <c r="K237" i="5"/>
  <c r="J237" i="5"/>
  <c r="S237" i="5"/>
  <c r="R237" i="5"/>
  <c r="N366" i="5"/>
  <c r="F366" i="5"/>
  <c r="S366" i="5"/>
  <c r="J366" i="5"/>
  <c r="R366" i="5"/>
  <c r="I366" i="5"/>
  <c r="Q366" i="5"/>
  <c r="H366" i="5"/>
  <c r="L366" i="5"/>
  <c r="P366" i="5"/>
  <c r="O366" i="5"/>
  <c r="M366" i="5"/>
  <c r="K366" i="5"/>
  <c r="G366" i="5"/>
  <c r="C112" i="4"/>
  <c r="C116" i="5" s="1"/>
  <c r="G112" i="3"/>
  <c r="F112" i="4" s="1"/>
  <c r="H112" i="3"/>
  <c r="G112" i="4" s="1"/>
  <c r="C109" i="4"/>
  <c r="C113" i="5" s="1"/>
  <c r="G109" i="3"/>
  <c r="F109" i="4" s="1"/>
  <c r="H109" i="3"/>
  <c r="G109" i="4" s="1"/>
  <c r="Q350" i="5"/>
  <c r="I350" i="5"/>
  <c r="P350" i="5"/>
  <c r="H350" i="5"/>
  <c r="O350" i="5"/>
  <c r="G350" i="5"/>
  <c r="S350" i="5"/>
  <c r="R350" i="5"/>
  <c r="N350" i="5"/>
  <c r="K350" i="5"/>
  <c r="M350" i="5"/>
  <c r="L350" i="5"/>
  <c r="J350" i="5"/>
  <c r="F350" i="5"/>
  <c r="C144" i="4"/>
  <c r="C148" i="5" s="1"/>
  <c r="G144" i="3"/>
  <c r="F144" i="4" s="1"/>
  <c r="H144" i="3"/>
  <c r="G144" i="4" s="1"/>
  <c r="P374" i="5"/>
  <c r="H374" i="5"/>
  <c r="O374" i="5"/>
  <c r="G374" i="5"/>
  <c r="M374" i="5"/>
  <c r="Q374" i="5"/>
  <c r="N374" i="5"/>
  <c r="L374" i="5"/>
  <c r="I374" i="5"/>
  <c r="F374" i="5"/>
  <c r="K374" i="5"/>
  <c r="S374" i="5"/>
  <c r="R374" i="5"/>
  <c r="J374" i="5"/>
  <c r="G32" i="3"/>
  <c r="F32" i="4" s="1"/>
  <c r="H32" i="3"/>
  <c r="G32" i="4" s="1"/>
  <c r="C32" i="4"/>
  <c r="C36" i="5" s="1"/>
  <c r="D18" i="5" l="1"/>
  <c r="D12" i="5"/>
  <c r="D20" i="5"/>
  <c r="D19" i="5"/>
  <c r="D8" i="5"/>
  <c r="D11" i="5"/>
  <c r="C17" i="5"/>
  <c r="C19" i="5"/>
  <c r="C11" i="5"/>
  <c r="C8" i="5"/>
  <c r="C18" i="5"/>
  <c r="D16" i="5"/>
  <c r="C15" i="5"/>
  <c r="C20" i="5"/>
  <c r="C14" i="5"/>
  <c r="D17" i="5"/>
  <c r="D15" i="5"/>
  <c r="D14" i="5"/>
  <c r="C12" i="5"/>
  <c r="D9" i="5"/>
  <c r="C10" i="5"/>
  <c r="D10" i="5"/>
  <c r="C7" i="5"/>
  <c r="C9" i="5"/>
  <c r="D13" i="5"/>
  <c r="C13" i="5"/>
  <c r="D7" i="5"/>
  <c r="V10" i="5"/>
  <c r="F7" i="5" l="1"/>
  <c r="M7" i="5" s="1"/>
  <c r="O8" i="5" s="1"/>
  <c r="F8" i="5" s="1"/>
  <c r="P8" i="5" s="1"/>
  <c r="Q8" i="5" s="1"/>
  <c r="G7" i="5"/>
  <c r="N7" i="5" s="1"/>
  <c r="P7" i="5"/>
  <c r="G8" i="5"/>
  <c r="H8" i="5" s="1"/>
  <c r="R8" i="5" l="1"/>
  <c r="H7" i="5"/>
  <c r="S7" i="5"/>
  <c r="S8" i="5"/>
  <c r="I8" i="5"/>
  <c r="N8" i="5"/>
  <c r="L8" i="5"/>
  <c r="K8" i="5"/>
  <c r="M8" i="5" s="1"/>
  <c r="O9" i="5" s="1"/>
  <c r="J8" i="5"/>
  <c r="F9" i="5" l="1"/>
  <c r="G9" i="5"/>
  <c r="H9" i="5" l="1"/>
  <c r="P9" i="5"/>
  <c r="Q9" i="5" s="1"/>
  <c r="R9" i="5" s="1"/>
  <c r="J9" i="5" l="1"/>
  <c r="N9" i="5"/>
  <c r="I9" i="5"/>
  <c r="L9" i="5"/>
  <c r="K9" i="5"/>
  <c r="M9" i="5" s="1"/>
  <c r="O10" i="5" s="1"/>
  <c r="S9" i="5"/>
  <c r="F10" i="5" l="1"/>
  <c r="G10" i="5"/>
  <c r="P10" i="5" l="1"/>
  <c r="Q10" i="5" s="1"/>
  <c r="R10" i="5" s="1"/>
  <c r="S10" i="5" s="1"/>
  <c r="H10" i="5"/>
  <c r="K10" i="5" l="1"/>
  <c r="M10" i="5" s="1"/>
  <c r="O11" i="5" s="1"/>
  <c r="I10" i="5"/>
  <c r="N10" i="5"/>
  <c r="L10" i="5"/>
  <c r="J10" i="5"/>
  <c r="F11" i="5" l="1"/>
  <c r="G11" i="5"/>
  <c r="P11" i="5" l="1"/>
  <c r="Q11" i="5" s="1"/>
  <c r="R11" i="5" s="1"/>
  <c r="S11" i="5" s="1"/>
  <c r="H11" i="5"/>
  <c r="I11" i="5" l="1"/>
  <c r="K11" i="5"/>
  <c r="M11" i="5" s="1"/>
  <c r="O12" i="5" s="1"/>
  <c r="L11" i="5"/>
  <c r="J11" i="5"/>
  <c r="N11" i="5"/>
  <c r="G12" i="5" l="1"/>
  <c r="F12" i="5"/>
  <c r="H12" i="5" l="1"/>
  <c r="P12" i="5"/>
  <c r="Q12" i="5" s="1"/>
  <c r="R12" i="5" s="1"/>
  <c r="S12" i="5" s="1"/>
  <c r="J12" i="5" l="1"/>
  <c r="N12" i="5"/>
  <c r="L12" i="5"/>
  <c r="I12" i="5"/>
  <c r="K12" i="5"/>
  <c r="M12" i="5" s="1"/>
  <c r="O13" i="5" s="1"/>
  <c r="F13" i="5" l="1"/>
  <c r="G13" i="5"/>
  <c r="P13" i="5" l="1"/>
  <c r="Q13" i="5" s="1"/>
  <c r="R13" i="5" s="1"/>
  <c r="S13" i="5" s="1"/>
  <c r="H13" i="5"/>
  <c r="K13" i="5" l="1"/>
  <c r="M13" i="5" s="1"/>
  <c r="O14" i="5" s="1"/>
  <c r="N13" i="5"/>
  <c r="I13" i="5"/>
  <c r="J13" i="5"/>
  <c r="L13" i="5"/>
  <c r="F14" i="5" l="1"/>
  <c r="G14" i="5"/>
  <c r="H14" i="5" l="1"/>
  <c r="P14" i="5"/>
  <c r="Q14" i="5" s="1"/>
  <c r="R14" i="5" s="1"/>
  <c r="L14" i="5" l="1"/>
  <c r="N14" i="5"/>
  <c r="K14" i="5"/>
  <c r="M14" i="5" s="1"/>
  <c r="O15" i="5" s="1"/>
  <c r="I14" i="5"/>
  <c r="J14" i="5"/>
  <c r="S14" i="5"/>
  <c r="F15" i="5" l="1"/>
  <c r="G15" i="5"/>
  <c r="P15" i="5" l="1"/>
  <c r="Q15" i="5" s="1"/>
  <c r="R15" i="5" s="1"/>
  <c r="S15" i="5" s="1"/>
  <c r="H15" i="5"/>
  <c r="K15" i="5" l="1"/>
  <c r="M15" i="5" s="1"/>
  <c r="O16" i="5" s="1"/>
  <c r="L15" i="5"/>
  <c r="I15" i="5"/>
  <c r="J15" i="5"/>
  <c r="N15" i="5"/>
  <c r="G16" i="5" l="1"/>
  <c r="F16" i="5"/>
  <c r="P16" i="5" l="1"/>
  <c r="Q16" i="5" s="1"/>
  <c r="R16" i="5" s="1"/>
  <c r="S16" i="5" s="1"/>
  <c r="H16" i="5"/>
  <c r="L16" i="5" l="1"/>
  <c r="J16" i="5"/>
  <c r="K16" i="5"/>
  <c r="M16" i="5" s="1"/>
  <c r="O17" i="5" s="1"/>
  <c r="I16" i="5"/>
  <c r="N16" i="5"/>
  <c r="G17" i="5" l="1"/>
  <c r="F17" i="5"/>
  <c r="H17" i="5" l="1"/>
  <c r="P17" i="5"/>
  <c r="Q17" i="5" s="1"/>
  <c r="R17" i="5" s="1"/>
  <c r="S17" i="5" s="1"/>
  <c r="I17" i="5" l="1"/>
  <c r="K17" i="5"/>
  <c r="M17" i="5" s="1"/>
  <c r="O18" i="5" s="1"/>
  <c r="N17" i="5"/>
  <c r="L17" i="5"/>
  <c r="J17" i="5"/>
  <c r="G18" i="5" l="1"/>
  <c r="F18" i="5"/>
  <c r="H18" i="5" l="1"/>
  <c r="P18" i="5"/>
  <c r="Q18" i="5" s="1"/>
  <c r="R18" i="5" s="1"/>
  <c r="S18" i="5" s="1"/>
  <c r="N18" i="5" l="1"/>
  <c r="L18" i="5"/>
  <c r="K18" i="5"/>
  <c r="M18" i="5" s="1"/>
  <c r="O19" i="5" s="1"/>
  <c r="J18" i="5"/>
  <c r="I18" i="5"/>
  <c r="G19" i="5" l="1"/>
  <c r="F19" i="5"/>
  <c r="P19" i="5" l="1"/>
  <c r="Q19" i="5" s="1"/>
  <c r="R19" i="5" s="1"/>
  <c r="H19" i="5"/>
  <c r="L19" i="5" l="1"/>
  <c r="N19" i="5"/>
  <c r="K19" i="5"/>
  <c r="M19" i="5" s="1"/>
  <c r="O20" i="5" s="1"/>
  <c r="J19" i="5"/>
  <c r="I19" i="5"/>
  <c r="S19" i="5"/>
  <c r="F20" i="5" l="1"/>
  <c r="G20" i="5"/>
  <c r="H20" i="5" l="1"/>
  <c r="P20" i="5"/>
  <c r="Q20" i="5" s="1"/>
  <c r="R20" i="5" s="1"/>
  <c r="N20" i="5" l="1"/>
  <c r="K20" i="5"/>
  <c r="M20" i="5" s="1"/>
  <c r="O21" i="5" s="1"/>
  <c r="L20" i="5"/>
  <c r="J20" i="5"/>
  <c r="I20" i="5"/>
  <c r="S20" i="5"/>
  <c r="F21" i="5" l="1"/>
  <c r="G21" i="5"/>
  <c r="H21" i="5" l="1"/>
  <c r="P21" i="5"/>
  <c r="Q21" i="5" s="1"/>
  <c r="R21" i="5" s="1"/>
  <c r="J21" i="5" l="1"/>
  <c r="I21" i="5"/>
  <c r="L21" i="5"/>
  <c r="K21" i="5"/>
  <c r="M21" i="5" s="1"/>
  <c r="O22" i="5" s="1"/>
  <c r="N21" i="5"/>
  <c r="S21" i="5"/>
  <c r="F22" i="5" l="1"/>
  <c r="G22" i="5"/>
  <c r="P22" i="5" l="1"/>
  <c r="Q22" i="5" s="1"/>
  <c r="R22" i="5" s="1"/>
  <c r="S22" i="5" s="1"/>
  <c r="H22" i="5"/>
  <c r="L22" i="5" l="1"/>
  <c r="I22" i="5"/>
  <c r="K22" i="5"/>
  <c r="M22" i="5" s="1"/>
  <c r="O23" i="5" s="1"/>
  <c r="N22" i="5"/>
  <c r="J22" i="5"/>
  <c r="G23" i="5" l="1"/>
  <c r="F23" i="5"/>
  <c r="H23" i="5" l="1"/>
  <c r="P23" i="5"/>
  <c r="Q23" i="5" s="1"/>
  <c r="R23" i="5" s="1"/>
  <c r="S23" i="5" s="1"/>
  <c r="K23" i="5" l="1"/>
  <c r="M23" i="5" s="1"/>
  <c r="O24" i="5" s="1"/>
  <c r="J23" i="5"/>
  <c r="N23" i="5"/>
  <c r="L23" i="5"/>
  <c r="I23" i="5"/>
  <c r="G24" i="5" l="1"/>
  <c r="F24" i="5"/>
  <c r="H24" i="5" l="1"/>
  <c r="P24" i="5"/>
  <c r="Q24" i="5" s="1"/>
  <c r="R24" i="5" s="1"/>
  <c r="K24" i="5" l="1"/>
  <c r="M24" i="5" s="1"/>
  <c r="O25" i="5" s="1"/>
  <c r="I24" i="5"/>
  <c r="N24" i="5"/>
  <c r="L24" i="5"/>
  <c r="J24" i="5"/>
  <c r="S24" i="5"/>
  <c r="G25" i="5" l="1"/>
  <c r="F25" i="5"/>
  <c r="H25" i="5" l="1"/>
  <c r="P25" i="5"/>
  <c r="Q25" i="5" s="1"/>
  <c r="R25" i="5" s="1"/>
  <c r="S25" i="5" s="1"/>
  <c r="L25" i="5" l="1"/>
  <c r="K25" i="5"/>
  <c r="M25" i="5" s="1"/>
  <c r="O26" i="5" s="1"/>
  <c r="N25" i="5"/>
  <c r="J25" i="5"/>
  <c r="I25" i="5"/>
  <c r="F26" i="5" l="1"/>
  <c r="G26" i="5"/>
  <c r="P26" i="5" l="1"/>
  <c r="Q26" i="5" s="1"/>
  <c r="R26" i="5" s="1"/>
  <c r="S26" i="5" s="1"/>
  <c r="H26" i="5"/>
  <c r="K26" i="5" l="1"/>
  <c r="M26" i="5" s="1"/>
  <c r="O27" i="5" s="1"/>
  <c r="L26" i="5"/>
  <c r="N26" i="5"/>
  <c r="J26" i="5"/>
  <c r="I26" i="5"/>
  <c r="G27" i="5" l="1"/>
  <c r="F27" i="5"/>
  <c r="H27" i="5" l="1"/>
  <c r="P27" i="5"/>
  <c r="Q27" i="5" s="1"/>
  <c r="R27" i="5" s="1"/>
  <c r="L27" i="5" l="1"/>
  <c r="J27" i="5"/>
  <c r="I27" i="5"/>
  <c r="K27" i="5"/>
  <c r="M27" i="5" s="1"/>
  <c r="O28" i="5" s="1"/>
  <c r="N27" i="5"/>
  <c r="S27" i="5"/>
  <c r="G28" i="5" l="1"/>
  <c r="F28" i="5"/>
  <c r="H28" i="5" l="1"/>
  <c r="P28" i="5"/>
  <c r="Q28" i="5" s="1"/>
  <c r="R28" i="5" s="1"/>
  <c r="S28" i="5" s="1"/>
  <c r="I28" i="5" l="1"/>
  <c r="N28" i="5"/>
  <c r="L28" i="5"/>
  <c r="K28" i="5"/>
  <c r="M28" i="5" s="1"/>
  <c r="O29" i="5" s="1"/>
  <c r="J28" i="5"/>
  <c r="F29" i="5" l="1"/>
  <c r="G29" i="5"/>
  <c r="H29" i="5" l="1"/>
  <c r="P29" i="5"/>
  <c r="Q29" i="5" s="1"/>
  <c r="R29" i="5" s="1"/>
  <c r="K29" i="5" l="1"/>
  <c r="M29" i="5" s="1"/>
  <c r="O30" i="5" s="1"/>
  <c r="I29" i="5"/>
  <c r="L29" i="5"/>
  <c r="N29" i="5"/>
  <c r="J29" i="5"/>
  <c r="S29" i="5"/>
  <c r="G30" i="5" l="1"/>
  <c r="F30" i="5"/>
  <c r="H30" i="5" l="1"/>
  <c r="P30" i="5"/>
  <c r="Q30" i="5" s="1"/>
  <c r="R30" i="5" s="1"/>
  <c r="S30" i="5" s="1"/>
  <c r="J30" i="5" l="1"/>
  <c r="N30" i="5"/>
  <c r="K30" i="5"/>
  <c r="M30" i="5" s="1"/>
  <c r="O31" i="5" s="1"/>
  <c r="L30" i="5"/>
  <c r="I30" i="5"/>
  <c r="G31" i="5" l="1"/>
  <c r="F31" i="5"/>
  <c r="P31" i="5" l="1"/>
  <c r="Q31" i="5" s="1"/>
  <c r="R31" i="5" s="1"/>
  <c r="S31" i="5" s="1"/>
  <c r="H31" i="5"/>
  <c r="I31" i="5" l="1"/>
  <c r="K31" i="5"/>
  <c r="M31" i="5" s="1"/>
  <c r="O32" i="5" s="1"/>
  <c r="J31" i="5"/>
  <c r="N31" i="5"/>
  <c r="L31" i="5"/>
  <c r="G32" i="5" l="1"/>
  <c r="F32" i="5"/>
  <c r="P32" i="5" l="1"/>
  <c r="Q32" i="5" s="1"/>
  <c r="R32" i="5" s="1"/>
  <c r="S32" i="5" s="1"/>
  <c r="H32" i="5"/>
  <c r="N32" i="5" l="1"/>
  <c r="I32" i="5"/>
  <c r="L32" i="5"/>
  <c r="J32" i="5"/>
  <c r="K32" i="5"/>
  <c r="M32" i="5" s="1"/>
  <c r="O33" i="5" s="1"/>
  <c r="F33" i="5" l="1"/>
  <c r="G33" i="5"/>
  <c r="P33" i="5" l="1"/>
  <c r="Q33" i="5" s="1"/>
  <c r="R33" i="5" s="1"/>
  <c r="S33" i="5" s="1"/>
  <c r="H33" i="5"/>
  <c r="L33" i="5" l="1"/>
  <c r="N33" i="5"/>
  <c r="K33" i="5"/>
  <c r="M33" i="5" s="1"/>
  <c r="O34" i="5" s="1"/>
  <c r="J33" i="5"/>
  <c r="I33" i="5"/>
  <c r="F34" i="5" l="1"/>
  <c r="G34" i="5"/>
  <c r="P34" i="5" l="1"/>
  <c r="Q34" i="5" s="1"/>
  <c r="R34" i="5" s="1"/>
  <c r="S34" i="5" s="1"/>
  <c r="H34" i="5"/>
  <c r="K34" i="5" l="1"/>
  <c r="M34" i="5" s="1"/>
  <c r="O35" i="5" s="1"/>
  <c r="L34" i="5"/>
  <c r="N34" i="5"/>
  <c r="J34" i="5"/>
  <c r="I34" i="5"/>
  <c r="G35" i="5" l="1"/>
  <c r="F35" i="5"/>
  <c r="H35" i="5" l="1"/>
  <c r="P35" i="5"/>
  <c r="Q35" i="5" s="1"/>
  <c r="R35" i="5" s="1"/>
  <c r="J35" i="5" l="1"/>
  <c r="N35" i="5"/>
  <c r="I35" i="5"/>
  <c r="L35" i="5"/>
  <c r="K35" i="5"/>
  <c r="M35" i="5" s="1"/>
  <c r="O36" i="5" s="1"/>
  <c r="S35" i="5"/>
  <c r="G36" i="5" l="1"/>
  <c r="F36" i="5"/>
  <c r="P36" i="5" l="1"/>
  <c r="Q36" i="5" s="1"/>
  <c r="R36" i="5" s="1"/>
  <c r="S36" i="5" s="1"/>
  <c r="H36" i="5"/>
  <c r="K36" i="5" l="1"/>
  <c r="M36" i="5" s="1"/>
  <c r="O37" i="5" s="1"/>
  <c r="N36" i="5"/>
  <c r="I36" i="5"/>
  <c r="L36" i="5"/>
  <c r="J36" i="5"/>
  <c r="F37" i="5" l="1"/>
  <c r="G37" i="5"/>
  <c r="H37" i="5" l="1"/>
  <c r="P37" i="5"/>
  <c r="Q37" i="5" s="1"/>
  <c r="R37" i="5" s="1"/>
  <c r="N37" i="5" l="1"/>
  <c r="K37" i="5"/>
  <c r="M37" i="5" s="1"/>
  <c r="O38" i="5" s="1"/>
  <c r="I37" i="5"/>
  <c r="L37" i="5"/>
  <c r="J37" i="5"/>
  <c r="S37" i="5"/>
  <c r="F38" i="5" l="1"/>
  <c r="G38" i="5"/>
  <c r="H38" i="5" l="1"/>
  <c r="P38" i="5"/>
  <c r="Q38" i="5" s="1"/>
  <c r="R38" i="5" s="1"/>
  <c r="S38" i="5" s="1"/>
  <c r="K38" i="5" l="1"/>
  <c r="M38" i="5" s="1"/>
  <c r="O39" i="5" s="1"/>
  <c r="N38" i="5"/>
  <c r="J38" i="5"/>
  <c r="I38" i="5"/>
  <c r="L38" i="5"/>
  <c r="G39" i="5" l="1"/>
  <c r="F39" i="5"/>
  <c r="H39" i="5" l="1"/>
  <c r="P39" i="5"/>
  <c r="Q39" i="5" s="1"/>
  <c r="R39" i="5" s="1"/>
  <c r="S39" i="5" s="1"/>
  <c r="I39" i="5" l="1"/>
  <c r="K39" i="5"/>
  <c r="M39" i="5" s="1"/>
  <c r="O40" i="5" s="1"/>
  <c r="J39" i="5"/>
  <c r="N39" i="5"/>
  <c r="L39" i="5"/>
  <c r="G40" i="5" l="1"/>
  <c r="F40" i="5"/>
  <c r="P40" i="5" l="1"/>
  <c r="Q40" i="5" s="1"/>
  <c r="R40" i="5" s="1"/>
  <c r="H40" i="5"/>
  <c r="L40" i="5" l="1"/>
  <c r="N40" i="5"/>
  <c r="J40" i="5"/>
  <c r="K40" i="5"/>
  <c r="M40" i="5" s="1"/>
  <c r="O41" i="5" s="1"/>
  <c r="I40" i="5"/>
  <c r="S40" i="5"/>
  <c r="F41" i="5" l="1"/>
  <c r="G41" i="5"/>
  <c r="H41" i="5" l="1"/>
  <c r="P41" i="5"/>
  <c r="Q41" i="5" s="1"/>
  <c r="R41" i="5" s="1"/>
  <c r="N41" i="5" l="1"/>
  <c r="J41" i="5"/>
  <c r="I41" i="5"/>
  <c r="K41" i="5"/>
  <c r="M41" i="5" s="1"/>
  <c r="O42" i="5" s="1"/>
  <c r="L41" i="5"/>
  <c r="S41" i="5"/>
  <c r="G42" i="5" l="1"/>
  <c r="F42" i="5"/>
  <c r="H42" i="5" l="1"/>
  <c r="P42" i="5"/>
  <c r="Q42" i="5" s="1"/>
  <c r="R42" i="5" s="1"/>
  <c r="S42" i="5" s="1"/>
  <c r="L42" i="5" l="1"/>
  <c r="I42" i="5"/>
  <c r="J42" i="5"/>
  <c r="K42" i="5"/>
  <c r="M42" i="5" s="1"/>
  <c r="O43" i="5" s="1"/>
  <c r="N42" i="5"/>
  <c r="F43" i="5" l="1"/>
  <c r="G43" i="5"/>
  <c r="H43" i="5" l="1"/>
  <c r="P43" i="5"/>
  <c r="Q43" i="5" s="1"/>
  <c r="R43" i="5" s="1"/>
  <c r="N43" i="5" l="1"/>
  <c r="K43" i="5"/>
  <c r="M43" i="5" s="1"/>
  <c r="O44" i="5" s="1"/>
  <c r="J43" i="5"/>
  <c r="I43" i="5"/>
  <c r="L43" i="5"/>
  <c r="S43" i="5"/>
  <c r="F44" i="5" l="1"/>
  <c r="G44" i="5"/>
  <c r="P44" i="5" l="1"/>
  <c r="Q44" i="5" s="1"/>
  <c r="R44" i="5" s="1"/>
  <c r="H44" i="5"/>
  <c r="S44" i="5"/>
  <c r="N44" i="5" l="1"/>
  <c r="K44" i="5"/>
  <c r="M44" i="5" s="1"/>
  <c r="O45" i="5" s="1"/>
  <c r="J44" i="5"/>
  <c r="I44" i="5"/>
  <c r="L44" i="5"/>
  <c r="G45" i="5" l="1"/>
  <c r="F45" i="5"/>
  <c r="H45" i="5" l="1"/>
  <c r="P45" i="5"/>
  <c r="Q45" i="5" s="1"/>
  <c r="R45" i="5" s="1"/>
  <c r="L45" i="5" l="1"/>
  <c r="N45" i="5"/>
  <c r="K45" i="5"/>
  <c r="M45" i="5" s="1"/>
  <c r="O46" i="5" s="1"/>
  <c r="J45" i="5"/>
  <c r="I45" i="5"/>
  <c r="S45" i="5"/>
  <c r="F46" i="5" l="1"/>
  <c r="G46" i="5"/>
  <c r="P46" i="5" l="1"/>
  <c r="Q46" i="5" s="1"/>
  <c r="R46" i="5" s="1"/>
  <c r="S46" i="5" s="1"/>
  <c r="H46" i="5"/>
  <c r="K46" i="5" l="1"/>
  <c r="M46" i="5" s="1"/>
  <c r="O47" i="5" s="1"/>
  <c r="I46" i="5"/>
  <c r="N46" i="5"/>
  <c r="J46" i="5"/>
  <c r="L46" i="5"/>
  <c r="F47" i="5" l="1"/>
  <c r="G47" i="5"/>
  <c r="H47" i="5" l="1"/>
  <c r="P47" i="5"/>
  <c r="Q47" i="5" s="1"/>
  <c r="R47" i="5" s="1"/>
  <c r="K47" i="5" l="1"/>
  <c r="M47" i="5" s="1"/>
  <c r="O48" i="5" s="1"/>
  <c r="N47" i="5"/>
  <c r="L47" i="5"/>
  <c r="J47" i="5"/>
  <c r="I47" i="5"/>
  <c r="S47" i="5"/>
  <c r="G48" i="5" l="1"/>
  <c r="F48" i="5"/>
  <c r="P48" i="5" l="1"/>
  <c r="Q48" i="5" s="1"/>
  <c r="R48" i="5" s="1"/>
  <c r="H48" i="5"/>
  <c r="J48" i="5" l="1"/>
  <c r="K48" i="5"/>
  <c r="M48" i="5" s="1"/>
  <c r="O49" i="5" s="1"/>
  <c r="I48" i="5"/>
  <c r="N48" i="5"/>
  <c r="L48" i="5"/>
  <c r="S48" i="5"/>
  <c r="G49" i="5" l="1"/>
  <c r="F49" i="5"/>
  <c r="H49" i="5" l="1"/>
  <c r="P49" i="5"/>
  <c r="Q49" i="5" s="1"/>
  <c r="R49" i="5" s="1"/>
  <c r="K49" i="5" l="1"/>
  <c r="M49" i="5" s="1"/>
  <c r="O50" i="5" s="1"/>
  <c r="L49" i="5"/>
  <c r="I49" i="5"/>
  <c r="J49" i="5"/>
  <c r="N49" i="5"/>
  <c r="S49" i="5"/>
  <c r="F50" i="5" l="1"/>
  <c r="G50" i="5"/>
  <c r="P50" i="5" l="1"/>
  <c r="Q50" i="5" s="1"/>
  <c r="R50" i="5" s="1"/>
  <c r="H50" i="5"/>
  <c r="N50" i="5" l="1"/>
  <c r="K50" i="5"/>
  <c r="M50" i="5" s="1"/>
  <c r="O51" i="5" s="1"/>
  <c r="I50" i="5"/>
  <c r="J50" i="5"/>
  <c r="L50" i="5"/>
  <c r="S50" i="5"/>
  <c r="F51" i="5" l="1"/>
  <c r="G51" i="5"/>
  <c r="H51" i="5" l="1"/>
  <c r="P51" i="5"/>
  <c r="Q51" i="5" s="1"/>
  <c r="R51" i="5" s="1"/>
  <c r="J51" i="5" l="1"/>
  <c r="L51" i="5"/>
  <c r="K51" i="5"/>
  <c r="M51" i="5" s="1"/>
  <c r="O52" i="5" s="1"/>
  <c r="I51" i="5"/>
  <c r="N51" i="5"/>
  <c r="S51" i="5"/>
  <c r="G52" i="5" l="1"/>
  <c r="F52" i="5"/>
  <c r="H52" i="5" l="1"/>
  <c r="P52" i="5"/>
  <c r="Q52" i="5" s="1"/>
  <c r="R52" i="5" s="1"/>
  <c r="N52" i="5" l="1"/>
  <c r="L52" i="5"/>
  <c r="K52" i="5"/>
  <c r="M52" i="5" s="1"/>
  <c r="O53" i="5" s="1"/>
  <c r="J52" i="5"/>
  <c r="I52" i="5"/>
  <c r="S52" i="5"/>
  <c r="F53" i="5" l="1"/>
  <c r="G53" i="5"/>
  <c r="P53" i="5" l="1"/>
  <c r="Q53" i="5" s="1"/>
  <c r="R53" i="5" s="1"/>
  <c r="S53" i="5" s="1"/>
  <c r="H53" i="5"/>
  <c r="I53" i="5" l="1"/>
  <c r="L53" i="5"/>
  <c r="N53" i="5"/>
  <c r="K53" i="5"/>
  <c r="M53" i="5" s="1"/>
  <c r="O54" i="5" s="1"/>
  <c r="J53" i="5"/>
  <c r="F54" i="5" l="1"/>
  <c r="G54" i="5"/>
  <c r="P54" i="5" l="1"/>
  <c r="Q54" i="5" s="1"/>
  <c r="R54" i="5" s="1"/>
  <c r="S54" i="5" s="1"/>
  <c r="H54" i="5"/>
  <c r="I54" i="5" l="1"/>
  <c r="K54" i="5"/>
  <c r="M54" i="5" s="1"/>
  <c r="O55" i="5" s="1"/>
  <c r="J54" i="5"/>
  <c r="L54" i="5"/>
  <c r="N54" i="5"/>
  <c r="G55" i="5" l="1"/>
  <c r="F55" i="5"/>
  <c r="H55" i="5" l="1"/>
  <c r="P55" i="5"/>
  <c r="Q55" i="5" s="1"/>
  <c r="R55" i="5" s="1"/>
  <c r="K55" i="5" l="1"/>
  <c r="M55" i="5" s="1"/>
  <c r="O56" i="5" s="1"/>
  <c r="J55" i="5"/>
  <c r="I55" i="5"/>
  <c r="L55" i="5"/>
  <c r="N55" i="5"/>
  <c r="S55" i="5"/>
  <c r="F56" i="5" l="1"/>
  <c r="G56" i="5"/>
  <c r="H56" i="5" l="1"/>
  <c r="P56" i="5"/>
  <c r="Q56" i="5" s="1"/>
  <c r="R56" i="5" s="1"/>
  <c r="N56" i="5" l="1"/>
  <c r="I56" i="5"/>
  <c r="L56" i="5"/>
  <c r="K56" i="5"/>
  <c r="M56" i="5" s="1"/>
  <c r="O57" i="5" s="1"/>
  <c r="J56" i="5"/>
  <c r="S56" i="5"/>
  <c r="F57" i="5" l="1"/>
  <c r="G57" i="5"/>
  <c r="H57" i="5" l="1"/>
  <c r="P57" i="5"/>
  <c r="Q57" i="5" s="1"/>
  <c r="R57" i="5" s="1"/>
  <c r="S57" i="5" s="1"/>
  <c r="K57" i="5" l="1"/>
  <c r="M57" i="5" s="1"/>
  <c r="O58" i="5" s="1"/>
  <c r="L57" i="5"/>
  <c r="J57" i="5"/>
  <c r="I57" i="5"/>
  <c r="N57" i="5"/>
  <c r="F58" i="5" l="1"/>
  <c r="G58" i="5"/>
  <c r="P58" i="5" l="1"/>
  <c r="Q58" i="5" s="1"/>
  <c r="R58" i="5" s="1"/>
  <c r="H58" i="5"/>
  <c r="L58" i="5" l="1"/>
  <c r="N58" i="5"/>
  <c r="J58" i="5"/>
  <c r="K58" i="5"/>
  <c r="M58" i="5" s="1"/>
  <c r="O59" i="5" s="1"/>
  <c r="I58" i="5"/>
  <c r="S58" i="5"/>
  <c r="G59" i="5" l="1"/>
  <c r="F59" i="5"/>
  <c r="H59" i="5" l="1"/>
  <c r="P59" i="5"/>
  <c r="Q59" i="5" s="1"/>
  <c r="R59" i="5" s="1"/>
  <c r="L59" i="5" l="1"/>
  <c r="I59" i="5"/>
  <c r="N59" i="5"/>
  <c r="K59" i="5"/>
  <c r="M59" i="5" s="1"/>
  <c r="O60" i="5" s="1"/>
  <c r="J59" i="5"/>
  <c r="S59" i="5"/>
  <c r="G60" i="5" l="1"/>
  <c r="F60" i="5"/>
  <c r="H60" i="5" l="1"/>
  <c r="P60" i="5"/>
  <c r="Q60" i="5" s="1"/>
  <c r="R60" i="5" s="1"/>
  <c r="S60" i="5" s="1"/>
  <c r="K60" i="5" l="1"/>
  <c r="M60" i="5" s="1"/>
  <c r="O61" i="5" s="1"/>
  <c r="L60" i="5"/>
  <c r="J60" i="5"/>
  <c r="N60" i="5"/>
  <c r="I60" i="5"/>
  <c r="G61" i="5" l="1"/>
  <c r="F61" i="5"/>
  <c r="H61" i="5" l="1"/>
  <c r="P61" i="5"/>
  <c r="Q61" i="5" s="1"/>
  <c r="R61" i="5" s="1"/>
  <c r="L61" i="5" l="1"/>
  <c r="J61" i="5"/>
  <c r="K61" i="5"/>
  <c r="M61" i="5" s="1"/>
  <c r="O62" i="5" s="1"/>
  <c r="I61" i="5"/>
  <c r="N61" i="5"/>
  <c r="S61" i="5"/>
  <c r="F62" i="5" l="1"/>
  <c r="G62" i="5"/>
  <c r="H62" i="5" l="1"/>
  <c r="P62" i="5"/>
  <c r="Q62" i="5" s="1"/>
  <c r="R62" i="5" s="1"/>
  <c r="K62" i="5" l="1"/>
  <c r="M62" i="5" s="1"/>
  <c r="O63" i="5" s="1"/>
  <c r="L62" i="5"/>
  <c r="N62" i="5"/>
  <c r="J62" i="5"/>
  <c r="I62" i="5"/>
  <c r="S62" i="5"/>
  <c r="G63" i="5" l="1"/>
  <c r="F63" i="5"/>
  <c r="H63" i="5" l="1"/>
  <c r="P63" i="5"/>
  <c r="Q63" i="5" s="1"/>
  <c r="R63" i="5" s="1"/>
  <c r="K63" i="5" l="1"/>
  <c r="M63" i="5" s="1"/>
  <c r="O64" i="5" s="1"/>
  <c r="N63" i="5"/>
  <c r="I63" i="5"/>
  <c r="J63" i="5"/>
  <c r="L63" i="5"/>
  <c r="S63" i="5"/>
  <c r="G64" i="5" l="1"/>
  <c r="F64" i="5"/>
  <c r="H64" i="5" l="1"/>
  <c r="P64" i="5"/>
  <c r="Q64" i="5" s="1"/>
  <c r="R64" i="5" s="1"/>
  <c r="L64" i="5" l="1"/>
  <c r="K64" i="5"/>
  <c r="M64" i="5" s="1"/>
  <c r="O65" i="5" s="1"/>
  <c r="J64" i="5"/>
  <c r="I64" i="5"/>
  <c r="N64" i="5"/>
  <c r="S64" i="5"/>
  <c r="G65" i="5" l="1"/>
  <c r="F65" i="5"/>
  <c r="P65" i="5" l="1"/>
  <c r="Q65" i="5" s="1"/>
  <c r="R65" i="5" s="1"/>
  <c r="H65" i="5"/>
  <c r="I65" i="5" l="1"/>
  <c r="N65" i="5"/>
  <c r="K65" i="5"/>
  <c r="M65" i="5" s="1"/>
  <c r="O66" i="5" s="1"/>
  <c r="J65" i="5"/>
  <c r="L65" i="5"/>
  <c r="S65" i="5"/>
  <c r="F66" i="5" l="1"/>
  <c r="G66" i="5"/>
  <c r="H66" i="5" l="1"/>
  <c r="P66" i="5"/>
  <c r="Q66" i="5" s="1"/>
  <c r="R66" i="5" s="1"/>
  <c r="J66" i="5" l="1"/>
  <c r="N66" i="5"/>
  <c r="I66" i="5"/>
  <c r="L66" i="5"/>
  <c r="K66" i="5"/>
  <c r="M66" i="5" s="1"/>
  <c r="O67" i="5" s="1"/>
  <c r="S66" i="5"/>
  <c r="F67" i="5" l="1"/>
  <c r="G67" i="5"/>
  <c r="P67" i="5" l="1"/>
  <c r="Q67" i="5" s="1"/>
  <c r="R67" i="5" s="1"/>
  <c r="H67" i="5"/>
  <c r="J67" i="5" l="1"/>
  <c r="N67" i="5"/>
  <c r="L67" i="5"/>
  <c r="K67" i="5"/>
  <c r="M67" i="5" s="1"/>
  <c r="O68" i="5" s="1"/>
  <c r="I67" i="5"/>
  <c r="S67" i="5"/>
  <c r="G68" i="5" l="1"/>
  <c r="F68" i="5"/>
  <c r="H68" i="5" l="1"/>
  <c r="P68" i="5"/>
  <c r="Q68" i="5" s="1"/>
  <c r="R68" i="5" s="1"/>
  <c r="K68" i="5" l="1"/>
  <c r="M68" i="5" s="1"/>
  <c r="O69" i="5" s="1"/>
  <c r="L68" i="5"/>
  <c r="N68" i="5"/>
  <c r="J68" i="5"/>
  <c r="I68" i="5"/>
  <c r="S68" i="5"/>
  <c r="G69" i="5" l="1"/>
  <c r="F69" i="5"/>
  <c r="P69" i="5" l="1"/>
  <c r="Q69" i="5" s="1"/>
  <c r="R69" i="5" s="1"/>
  <c r="S69" i="5" s="1"/>
  <c r="H69" i="5"/>
  <c r="N69" i="5" l="1"/>
  <c r="L69" i="5"/>
  <c r="K69" i="5"/>
  <c r="M69" i="5" s="1"/>
  <c r="O70" i="5" s="1"/>
  <c r="J69" i="5"/>
  <c r="I69" i="5"/>
  <c r="G70" i="5" l="1"/>
  <c r="F70" i="5"/>
  <c r="P70" i="5" l="1"/>
  <c r="Q70" i="5" s="1"/>
  <c r="R70" i="5" s="1"/>
  <c r="S70" i="5" s="1"/>
  <c r="H70" i="5"/>
  <c r="L70" i="5" l="1"/>
  <c r="I70" i="5"/>
  <c r="K70" i="5"/>
  <c r="M70" i="5" s="1"/>
  <c r="O71" i="5" s="1"/>
  <c r="N70" i="5"/>
  <c r="J70" i="5"/>
  <c r="F71" i="5" l="1"/>
  <c r="G71" i="5"/>
  <c r="H71" i="5" l="1"/>
  <c r="P71" i="5"/>
  <c r="Q71" i="5" s="1"/>
  <c r="R71" i="5" s="1"/>
  <c r="I71" i="5" l="1"/>
  <c r="K71" i="5"/>
  <c r="M71" i="5" s="1"/>
  <c r="O72" i="5" s="1"/>
  <c r="N71" i="5"/>
  <c r="L71" i="5"/>
  <c r="J71" i="5"/>
  <c r="S71" i="5"/>
  <c r="F72" i="5" l="1"/>
  <c r="G72" i="5"/>
  <c r="P72" i="5" l="1"/>
  <c r="Q72" i="5" s="1"/>
  <c r="R72" i="5" s="1"/>
  <c r="H72" i="5"/>
  <c r="I72" i="5" l="1"/>
  <c r="L72" i="5"/>
  <c r="K72" i="5"/>
  <c r="M72" i="5" s="1"/>
  <c r="O73" i="5" s="1"/>
  <c r="N72" i="5"/>
  <c r="J72" i="5"/>
  <c r="S72" i="5"/>
  <c r="G73" i="5" l="1"/>
  <c r="F73" i="5"/>
  <c r="P73" i="5" l="1"/>
  <c r="Q73" i="5" s="1"/>
  <c r="R73" i="5" s="1"/>
  <c r="S73" i="5" s="1"/>
  <c r="H73" i="5"/>
  <c r="K73" i="5" l="1"/>
  <c r="M73" i="5" s="1"/>
  <c r="O74" i="5" s="1"/>
  <c r="N73" i="5"/>
  <c r="I73" i="5"/>
  <c r="L73" i="5"/>
  <c r="J73" i="5"/>
  <c r="F74" i="5" l="1"/>
  <c r="G74" i="5"/>
  <c r="H74" i="5" l="1"/>
  <c r="P74" i="5"/>
  <c r="Q74" i="5" s="1"/>
  <c r="R74" i="5" s="1"/>
  <c r="S74" i="5" s="1"/>
  <c r="J74" i="5" l="1"/>
  <c r="N74" i="5"/>
  <c r="L74" i="5"/>
  <c r="K74" i="5"/>
  <c r="M74" i="5" s="1"/>
  <c r="O75" i="5" s="1"/>
  <c r="I74" i="5"/>
  <c r="F75" i="5" l="1"/>
  <c r="G75" i="5"/>
  <c r="P75" i="5" l="1"/>
  <c r="Q75" i="5" s="1"/>
  <c r="R75" i="5" s="1"/>
  <c r="S75" i="5" s="1"/>
  <c r="H75" i="5"/>
  <c r="L75" i="5" l="1"/>
  <c r="J75" i="5"/>
  <c r="K75" i="5"/>
  <c r="M75" i="5" s="1"/>
  <c r="O76" i="5" s="1"/>
  <c r="N75" i="5"/>
  <c r="I75" i="5"/>
  <c r="F76" i="5" l="1"/>
  <c r="G76" i="5"/>
  <c r="H76" i="5" l="1"/>
  <c r="P76" i="5"/>
  <c r="Q76" i="5" s="1"/>
  <c r="R76" i="5" s="1"/>
  <c r="N76" i="5" l="1"/>
  <c r="L76" i="5"/>
  <c r="K76" i="5"/>
  <c r="M76" i="5" s="1"/>
  <c r="O77" i="5" s="1"/>
  <c r="I76" i="5"/>
  <c r="J76" i="5"/>
  <c r="S76" i="5"/>
  <c r="G77" i="5" l="1"/>
  <c r="F77" i="5"/>
  <c r="P77" i="5" l="1"/>
  <c r="Q77" i="5" s="1"/>
  <c r="R77" i="5" s="1"/>
  <c r="H77" i="5"/>
  <c r="L77" i="5" l="1"/>
  <c r="J77" i="5"/>
  <c r="I77" i="5"/>
  <c r="K77" i="5"/>
  <c r="M77" i="5" s="1"/>
  <c r="O78" i="5" s="1"/>
  <c r="N77" i="5"/>
  <c r="S77" i="5"/>
  <c r="F78" i="5" l="1"/>
  <c r="G78" i="5"/>
  <c r="H78" i="5" l="1"/>
  <c r="P78" i="5"/>
  <c r="Q78" i="5" s="1"/>
  <c r="R78" i="5" s="1"/>
  <c r="N78" i="5" l="1"/>
  <c r="I78" i="5"/>
  <c r="L78" i="5"/>
  <c r="K78" i="5"/>
  <c r="M78" i="5" s="1"/>
  <c r="O79" i="5" s="1"/>
  <c r="J78" i="5"/>
  <c r="S78" i="5"/>
  <c r="F79" i="5" l="1"/>
  <c r="G79" i="5"/>
  <c r="H79" i="5" l="1"/>
  <c r="P79" i="5"/>
  <c r="Q79" i="5" s="1"/>
  <c r="R79" i="5" s="1"/>
  <c r="N79" i="5" l="1"/>
  <c r="J79" i="5"/>
  <c r="I79" i="5"/>
  <c r="L79" i="5"/>
  <c r="K79" i="5"/>
  <c r="M79" i="5" s="1"/>
  <c r="O80" i="5" s="1"/>
  <c r="S79" i="5"/>
  <c r="G80" i="5" l="1"/>
  <c r="F80" i="5"/>
  <c r="P80" i="5" l="1"/>
  <c r="Q80" i="5" s="1"/>
  <c r="R80" i="5" s="1"/>
  <c r="S80" i="5" s="1"/>
  <c r="H80" i="5"/>
  <c r="J80" i="5" l="1"/>
  <c r="K80" i="5"/>
  <c r="M80" i="5" s="1"/>
  <c r="O81" i="5" s="1"/>
  <c r="I80" i="5"/>
  <c r="N80" i="5"/>
  <c r="L80" i="5"/>
  <c r="G81" i="5" l="1"/>
  <c r="F81" i="5"/>
  <c r="P81" i="5" l="1"/>
  <c r="Q81" i="5" s="1"/>
  <c r="R81" i="5" s="1"/>
  <c r="H81" i="5"/>
  <c r="K81" i="5" l="1"/>
  <c r="M81" i="5" s="1"/>
  <c r="O82" i="5" s="1"/>
  <c r="J81" i="5"/>
  <c r="I81" i="5"/>
  <c r="N81" i="5"/>
  <c r="L81" i="5"/>
  <c r="S81" i="5"/>
  <c r="G82" i="5" l="1"/>
  <c r="F82" i="5"/>
  <c r="H82" i="5" l="1"/>
  <c r="P82" i="5"/>
  <c r="Q82" i="5" s="1"/>
  <c r="R82" i="5" s="1"/>
  <c r="S82" i="5" s="1"/>
  <c r="N82" i="5" l="1"/>
  <c r="K82" i="5"/>
  <c r="M82" i="5" s="1"/>
  <c r="O83" i="5" s="1"/>
  <c r="L82" i="5"/>
  <c r="J82" i="5"/>
  <c r="I82" i="5"/>
  <c r="G83" i="5" l="1"/>
  <c r="F83" i="5"/>
  <c r="H83" i="5" l="1"/>
  <c r="P83" i="5"/>
  <c r="Q83" i="5" s="1"/>
  <c r="R83" i="5" s="1"/>
  <c r="S83" i="5" s="1"/>
  <c r="L83" i="5" l="1"/>
  <c r="J83" i="5"/>
  <c r="K83" i="5"/>
  <c r="M83" i="5" s="1"/>
  <c r="O84" i="5" s="1"/>
  <c r="N83" i="5"/>
  <c r="I83" i="5"/>
  <c r="F84" i="5" l="1"/>
  <c r="G84" i="5"/>
  <c r="H84" i="5" l="1"/>
  <c r="P84" i="5"/>
  <c r="Q84" i="5" s="1"/>
  <c r="R84" i="5" s="1"/>
  <c r="I84" i="5" l="1"/>
  <c r="N84" i="5"/>
  <c r="K84" i="5"/>
  <c r="M84" i="5" s="1"/>
  <c r="O85" i="5" s="1"/>
  <c r="L84" i="5"/>
  <c r="J84" i="5"/>
  <c r="S84" i="5"/>
  <c r="G85" i="5" l="1"/>
  <c r="F85" i="5"/>
  <c r="P85" i="5" l="1"/>
  <c r="Q85" i="5" s="1"/>
  <c r="R85" i="5" s="1"/>
  <c r="S85" i="5" s="1"/>
  <c r="H85" i="5"/>
  <c r="I85" i="5" l="1"/>
  <c r="L85" i="5"/>
  <c r="J85" i="5"/>
  <c r="K85" i="5"/>
  <c r="M85" i="5" s="1"/>
  <c r="O86" i="5" s="1"/>
  <c r="N85" i="5"/>
  <c r="G86" i="5" l="1"/>
  <c r="F86" i="5"/>
  <c r="H86" i="5" l="1"/>
  <c r="P86" i="5"/>
  <c r="Q86" i="5" s="1"/>
  <c r="R86" i="5" s="1"/>
  <c r="K86" i="5" l="1"/>
  <c r="M86" i="5" s="1"/>
  <c r="O87" i="5" s="1"/>
  <c r="I86" i="5"/>
  <c r="N86" i="5"/>
  <c r="J86" i="5"/>
  <c r="L86" i="5"/>
  <c r="S86" i="5"/>
  <c r="F87" i="5" l="1"/>
  <c r="G87" i="5"/>
  <c r="H87" i="5" l="1"/>
  <c r="P87" i="5"/>
  <c r="Q87" i="5" s="1"/>
  <c r="R87" i="5" s="1"/>
  <c r="J87" i="5" l="1"/>
  <c r="L87" i="5"/>
  <c r="K87" i="5"/>
  <c r="M87" i="5" s="1"/>
  <c r="O88" i="5" s="1"/>
  <c r="N87" i="5"/>
  <c r="I87" i="5"/>
  <c r="S87" i="5"/>
  <c r="G88" i="5" l="1"/>
  <c r="F88" i="5"/>
  <c r="P88" i="5" l="1"/>
  <c r="Q88" i="5" s="1"/>
  <c r="R88" i="5" s="1"/>
  <c r="S88" i="5" s="1"/>
  <c r="H88" i="5"/>
  <c r="I88" i="5" l="1"/>
  <c r="N88" i="5"/>
  <c r="L88" i="5"/>
  <c r="K88" i="5"/>
  <c r="M88" i="5" s="1"/>
  <c r="O89" i="5" s="1"/>
  <c r="J88" i="5"/>
  <c r="F89" i="5" l="1"/>
  <c r="G89" i="5"/>
  <c r="P89" i="5" l="1"/>
  <c r="Q89" i="5" s="1"/>
  <c r="R89" i="5" s="1"/>
  <c r="H89" i="5"/>
  <c r="K89" i="5" l="1"/>
  <c r="M89" i="5" s="1"/>
  <c r="O90" i="5" s="1"/>
  <c r="L89" i="5"/>
  <c r="I89" i="5"/>
  <c r="N89" i="5"/>
  <c r="J89" i="5"/>
  <c r="S89" i="5"/>
  <c r="F90" i="5" l="1"/>
  <c r="G90" i="5"/>
  <c r="H90" i="5" l="1"/>
  <c r="P90" i="5"/>
  <c r="Q90" i="5" s="1"/>
  <c r="R90" i="5" s="1"/>
  <c r="S90" i="5" s="1"/>
  <c r="L90" i="5" l="1"/>
  <c r="K90" i="5"/>
  <c r="M90" i="5" s="1"/>
  <c r="O91" i="5" s="1"/>
  <c r="I90" i="5"/>
  <c r="J90" i="5"/>
  <c r="N90" i="5"/>
  <c r="F91" i="5" l="1"/>
  <c r="G91" i="5"/>
  <c r="P91" i="5" l="1"/>
  <c r="Q91" i="5" s="1"/>
  <c r="R91" i="5" s="1"/>
  <c r="H91" i="5"/>
  <c r="L91" i="5" l="1"/>
  <c r="K91" i="5"/>
  <c r="M91" i="5" s="1"/>
  <c r="O92" i="5" s="1"/>
  <c r="N91" i="5"/>
  <c r="J91" i="5"/>
  <c r="I91" i="5"/>
  <c r="S91" i="5"/>
  <c r="F92" i="5" l="1"/>
  <c r="G92" i="5"/>
  <c r="H92" i="5" l="1"/>
  <c r="P92" i="5"/>
  <c r="Q92" i="5" s="1"/>
  <c r="R92" i="5" s="1"/>
  <c r="J92" i="5" l="1"/>
  <c r="N92" i="5"/>
  <c r="L92" i="5"/>
  <c r="I92" i="5"/>
  <c r="K92" i="5"/>
  <c r="M92" i="5" s="1"/>
  <c r="O93" i="5" s="1"/>
  <c r="S92" i="5"/>
  <c r="G93" i="5" l="1"/>
  <c r="F93" i="5"/>
  <c r="P93" i="5" l="1"/>
  <c r="Q93" i="5" s="1"/>
  <c r="R93" i="5" s="1"/>
  <c r="S93" i="5" s="1"/>
  <c r="H93" i="5"/>
  <c r="L93" i="5" l="1"/>
  <c r="K93" i="5"/>
  <c r="M93" i="5" s="1"/>
  <c r="O94" i="5" s="1"/>
  <c r="N93" i="5"/>
  <c r="I93" i="5"/>
  <c r="J93" i="5"/>
  <c r="G94" i="5" l="1"/>
  <c r="F94" i="5"/>
  <c r="H94" i="5" l="1"/>
  <c r="P94" i="5"/>
  <c r="Q94" i="5" s="1"/>
  <c r="R94" i="5" s="1"/>
  <c r="K94" i="5" l="1"/>
  <c r="M94" i="5" s="1"/>
  <c r="O95" i="5" s="1"/>
  <c r="I94" i="5"/>
  <c r="L94" i="5"/>
  <c r="J94" i="5"/>
  <c r="N94" i="5"/>
  <c r="S94" i="5"/>
  <c r="F95" i="5" l="1"/>
  <c r="G95" i="5"/>
  <c r="P95" i="5" l="1"/>
  <c r="Q95" i="5" s="1"/>
  <c r="R95" i="5" s="1"/>
  <c r="H95" i="5"/>
  <c r="J95" i="5" l="1"/>
  <c r="L95" i="5"/>
  <c r="K95" i="5"/>
  <c r="M95" i="5" s="1"/>
  <c r="O96" i="5" s="1"/>
  <c r="N95" i="5"/>
  <c r="I95" i="5"/>
  <c r="S95" i="5"/>
  <c r="G96" i="5" l="1"/>
  <c r="F96" i="5"/>
  <c r="P96" i="5" l="1"/>
  <c r="Q96" i="5" s="1"/>
  <c r="R96" i="5" s="1"/>
  <c r="S96" i="5" s="1"/>
  <c r="H96" i="5"/>
  <c r="I96" i="5" l="1"/>
  <c r="L96" i="5"/>
  <c r="K96" i="5"/>
  <c r="M96" i="5" s="1"/>
  <c r="O97" i="5" s="1"/>
  <c r="N96" i="5"/>
  <c r="J96" i="5"/>
  <c r="F97" i="5" l="1"/>
  <c r="G97" i="5"/>
  <c r="P97" i="5" l="1"/>
  <c r="Q97" i="5" s="1"/>
  <c r="R97" i="5" s="1"/>
  <c r="H97" i="5"/>
  <c r="K97" i="5" l="1"/>
  <c r="M97" i="5" s="1"/>
  <c r="O98" i="5" s="1"/>
  <c r="L97" i="5"/>
  <c r="J97" i="5"/>
  <c r="I97" i="5"/>
  <c r="N97" i="5"/>
  <c r="S97" i="5"/>
  <c r="G98" i="5" l="1"/>
  <c r="F98" i="5"/>
  <c r="H98" i="5" l="1"/>
  <c r="P98" i="5"/>
  <c r="Q98" i="5" s="1"/>
  <c r="R98" i="5" s="1"/>
  <c r="L98" i="5" l="1"/>
  <c r="I98" i="5"/>
  <c r="K98" i="5"/>
  <c r="M98" i="5" s="1"/>
  <c r="O99" i="5" s="1"/>
  <c r="J98" i="5"/>
  <c r="N98" i="5"/>
  <c r="S98" i="5"/>
  <c r="G99" i="5" l="1"/>
  <c r="F99" i="5"/>
  <c r="H99" i="5" l="1"/>
  <c r="P99" i="5"/>
  <c r="Q99" i="5" s="1"/>
  <c r="R99" i="5" s="1"/>
  <c r="L99" i="5" l="1"/>
  <c r="K99" i="5"/>
  <c r="M99" i="5" s="1"/>
  <c r="O100" i="5" s="1"/>
  <c r="J99" i="5"/>
  <c r="I99" i="5"/>
  <c r="N99" i="5"/>
  <c r="S99" i="5"/>
  <c r="F100" i="5" l="1"/>
  <c r="G100" i="5"/>
  <c r="H100" i="5" l="1"/>
  <c r="P100" i="5"/>
  <c r="Q100" i="5" s="1"/>
  <c r="R100" i="5" s="1"/>
  <c r="I100" i="5" l="1"/>
  <c r="N100" i="5"/>
  <c r="L100" i="5"/>
  <c r="K100" i="5"/>
  <c r="M100" i="5" s="1"/>
  <c r="O101" i="5" s="1"/>
  <c r="J100" i="5"/>
  <c r="S100" i="5"/>
  <c r="F101" i="5" l="1"/>
  <c r="G101" i="5"/>
  <c r="P101" i="5" l="1"/>
  <c r="Q101" i="5" s="1"/>
  <c r="R101" i="5" s="1"/>
  <c r="H101" i="5"/>
  <c r="K101" i="5" l="1"/>
  <c r="M101" i="5" s="1"/>
  <c r="O102" i="5" s="1"/>
  <c r="N101" i="5"/>
  <c r="I101" i="5"/>
  <c r="L101" i="5"/>
  <c r="J101" i="5"/>
  <c r="S101" i="5"/>
  <c r="G102" i="5" l="1"/>
  <c r="F102" i="5"/>
  <c r="H102" i="5" l="1"/>
  <c r="P102" i="5"/>
  <c r="Q102" i="5" s="1"/>
  <c r="R102" i="5" s="1"/>
  <c r="S102" i="5" s="1"/>
  <c r="J102" i="5" l="1"/>
  <c r="N102" i="5"/>
  <c r="I102" i="5"/>
  <c r="L102" i="5"/>
  <c r="K102" i="5"/>
  <c r="M102" i="5" s="1"/>
  <c r="O103" i="5" s="1"/>
  <c r="G103" i="5" l="1"/>
  <c r="F103" i="5"/>
  <c r="H103" i="5" l="1"/>
  <c r="P103" i="5"/>
  <c r="Q103" i="5" s="1"/>
  <c r="R103" i="5" s="1"/>
  <c r="S103" i="5" s="1"/>
  <c r="L103" i="5" l="1"/>
  <c r="J103" i="5"/>
  <c r="N103" i="5"/>
  <c r="K103" i="5"/>
  <c r="M103" i="5" s="1"/>
  <c r="O104" i="5" s="1"/>
  <c r="I103" i="5"/>
  <c r="G104" i="5" l="1"/>
  <c r="F104" i="5"/>
  <c r="P104" i="5" l="1"/>
  <c r="Q104" i="5" s="1"/>
  <c r="R104" i="5" s="1"/>
  <c r="H104" i="5"/>
  <c r="N104" i="5" l="1"/>
  <c r="L104" i="5"/>
  <c r="K104" i="5"/>
  <c r="M104" i="5" s="1"/>
  <c r="O105" i="5" s="1"/>
  <c r="J104" i="5"/>
  <c r="I104" i="5"/>
  <c r="S104" i="5"/>
  <c r="G105" i="5" l="1"/>
  <c r="F105" i="5"/>
  <c r="P105" i="5" l="1"/>
  <c r="Q105" i="5" s="1"/>
  <c r="R105" i="5" s="1"/>
  <c r="H105" i="5"/>
  <c r="N105" i="5" l="1"/>
  <c r="K105" i="5"/>
  <c r="M105" i="5" s="1"/>
  <c r="O106" i="5" s="1"/>
  <c r="L105" i="5"/>
  <c r="I105" i="5"/>
  <c r="J105" i="5"/>
  <c r="S105" i="5"/>
  <c r="F106" i="5" l="1"/>
  <c r="G106" i="5"/>
  <c r="P106" i="5" l="1"/>
  <c r="Q106" i="5" s="1"/>
  <c r="R106" i="5" s="1"/>
  <c r="S106" i="5" s="1"/>
  <c r="H106" i="5"/>
  <c r="I106" i="5" l="1"/>
  <c r="L106" i="5"/>
  <c r="K106" i="5"/>
  <c r="M106" i="5" s="1"/>
  <c r="O107" i="5" s="1"/>
  <c r="J106" i="5"/>
  <c r="N106" i="5"/>
  <c r="F107" i="5" l="1"/>
  <c r="G107" i="5"/>
  <c r="H107" i="5" l="1"/>
  <c r="P107" i="5"/>
  <c r="Q107" i="5" s="1"/>
  <c r="R107" i="5" s="1"/>
  <c r="J107" i="5" l="1"/>
  <c r="K107" i="5"/>
  <c r="M107" i="5" s="1"/>
  <c r="O108" i="5" s="1"/>
  <c r="L107" i="5"/>
  <c r="N107" i="5"/>
  <c r="I107" i="5"/>
  <c r="S107" i="5"/>
  <c r="F108" i="5" l="1"/>
  <c r="G108" i="5"/>
  <c r="H108" i="5" l="1"/>
  <c r="P108" i="5"/>
  <c r="Q108" i="5" s="1"/>
  <c r="R108" i="5" s="1"/>
  <c r="N108" i="5" l="1"/>
  <c r="K108" i="5"/>
  <c r="M108" i="5" s="1"/>
  <c r="O109" i="5" s="1"/>
  <c r="L108" i="5"/>
  <c r="J108" i="5"/>
  <c r="I108" i="5"/>
  <c r="S108" i="5"/>
  <c r="G109" i="5" l="1"/>
  <c r="F109" i="5"/>
  <c r="P109" i="5" l="1"/>
  <c r="Q109" i="5" s="1"/>
  <c r="R109" i="5" s="1"/>
  <c r="H109" i="5"/>
  <c r="I109" i="5" l="1"/>
  <c r="K109" i="5"/>
  <c r="M109" i="5" s="1"/>
  <c r="O110" i="5" s="1"/>
  <c r="N109" i="5"/>
  <c r="L109" i="5"/>
  <c r="J109" i="5"/>
  <c r="S109" i="5"/>
  <c r="F110" i="5" l="1"/>
  <c r="G110" i="5"/>
  <c r="P110" i="5" l="1"/>
  <c r="Q110" i="5" s="1"/>
  <c r="R110" i="5" s="1"/>
  <c r="H110" i="5"/>
  <c r="S110" i="5"/>
  <c r="I110" i="5" l="1"/>
  <c r="L110" i="5"/>
  <c r="K110" i="5"/>
  <c r="M110" i="5" s="1"/>
  <c r="O111" i="5" s="1"/>
  <c r="J110" i="5"/>
  <c r="N110" i="5"/>
  <c r="G111" i="5" l="1"/>
  <c r="F111" i="5"/>
  <c r="P111" i="5" l="1"/>
  <c r="Q111" i="5" s="1"/>
  <c r="R111" i="5" s="1"/>
  <c r="S111" i="5" s="1"/>
  <c r="H111" i="5"/>
  <c r="K111" i="5" l="1"/>
  <c r="M111" i="5" s="1"/>
  <c r="O112" i="5" s="1"/>
  <c r="J111" i="5"/>
  <c r="N111" i="5"/>
  <c r="L111" i="5"/>
  <c r="I111" i="5"/>
  <c r="G112" i="5" l="1"/>
  <c r="F112" i="5"/>
  <c r="P112" i="5" l="1"/>
  <c r="Q112" i="5" s="1"/>
  <c r="R112" i="5" s="1"/>
  <c r="H112" i="5"/>
  <c r="S112" i="5"/>
  <c r="I112" i="5" l="1"/>
  <c r="K112" i="5"/>
  <c r="M112" i="5" s="1"/>
  <c r="O113" i="5" s="1"/>
  <c r="J112" i="5"/>
  <c r="N112" i="5"/>
  <c r="L112" i="5"/>
  <c r="G113" i="5" l="1"/>
  <c r="F113" i="5"/>
  <c r="P113" i="5" l="1"/>
  <c r="Q113" i="5" s="1"/>
  <c r="R113" i="5" s="1"/>
  <c r="H113" i="5"/>
  <c r="J113" i="5" l="1"/>
  <c r="K113" i="5"/>
  <c r="M113" i="5" s="1"/>
  <c r="O114" i="5" s="1"/>
  <c r="N113" i="5"/>
  <c r="I113" i="5"/>
  <c r="L113" i="5"/>
  <c r="S113" i="5"/>
  <c r="F114" i="5" l="1"/>
  <c r="G114" i="5"/>
  <c r="H114" i="5" l="1"/>
  <c r="P114" i="5"/>
  <c r="Q114" i="5" s="1"/>
  <c r="R114" i="5" s="1"/>
  <c r="L114" i="5" l="1"/>
  <c r="N114" i="5"/>
  <c r="I114" i="5"/>
  <c r="K114" i="5"/>
  <c r="M114" i="5" s="1"/>
  <c r="O115" i="5" s="1"/>
  <c r="J114" i="5"/>
  <c r="S114" i="5"/>
  <c r="F115" i="5" l="1"/>
  <c r="G115" i="5"/>
  <c r="H115" i="5" l="1"/>
  <c r="P115" i="5"/>
  <c r="Q115" i="5" s="1"/>
  <c r="R115" i="5" s="1"/>
  <c r="L115" i="5" l="1"/>
  <c r="J115" i="5"/>
  <c r="N115" i="5"/>
  <c r="I115" i="5"/>
  <c r="K115" i="5"/>
  <c r="M115" i="5" s="1"/>
  <c r="O116" i="5" s="1"/>
  <c r="S115" i="5"/>
  <c r="F116" i="5" l="1"/>
  <c r="G116" i="5"/>
  <c r="P116" i="5" l="1"/>
  <c r="Q116" i="5" s="1"/>
  <c r="R116" i="5" s="1"/>
  <c r="S116" i="5"/>
  <c r="H116" i="5"/>
  <c r="N116" i="5" l="1"/>
  <c r="K116" i="5"/>
  <c r="M116" i="5" s="1"/>
  <c r="O117" i="5" s="1"/>
  <c r="L116" i="5"/>
  <c r="J116" i="5"/>
  <c r="I116" i="5"/>
  <c r="F117" i="5" l="1"/>
  <c r="G117" i="5"/>
  <c r="P117" i="5" l="1"/>
  <c r="Q117" i="5" s="1"/>
  <c r="R117" i="5" s="1"/>
  <c r="S117" i="5" s="1"/>
  <c r="H117" i="5"/>
  <c r="J117" i="5" l="1"/>
  <c r="K117" i="5"/>
  <c r="M117" i="5" s="1"/>
  <c r="O118" i="5" s="1"/>
  <c r="N117" i="5"/>
  <c r="I117" i="5"/>
  <c r="L117" i="5"/>
  <c r="G118" i="5" l="1"/>
  <c r="F118" i="5"/>
  <c r="P118" i="5" l="1"/>
  <c r="Q118" i="5" s="1"/>
  <c r="R118" i="5" s="1"/>
  <c r="H118" i="5"/>
  <c r="S118" i="5"/>
  <c r="I118" i="5" l="1"/>
  <c r="V8" i="5" s="1"/>
  <c r="V12" i="5" s="1"/>
  <c r="L118" i="5"/>
  <c r="N118" i="5"/>
  <c r="K118" i="5"/>
  <c r="M118" i="5" s="1"/>
  <c r="J118" i="5"/>
  <c r="V13" i="5" l="1"/>
  <c r="V9" i="5"/>
  <c r="V1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<sst xmlns="http://schemas.openxmlformats.org/spreadsheetml/2006/main" count="88" uniqueCount="77">
  <si>
    <t>SHEET &amp; COST INPUTS</t>
  </si>
  <si>
    <t>Sheet Width (mm)</t>
  </si>
  <si>
    <t>How to use:</t>
  </si>
  <si>
    <t>Sheet Height (mm)</t>
  </si>
  <si>
    <t>1) Fill CuttingList.
2) Pieces expands automatically.
3) Copy Pieces B:I → paste VALUES into SortedPieces B:H.
4) Sort SortedPieces (Area desc is a good default).
5) Placement calculates Sheet/Row/X/Y + waste.</t>
  </si>
  <si>
    <t>Kerf / Cutting Loss (mm)</t>
  </si>
  <si>
    <t>Edge Clearance (mm)</t>
  </si>
  <si>
    <t>Cost per Sheet</t>
  </si>
  <si>
    <t>Buffer / Breakage %</t>
  </si>
  <si>
    <t>CALCULATED (do not edit)</t>
  </si>
  <si>
    <t>Usable Width UseW (mm)</t>
  </si>
  <si>
    <t>Usable Height UseH (mm)</t>
  </si>
  <si>
    <t>Sheet Area (m²)</t>
  </si>
  <si>
    <t>Usable Area (m²)</t>
  </si>
  <si>
    <t>PartID</t>
  </si>
  <si>
    <t>Width (mm)</t>
  </si>
  <si>
    <t>Height (mm)</t>
  </si>
  <si>
    <t>Qty</t>
  </si>
  <si>
    <t>RotateAllowed (Y/N)</t>
  </si>
  <si>
    <t>Priority</t>
  </si>
  <si>
    <t>Notes</t>
  </si>
  <si>
    <t>StartNo</t>
  </si>
  <si>
    <t>EndNo</t>
  </si>
  <si>
    <t>Area (m²)</t>
  </si>
  <si>
    <t>Total Area (m²)</t>
  </si>
  <si>
    <t>Totals:</t>
  </si>
  <si>
    <t>PieceNo</t>
  </si>
  <si>
    <t>PartRow</t>
  </si>
  <si>
    <t>W (mm)</t>
  </si>
  <si>
    <t>H (mm)</t>
  </si>
  <si>
    <t>RotateAllowed</t>
  </si>
  <si>
    <t>MaxDim (mm)</t>
  </si>
  <si>
    <t>HeightKey (mm)</t>
  </si>
  <si>
    <t>Seq</t>
  </si>
  <si>
    <t>InW</t>
  </si>
  <si>
    <t>InH</t>
  </si>
  <si>
    <t>RotOK</t>
  </si>
  <si>
    <t>PlaceW</t>
  </si>
  <si>
    <t>PlaceH</t>
  </si>
  <si>
    <t>Rotated</t>
  </si>
  <si>
    <t>Sheet#</t>
  </si>
  <si>
    <t>Row#</t>
  </si>
  <si>
    <t>Xstart</t>
  </si>
  <si>
    <t>Ystart</t>
  </si>
  <si>
    <t>Xend</t>
  </si>
  <si>
    <t>RowHeight</t>
  </si>
  <si>
    <t>RemainingW</t>
  </si>
  <si>
    <t>FitInRow</t>
  </si>
  <si>
    <t>NewRow</t>
  </si>
  <si>
    <t>NewSheet</t>
  </si>
  <si>
    <t>Status</t>
  </si>
  <si>
    <t>SUMMARY</t>
  </si>
  <si>
    <t>Sheets Used</t>
  </si>
  <si>
    <t>Total Usable Area (m²)</t>
  </si>
  <si>
    <t>Used Area (m²) (from SortedPieces)</t>
  </si>
  <si>
    <t>Waste %</t>
  </si>
  <si>
    <t>Sheets + Buffer</t>
  </si>
  <si>
    <t>Glass Cost (with buffer)</t>
  </si>
  <si>
    <t>ALI FABRICATION SOLUTIONS LTD - GLASS CUTTING OPTIMISER</t>
  </si>
  <si>
    <t>SORTED PIECES [SORT AREA FROM LARGEST TO SMALLEST FOR OPTIMISATION]</t>
  </si>
  <si>
    <t>PIECES [DO NOT CHANGE ANYTHING HERE]</t>
  </si>
  <si>
    <t>GLASS CUTTING JOBCARD</t>
  </si>
  <si>
    <t>LABEL</t>
  </si>
  <si>
    <t>PROJECT NAME:</t>
  </si>
  <si>
    <t>DATE:</t>
  </si>
  <si>
    <t>GLASS SPECIFICATION:</t>
  </si>
  <si>
    <t>CUTTING LIST [ENTER ALL SIZES REQUIRED HERE]</t>
  </si>
  <si>
    <t>GLASS SPECIFICATIONS</t>
  </si>
  <si>
    <t>8.38MM CLEAR LAMINATED GLASS</t>
  </si>
  <si>
    <t>6.38MM CLEAR LAMINATED GLASS</t>
  </si>
  <si>
    <t>8MM CLEAR FLOAT GLASS</t>
  </si>
  <si>
    <t>6.38MM MILKY LAMINATED GLASS</t>
  </si>
  <si>
    <t>8.38MM MILKY LAMINATED GLASS</t>
  </si>
  <si>
    <t>5MM BRONZE TINTED FLOAT GLASS</t>
  </si>
  <si>
    <t>6.38MM BRONZE TINTED LAMINATED GLASS</t>
  </si>
  <si>
    <t>8.38MM BRONZE ONEWAY LAMINATED GLASS</t>
  </si>
  <si>
    <t>8.38MM GREY TINTED LAMINATED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</si>
</sst>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E7E6E6"/>
      </patternFill>
    </fill>
    <fill>
      <patternFill patternType="solid">
        <fgColor rgb="FF054662"/>
        <bgColor indexed="64"/>
      </patternFill>
    </fill>
    <fill>
      <patternFill patternType="solid">
        <fgColor rgb="FFFF9237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3" fontId="3" fillId="7" borderId="1" xfId="0" applyNumberFormat="1" applyFont="1" applyFill="1" applyBorder="1" applyAlignment="1">
      <alignment horizontal="right" vertical="center"/>
    </xf>
    <xf numFmtId="164" fontId="3" fillId="7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0" fontId="10" fillId="0" borderId="12" xfId="0" applyFont="1" applyBorder="1"/>
    <xf numFmtId="0" fontId="0" fillId="0" borderId="0" xfId="0" applyAlignment="1">
      <alignment horizontal="left" vertical="center"/>
    </xf>
    <xf numFmtId="0" fontId="10" fillId="0" borderId="0" xfId="0" applyFont="1"/>
    <xf numFmtId="0" fontId="11" fillId="7" borderId="12" xfId="0" applyFont="1" applyFill="1" applyBorder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0" fillId="6" borderId="0" xfId="0" applyFill="1"/>
    <xf numFmtId="0" fontId="2" fillId="5" borderId="0" xfId="0" applyFont="1" applyFill="1" applyAlignment="1">
      <alignment horizontal="left" vertical="center"/>
    </xf>
    <xf numFmtId="0" fontId="0" fillId="5" borderId="0" xfId="0" applyFill="1"/>
    <xf numFmtId="0" fontId="0" fillId="4" borderId="1" xfId="0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8" fillId="5" borderId="11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14" fontId="0" fillId="0" borderId="11" xfId="0" applyNumberForma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54662"/>
      <color rgb="FFFF92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50800</xdr:colOff>
      <xdr:row>0</xdr:row>
      <xdr:rowOff>50800</xdr:rowOff>
    </xdr:from>
    <xdr:to>
      <xdr:col>13</xdr:col>
      <xdr:colOff>584200</xdr:colOff>
      <xdr:row>3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0697B-09D0-F146-AFB8-344C5E17B4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8656" b="37394"/>
        <a:stretch/>
      </xdr:blipFill>
      <xdr:spPr>
        <a:xfrm>
          <a:off x="10414000" y="50800"/>
          <a:ext cx="38989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952500</xdr:colOff>
      <xdr:row>1</xdr:row>
      <xdr:rowOff>88900</xdr:rowOff>
    </xdr:from>
    <xdr:to>
      <xdr:col>16</xdr:col>
      <xdr:colOff>419100</xdr:colOff>
      <xdr:row>6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76ED76-882F-D140-8F86-3E0D36809D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8656" b="37394"/>
        <a:stretch/>
      </xdr:blipFill>
      <xdr:spPr>
        <a:xfrm>
          <a:off x="10629900" y="419100"/>
          <a:ext cx="38989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127000</xdr:colOff>
      <xdr:row>2</xdr:row>
      <xdr:rowOff>25400</xdr:rowOff>
    </xdr:from>
    <xdr:to>
      <xdr:col>14</xdr:col>
      <xdr:colOff>660400</xdr:colOff>
      <xdr:row>6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DCDE0-A75E-7B40-A177-BB39ECDAE7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8656" b="37394"/>
        <a:stretch/>
      </xdr:blipFill>
      <xdr:spPr>
        <a:xfrm>
          <a:off x="7708900" y="520700"/>
          <a:ext cx="38989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workbookViewId="0">
      <pane ySplit="4" topLeftCell="A5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3" width="2" customWidth="1"/>
    <col min="4" max="8" width="18" customWidth="1"/>
  </cols>
  <sheetData>
    <row r="1" spans="1:8" ht="28" customHeight="1" x14ac:dyDescent="0.2">
      <c r="A1" s="34" t="s">
        <v>58</v>
      </c>
      <c r="B1" s="24"/>
      <c r="C1" s="24"/>
      <c r="D1" s="24"/>
      <c r="E1" s="24"/>
      <c r="F1" s="24"/>
      <c r="G1" s="24"/>
      <c r="H1" s="24"/>
    </row>
    <row r="3" spans="1:8" ht="20" customHeight="1" x14ac:dyDescent="0.2">
      <c r="A3" s="23" t="s">
        <v>0</v>
      </c>
      <c r="B3" s="24"/>
      <c r="C3" s="24"/>
      <c r="D3" s="24"/>
      <c r="E3" s="24"/>
      <c r="F3" s="24"/>
      <c r="G3" s="24"/>
      <c r="H3" s="24"/>
    </row>
    <row r="5" spans="1:8" x14ac:dyDescent="0.2">
      <c r="A5" s="1" t="s">
        <v>1</v>
      </c>
      <c r="B5" s="12">
        <v>3300</v>
      </c>
      <c r="D5" s="2" t="s">
        <v>2</v>
      </c>
    </row>
    <row r="6" spans="1:8" x14ac:dyDescent="0.2">
      <c r="A6" s="1" t="s">
        <v>3</v>
      </c>
      <c r="B6" s="12">
        <v>2140</v>
      </c>
      <c r="D6" s="25" t="s">
        <v>4</v>
      </c>
      <c r="E6" s="26"/>
      <c r="F6" s="26"/>
      <c r="G6" s="26"/>
      <c r="H6" s="27"/>
    </row>
    <row r="7" spans="1:8" x14ac:dyDescent="0.2">
      <c r="A7" s="1" t="s">
        <v>5</v>
      </c>
      <c r="B7" s="12">
        <v>0</v>
      </c>
      <c r="D7" s="28"/>
      <c r="E7" s="29"/>
      <c r="F7" s="29"/>
      <c r="G7" s="29"/>
      <c r="H7" s="30"/>
    </row>
    <row r="8" spans="1:8" x14ac:dyDescent="0.2">
      <c r="A8" s="1" t="s">
        <v>6</v>
      </c>
      <c r="B8" s="12">
        <v>0</v>
      </c>
      <c r="D8" s="28"/>
      <c r="E8" s="29"/>
      <c r="F8" s="29"/>
      <c r="G8" s="29"/>
      <c r="H8" s="30"/>
    </row>
    <row r="9" spans="1:8" x14ac:dyDescent="0.2">
      <c r="A9" s="1" t="s">
        <v>7</v>
      </c>
      <c r="B9" s="13"/>
      <c r="D9" s="28"/>
      <c r="E9" s="29"/>
      <c r="F9" s="29"/>
      <c r="G9" s="29"/>
      <c r="H9" s="30"/>
    </row>
    <row r="10" spans="1:8" x14ac:dyDescent="0.2">
      <c r="A10" s="1" t="s">
        <v>8</v>
      </c>
      <c r="B10" s="14">
        <v>0</v>
      </c>
      <c r="D10" s="28"/>
      <c r="E10" s="29"/>
      <c r="F10" s="29"/>
      <c r="G10" s="29"/>
      <c r="H10" s="30"/>
    </row>
    <row r="11" spans="1:8" x14ac:dyDescent="0.2">
      <c r="D11" s="28"/>
      <c r="E11" s="29"/>
      <c r="F11" s="29"/>
      <c r="G11" s="29"/>
      <c r="H11" s="30"/>
    </row>
    <row r="12" spans="1:8" x14ac:dyDescent="0.2">
      <c r="D12" s="31"/>
      <c r="E12" s="32"/>
      <c r="F12" s="32"/>
      <c r="G12" s="32"/>
      <c r="H12" s="33"/>
    </row>
    <row r="13" spans="1:8" ht="16" x14ac:dyDescent="0.2">
      <c r="A13" s="21" t="s">
        <v>9</v>
      </c>
      <c r="B13" s="22"/>
      <c r="C13" s="22"/>
      <c r="D13" s="22"/>
      <c r="E13" s="22"/>
      <c r="F13" s="22"/>
      <c r="G13" s="22"/>
      <c r="H13" s="22"/>
    </row>
    <row r="15" spans="1:8" x14ac:dyDescent="0.2">
      <c r="A15" s="3" t="s">
        <v>10</v>
      </c>
      <c r="B15" s="4">
        <f>B5-2*B8</f>
        <v>3300</v>
      </c>
    </row>
    <row r="16" spans="1:8" x14ac:dyDescent="0.2">
      <c r="A16" s="3" t="s">
        <v>11</v>
      </c>
      <c r="B16" s="4">
        <f>B6-2*B8</f>
        <v>2140</v>
      </c>
    </row>
    <row r="17" spans="1:2" x14ac:dyDescent="0.2">
      <c r="A17" s="3" t="s">
        <v>12</v>
      </c>
      <c r="B17" s="4">
        <f>(B5*B6)/1000000</f>
        <v>7.0620000000000003</v>
      </c>
    </row>
    <row r="18" spans="1:2" x14ac:dyDescent="0.2">
      <c r="A18" s="3" t="s">
        <v>13</v>
      </c>
      <c r="B18" s="4">
        <f>(B15*B16)/1000000</f>
        <v>7.0620000000000003</v>
      </c>
    </row>
  </sheetData>
  <mergeCells count="4">
    <mergeCell ref="A13:H13"/>
    <mergeCell ref="A3:H3"/>
    <mergeCell ref="D6:H12"/>
    <mergeCell ref="A1:H1"/>
  </mergeCells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4"/>
  <sheetViews>
    <sheetView showGridLines="0" workbookViewId="0">
      <pane ySplit="2" topLeftCell="A3" activePane="bottomLeft" state="frozen"/>
      <selection pane="bottomLeft" activeCell="A3" sqref="A3:D3"/>
    </sheetView>
  </sheetViews>
  <sheetFormatPr baseColWidth="10" defaultColWidth="8.83203125" defaultRowHeight="15" x14ac:dyDescent="0.2"/>
  <cols>
    <col min="1" max="3" width="12" customWidth="1"/>
    <col min="4" max="4" width="8" customWidth="1"/>
    <col min="5" max="5" width="18" customWidth="1"/>
    <col min="6" max="6" width="9" hidden="1" customWidth="1"/>
    <col min="7" max="7" width="24" hidden="1" customWidth="1"/>
    <col min="8" max="9" width="10" customWidth="1"/>
    <col min="10" max="10" width="12" customWidth="1"/>
    <col min="11" max="11" width="14" customWidth="1"/>
  </cols>
  <sheetData>
    <row r="1" spans="1:11" ht="26" customHeight="1" x14ac:dyDescent="0.2">
      <c r="A1" s="35" t="s">
        <v>66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">
      <c r="A2" s="15" t="s">
        <v>62</v>
      </c>
      <c r="B2" s="15" t="s">
        <v>15</v>
      </c>
      <c r="C2" s="15" t="s">
        <v>16</v>
      </c>
      <c r="D2" s="15" t="s">
        <v>17</v>
      </c>
      <c r="E2" s="15" t="s">
        <v>18</v>
      </c>
      <c r="F2" s="15" t="s">
        <v>19</v>
      </c>
      <c r="G2" s="15" t="s">
        <v>20</v>
      </c>
      <c r="H2" s="15" t="s">
        <v>21</v>
      </c>
      <c r="I2" s="15" t="s">
        <v>22</v>
      </c>
      <c r="J2" s="15" t="s">
        <v>23</v>
      </c>
      <c r="K2" s="15" t="s">
        <v>24</v>
      </c>
    </row>
    <row r="3" spans="1:11" x14ac:dyDescent="0.2">
      <c r="A3" s="3"/>
      <c r="B3" s="4"/>
      <c r="C3" s="4"/>
      <c r="D3" s="4"/>
      <c r="E3" s="4"/>
      <c r="F3" s="3"/>
      <c r="G3" s="3"/>
      <c r="H3" s="4" t="str">
        <f t="shared" ref="H3:H34" si="0">IF($D3="","",IF(ROW()=3,1,IF($I2="",1,$I2+1)))</f>
        <v/>
      </c>
      <c r="I3" s="4" t="str">
        <f t="shared" ref="I3:I34" si="1">IF($D3="","",$H3+$D3-1)</f>
        <v/>
      </c>
      <c r="J3" s="4" t="str">
        <f t="shared" ref="J3:J34" si="2">IF(OR($B3="",$C3=""),"",($B3*$C3)/1000000)</f>
        <v/>
      </c>
      <c r="K3" s="4" t="str">
        <f t="shared" ref="K3:K34" si="3">IF(OR($J3="",$D3=""),"", $J3*$D3)</f>
        <v/>
      </c>
    </row>
    <row r="4" spans="1:11" x14ac:dyDescent="0.2">
      <c r="A4" s="3"/>
      <c r="B4" s="4"/>
      <c r="C4" s="4"/>
      <c r="D4" s="4"/>
      <c r="E4" s="4"/>
      <c r="F4" s="3"/>
      <c r="G4" s="3"/>
      <c r="H4" s="4" t="str">
        <f t="shared" si="0"/>
        <v/>
      </c>
      <c r="I4" s="4" t="str">
        <f t="shared" si="1"/>
        <v/>
      </c>
      <c r="J4" s="4" t="str">
        <f t="shared" si="2"/>
        <v/>
      </c>
      <c r="K4" s="4" t="str">
        <f t="shared" si="3"/>
        <v/>
      </c>
    </row>
    <row r="5" spans="1:11" x14ac:dyDescent="0.2">
      <c r="A5" s="3"/>
      <c r="B5" s="4"/>
      <c r="C5" s="4"/>
      <c r="D5" s="4"/>
      <c r="E5" s="4"/>
      <c r="F5" s="3"/>
      <c r="G5" s="3"/>
      <c r="H5" s="4" t="str">
        <f t="shared" si="0"/>
        <v/>
      </c>
      <c r="I5" s="4" t="str">
        <f t="shared" si="1"/>
        <v/>
      </c>
      <c r="J5" s="4" t="str">
        <f t="shared" si="2"/>
        <v/>
      </c>
      <c r="K5" s="4" t="str">
        <f t="shared" si="3"/>
        <v/>
      </c>
    </row>
    <row r="6" spans="1:11" x14ac:dyDescent="0.2">
      <c r="A6" s="3"/>
      <c r="B6" s="4"/>
      <c r="C6" s="4"/>
      <c r="D6" s="4"/>
      <c r="E6" s="4"/>
      <c r="F6" s="3"/>
      <c r="G6" s="3"/>
      <c r="H6" s="4" t="str">
        <f t="shared" si="0"/>
        <v/>
      </c>
      <c r="I6" s="4" t="str">
        <f t="shared" si="1"/>
        <v/>
      </c>
      <c r="J6" s="4" t="str">
        <f t="shared" si="2"/>
        <v/>
      </c>
      <c r="K6" s="4" t="str">
        <f t="shared" si="3"/>
        <v/>
      </c>
    </row>
    <row r="7" spans="1:11" x14ac:dyDescent="0.2">
      <c r="A7" s="3"/>
      <c r="B7" s="4"/>
      <c r="C7" s="4"/>
      <c r="D7" s="4"/>
      <c r="E7" s="4"/>
      <c r="F7" s="3"/>
      <c r="G7" s="3"/>
      <c r="H7" s="4" t="str">
        <f t="shared" si="0"/>
        <v/>
      </c>
      <c r="I7" s="4" t="str">
        <f t="shared" si="1"/>
        <v/>
      </c>
      <c r="J7" s="4" t="str">
        <f t="shared" si="2"/>
        <v/>
      </c>
      <c r="K7" s="4" t="str">
        <f t="shared" si="3"/>
        <v/>
      </c>
    </row>
    <row r="8" spans="1:11" x14ac:dyDescent="0.2">
      <c r="A8" s="3"/>
      <c r="B8" s="4"/>
      <c r="C8" s="4"/>
      <c r="D8" s="4"/>
      <c r="E8" s="4"/>
      <c r="F8" s="3"/>
      <c r="G8" s="3"/>
      <c r="H8" s="4" t="str">
        <f t="shared" si="0"/>
        <v/>
      </c>
      <c r="I8" s="4" t="str">
        <f t="shared" si="1"/>
        <v/>
      </c>
      <c r="J8" s="4" t="str">
        <f t="shared" si="2"/>
        <v/>
      </c>
      <c r="K8" s="4" t="str">
        <f t="shared" si="3"/>
        <v/>
      </c>
    </row>
    <row r="9" spans="1:11" x14ac:dyDescent="0.2">
      <c r="A9" s="3"/>
      <c r="B9" s="4"/>
      <c r="C9" s="4"/>
      <c r="D9" s="4"/>
      <c r="E9" s="4"/>
      <c r="F9" s="3"/>
      <c r="G9" s="3"/>
      <c r="H9" s="4" t="str">
        <f t="shared" si="0"/>
        <v/>
      </c>
      <c r="I9" s="4" t="str">
        <f t="shared" si="1"/>
        <v/>
      </c>
      <c r="J9" s="4" t="str">
        <f t="shared" si="2"/>
        <v/>
      </c>
      <c r="K9" s="4" t="str">
        <f t="shared" si="3"/>
        <v/>
      </c>
    </row>
    <row r="10" spans="1:11" x14ac:dyDescent="0.2">
      <c r="A10" s="3"/>
      <c r="B10" s="4"/>
      <c r="C10" s="4"/>
      <c r="D10" s="4"/>
      <c r="E10" s="4"/>
      <c r="F10" s="3"/>
      <c r="G10" s="3"/>
      <c r="H10" s="4" t="str">
        <f t="shared" si="0"/>
        <v/>
      </c>
      <c r="I10" s="4" t="str">
        <f t="shared" si="1"/>
        <v/>
      </c>
      <c r="J10" s="4" t="str">
        <f t="shared" si="2"/>
        <v/>
      </c>
      <c r="K10" s="4" t="str">
        <f t="shared" si="3"/>
        <v/>
      </c>
    </row>
    <row r="11" spans="1:11" x14ac:dyDescent="0.2">
      <c r="A11" s="3"/>
      <c r="B11" s="4"/>
      <c r="C11" s="4"/>
      <c r="D11" s="4"/>
      <c r="E11" s="4"/>
      <c r="F11" s="3"/>
      <c r="G11" s="3"/>
      <c r="H11" s="4" t="str">
        <f t="shared" si="0"/>
        <v/>
      </c>
      <c r="I11" s="4" t="str">
        <f t="shared" si="1"/>
        <v/>
      </c>
      <c r="J11" s="4" t="str">
        <f t="shared" si="2"/>
        <v/>
      </c>
      <c r="K11" s="4" t="str">
        <f t="shared" si="3"/>
        <v/>
      </c>
    </row>
    <row r="12" spans="1:11" x14ac:dyDescent="0.2">
      <c r="A12" s="3"/>
      <c r="B12" s="4"/>
      <c r="C12" s="4"/>
      <c r="D12" s="4"/>
      <c r="E12" s="4"/>
      <c r="F12" s="3"/>
      <c r="G12" s="3"/>
      <c r="H12" s="4" t="str">
        <f t="shared" si="0"/>
        <v/>
      </c>
      <c r="I12" s="4" t="str">
        <f t="shared" si="1"/>
        <v/>
      </c>
      <c r="J12" s="4" t="str">
        <f t="shared" si="2"/>
        <v/>
      </c>
      <c r="K12" s="4" t="str">
        <f t="shared" si="3"/>
        <v/>
      </c>
    </row>
    <row r="13" spans="1:11" x14ac:dyDescent="0.2">
      <c r="A13" s="3"/>
      <c r="B13" s="4"/>
      <c r="C13" s="4"/>
      <c r="D13" s="4"/>
      <c r="E13" s="4"/>
      <c r="F13" s="3"/>
      <c r="G13" s="3"/>
      <c r="H13" s="4" t="str">
        <f t="shared" si="0"/>
        <v/>
      </c>
      <c r="I13" s="4" t="str">
        <f t="shared" si="1"/>
        <v/>
      </c>
      <c r="J13" s="4" t="str">
        <f t="shared" si="2"/>
        <v/>
      </c>
      <c r="K13" s="4" t="str">
        <f t="shared" si="3"/>
        <v/>
      </c>
    </row>
    <row r="14" spans="1:11" x14ac:dyDescent="0.2">
      <c r="A14" s="3"/>
      <c r="B14" s="4"/>
      <c r="C14" s="4"/>
      <c r="D14" s="4"/>
      <c r="E14" s="4"/>
      <c r="F14" s="3"/>
      <c r="G14" s="3"/>
      <c r="H14" s="4" t="str">
        <f t="shared" si="0"/>
        <v/>
      </c>
      <c r="I14" s="4" t="str">
        <f t="shared" si="1"/>
        <v/>
      </c>
      <c r="J14" s="4" t="str">
        <f t="shared" si="2"/>
        <v/>
      </c>
      <c r="K14" s="4" t="str">
        <f t="shared" si="3"/>
        <v/>
      </c>
    </row>
    <row r="15" spans="1:11" x14ac:dyDescent="0.2">
      <c r="A15" s="3"/>
      <c r="B15" s="4"/>
      <c r="C15" s="4"/>
      <c r="D15" s="4"/>
      <c r="E15" s="4"/>
      <c r="F15" s="3"/>
      <c r="G15" s="3"/>
      <c r="H15" s="4" t="str">
        <f t="shared" si="0"/>
        <v/>
      </c>
      <c r="I15" s="4" t="str">
        <f t="shared" si="1"/>
        <v/>
      </c>
      <c r="J15" s="4" t="str">
        <f t="shared" si="2"/>
        <v/>
      </c>
      <c r="K15" s="4" t="str">
        <f t="shared" si="3"/>
        <v/>
      </c>
    </row>
    <row r="16" spans="1:11" x14ac:dyDescent="0.2">
      <c r="A16" s="3"/>
      <c r="B16" s="4"/>
      <c r="C16" s="4"/>
      <c r="D16" s="4"/>
      <c r="E16" s="4"/>
      <c r="F16" s="3"/>
      <c r="G16" s="3"/>
      <c r="H16" s="4" t="str">
        <f t="shared" si="0"/>
        <v/>
      </c>
      <c r="I16" s="4" t="str">
        <f t="shared" si="1"/>
        <v/>
      </c>
      <c r="J16" s="4" t="str">
        <f t="shared" si="2"/>
        <v/>
      </c>
      <c r="K16" s="4" t="str">
        <f t="shared" si="3"/>
        <v/>
      </c>
    </row>
    <row r="17" spans="1:11" x14ac:dyDescent="0.2">
      <c r="A17" s="3"/>
      <c r="B17" s="4"/>
      <c r="C17" s="4"/>
      <c r="D17" s="4"/>
      <c r="E17" s="4"/>
      <c r="F17" s="3"/>
      <c r="G17" s="3"/>
      <c r="H17" s="4" t="str">
        <f t="shared" si="0"/>
        <v/>
      </c>
      <c r="I17" s="4" t="str">
        <f t="shared" si="1"/>
        <v/>
      </c>
      <c r="J17" s="4" t="str">
        <f t="shared" si="2"/>
        <v/>
      </c>
      <c r="K17" s="4" t="str">
        <f t="shared" si="3"/>
        <v/>
      </c>
    </row>
    <row r="18" spans="1:11" x14ac:dyDescent="0.2">
      <c r="A18" s="3"/>
      <c r="B18" s="4"/>
      <c r="C18" s="4"/>
      <c r="D18" s="4"/>
      <c r="E18" s="4"/>
      <c r="F18" s="3"/>
      <c r="G18" s="3"/>
      <c r="H18" s="4" t="str">
        <f t="shared" si="0"/>
        <v/>
      </c>
      <c r="I18" s="4" t="str">
        <f t="shared" si="1"/>
        <v/>
      </c>
      <c r="J18" s="4" t="str">
        <f t="shared" si="2"/>
        <v/>
      </c>
      <c r="K18" s="4" t="str">
        <f t="shared" si="3"/>
        <v/>
      </c>
    </row>
    <row r="19" spans="1:11" x14ac:dyDescent="0.2">
      <c r="A19" s="3"/>
      <c r="B19" s="4"/>
      <c r="C19" s="4"/>
      <c r="D19" s="4"/>
      <c r="E19" s="4"/>
      <c r="F19" s="3"/>
      <c r="G19" s="3"/>
      <c r="H19" s="4" t="str">
        <f t="shared" si="0"/>
        <v/>
      </c>
      <c r="I19" s="4" t="str">
        <f t="shared" si="1"/>
        <v/>
      </c>
      <c r="J19" s="4" t="str">
        <f t="shared" si="2"/>
        <v/>
      </c>
      <c r="K19" s="4" t="str">
        <f t="shared" si="3"/>
        <v/>
      </c>
    </row>
    <row r="20" spans="1:11" x14ac:dyDescent="0.2">
      <c r="A20" s="3"/>
      <c r="B20" s="4"/>
      <c r="C20" s="4"/>
      <c r="D20" s="4"/>
      <c r="E20" s="4"/>
      <c r="F20" s="3"/>
      <c r="G20" s="3"/>
      <c r="H20" s="4" t="str">
        <f t="shared" si="0"/>
        <v/>
      </c>
      <c r="I20" s="4" t="str">
        <f t="shared" si="1"/>
        <v/>
      </c>
      <c r="J20" s="4" t="str">
        <f t="shared" si="2"/>
        <v/>
      </c>
      <c r="K20" s="4" t="str">
        <f t="shared" si="3"/>
        <v/>
      </c>
    </row>
    <row r="21" spans="1:11" x14ac:dyDescent="0.2">
      <c r="A21" s="3"/>
      <c r="B21" s="4"/>
      <c r="C21" s="4"/>
      <c r="D21" s="4"/>
      <c r="E21" s="4"/>
      <c r="F21" s="3"/>
      <c r="G21" s="3"/>
      <c r="H21" s="4" t="str">
        <f t="shared" si="0"/>
        <v/>
      </c>
      <c r="I21" s="4" t="str">
        <f t="shared" si="1"/>
        <v/>
      </c>
      <c r="J21" s="4" t="str">
        <f t="shared" si="2"/>
        <v/>
      </c>
      <c r="K21" s="4" t="str">
        <f t="shared" si="3"/>
        <v/>
      </c>
    </row>
    <row r="22" spans="1:11" x14ac:dyDescent="0.2">
      <c r="A22" s="3"/>
      <c r="B22" s="4"/>
      <c r="C22" s="4"/>
      <c r="D22" s="4"/>
      <c r="E22" s="4"/>
      <c r="F22" s="3"/>
      <c r="G22" s="3"/>
      <c r="H22" s="4" t="str">
        <f t="shared" si="0"/>
        <v/>
      </c>
      <c r="I22" s="4" t="str">
        <f t="shared" si="1"/>
        <v/>
      </c>
      <c r="J22" s="4" t="str">
        <f t="shared" si="2"/>
        <v/>
      </c>
      <c r="K22" s="4" t="str">
        <f t="shared" si="3"/>
        <v/>
      </c>
    </row>
    <row r="23" spans="1:11" x14ac:dyDescent="0.2">
      <c r="A23" s="3"/>
      <c r="B23" s="4"/>
      <c r="C23" s="4"/>
      <c r="D23" s="4"/>
      <c r="E23" s="4"/>
      <c r="F23" s="3"/>
      <c r="G23" s="3"/>
      <c r="H23" s="4" t="str">
        <f t="shared" si="0"/>
        <v/>
      </c>
      <c r="I23" s="4" t="str">
        <f t="shared" si="1"/>
        <v/>
      </c>
      <c r="J23" s="4" t="str">
        <f t="shared" si="2"/>
        <v/>
      </c>
      <c r="K23" s="4" t="str">
        <f t="shared" si="3"/>
        <v/>
      </c>
    </row>
    <row r="24" spans="1:11" x14ac:dyDescent="0.2">
      <c r="A24" s="3"/>
      <c r="B24" s="4"/>
      <c r="C24" s="4"/>
      <c r="D24" s="4"/>
      <c r="E24" s="4"/>
      <c r="F24" s="3"/>
      <c r="G24" s="3"/>
      <c r="H24" s="4" t="str">
        <f t="shared" si="0"/>
        <v/>
      </c>
      <c r="I24" s="4" t="str">
        <f t="shared" si="1"/>
        <v/>
      </c>
      <c r="J24" s="4" t="str">
        <f t="shared" si="2"/>
        <v/>
      </c>
      <c r="K24" s="4" t="str">
        <f t="shared" si="3"/>
        <v/>
      </c>
    </row>
    <row r="25" spans="1:11" x14ac:dyDescent="0.2">
      <c r="A25" s="3"/>
      <c r="B25" s="4"/>
      <c r="C25" s="4"/>
      <c r="D25" s="4"/>
      <c r="E25" s="4"/>
      <c r="F25" s="3"/>
      <c r="G25" s="3"/>
      <c r="H25" s="4" t="str">
        <f t="shared" si="0"/>
        <v/>
      </c>
      <c r="I25" s="4" t="str">
        <f t="shared" si="1"/>
        <v/>
      </c>
      <c r="J25" s="4" t="str">
        <f t="shared" si="2"/>
        <v/>
      </c>
      <c r="K25" s="4" t="str">
        <f t="shared" si="3"/>
        <v/>
      </c>
    </row>
    <row r="26" spans="1:11" x14ac:dyDescent="0.2">
      <c r="A26" s="3"/>
      <c r="B26" s="4"/>
      <c r="C26" s="4"/>
      <c r="D26" s="4"/>
      <c r="E26" s="4"/>
      <c r="F26" s="3"/>
      <c r="G26" s="3"/>
      <c r="H26" s="4" t="str">
        <f t="shared" si="0"/>
        <v/>
      </c>
      <c r="I26" s="4" t="str">
        <f t="shared" si="1"/>
        <v/>
      </c>
      <c r="J26" s="4" t="str">
        <f t="shared" si="2"/>
        <v/>
      </c>
      <c r="K26" s="4" t="str">
        <f t="shared" si="3"/>
        <v/>
      </c>
    </row>
    <row r="27" spans="1:11" x14ac:dyDescent="0.2">
      <c r="A27" s="3"/>
      <c r="B27" s="4"/>
      <c r="C27" s="4"/>
      <c r="D27" s="4"/>
      <c r="E27" s="4"/>
      <c r="F27" s="3"/>
      <c r="G27" s="3"/>
      <c r="H27" s="4" t="str">
        <f t="shared" si="0"/>
        <v/>
      </c>
      <c r="I27" s="4" t="str">
        <f t="shared" si="1"/>
        <v/>
      </c>
      <c r="J27" s="4" t="str">
        <f t="shared" si="2"/>
        <v/>
      </c>
      <c r="K27" s="4" t="str">
        <f t="shared" si="3"/>
        <v/>
      </c>
    </row>
    <row r="28" spans="1:11" x14ac:dyDescent="0.2">
      <c r="A28" s="3"/>
      <c r="B28" s="4"/>
      <c r="C28" s="4"/>
      <c r="D28" s="4"/>
      <c r="E28" s="4"/>
      <c r="F28" s="3"/>
      <c r="G28" s="3"/>
      <c r="H28" s="4" t="str">
        <f t="shared" si="0"/>
        <v/>
      </c>
      <c r="I28" s="4" t="str">
        <f t="shared" si="1"/>
        <v/>
      </c>
      <c r="J28" s="4" t="str">
        <f t="shared" si="2"/>
        <v/>
      </c>
      <c r="K28" s="4" t="str">
        <f t="shared" si="3"/>
        <v/>
      </c>
    </row>
    <row r="29" spans="1:11" x14ac:dyDescent="0.2">
      <c r="A29" s="3"/>
      <c r="B29" s="4"/>
      <c r="C29" s="4"/>
      <c r="D29" s="4"/>
      <c r="E29" s="4"/>
      <c r="F29" s="3"/>
      <c r="G29" s="3"/>
      <c r="H29" s="4" t="str">
        <f t="shared" si="0"/>
        <v/>
      </c>
      <c r="I29" s="4" t="str">
        <f t="shared" si="1"/>
        <v/>
      </c>
      <c r="J29" s="4" t="str">
        <f t="shared" si="2"/>
        <v/>
      </c>
      <c r="K29" s="4" t="str">
        <f t="shared" si="3"/>
        <v/>
      </c>
    </row>
    <row r="30" spans="1:11" x14ac:dyDescent="0.2">
      <c r="A30" s="3"/>
      <c r="B30" s="4"/>
      <c r="C30" s="4"/>
      <c r="D30" s="4"/>
      <c r="E30" s="4"/>
      <c r="F30" s="3"/>
      <c r="G30" s="3"/>
      <c r="H30" s="4" t="str">
        <f t="shared" si="0"/>
        <v/>
      </c>
      <c r="I30" s="4" t="str">
        <f t="shared" si="1"/>
        <v/>
      </c>
      <c r="J30" s="4" t="str">
        <f t="shared" si="2"/>
        <v/>
      </c>
      <c r="K30" s="4" t="str">
        <f t="shared" si="3"/>
        <v/>
      </c>
    </row>
    <row r="31" spans="1:11" x14ac:dyDescent="0.2">
      <c r="A31" s="3"/>
      <c r="B31" s="4"/>
      <c r="C31" s="4"/>
      <c r="D31" s="4"/>
      <c r="E31" s="4"/>
      <c r="F31" s="3"/>
      <c r="G31" s="3"/>
      <c r="H31" s="4" t="str">
        <f t="shared" si="0"/>
        <v/>
      </c>
      <c r="I31" s="4" t="str">
        <f t="shared" si="1"/>
        <v/>
      </c>
      <c r="J31" s="4" t="str">
        <f t="shared" si="2"/>
        <v/>
      </c>
      <c r="K31" s="4" t="str">
        <f t="shared" si="3"/>
        <v/>
      </c>
    </row>
    <row r="32" spans="1:11" x14ac:dyDescent="0.2">
      <c r="A32" s="3"/>
      <c r="B32" s="4"/>
      <c r="C32" s="4"/>
      <c r="D32" s="4"/>
      <c r="E32" s="4"/>
      <c r="F32" s="3"/>
      <c r="G32" s="3"/>
      <c r="H32" s="4" t="str">
        <f t="shared" si="0"/>
        <v/>
      </c>
      <c r="I32" s="4" t="str">
        <f t="shared" si="1"/>
        <v/>
      </c>
      <c r="J32" s="4" t="str">
        <f t="shared" si="2"/>
        <v/>
      </c>
      <c r="K32" s="4" t="str">
        <f t="shared" si="3"/>
        <v/>
      </c>
    </row>
    <row r="33" spans="1:11" x14ac:dyDescent="0.2">
      <c r="A33" s="3"/>
      <c r="B33" s="4"/>
      <c r="C33" s="4"/>
      <c r="D33" s="4"/>
      <c r="E33" s="4"/>
      <c r="F33" s="3"/>
      <c r="G33" s="3"/>
      <c r="H33" s="4" t="str">
        <f t="shared" si="0"/>
        <v/>
      </c>
      <c r="I33" s="4" t="str">
        <f t="shared" si="1"/>
        <v/>
      </c>
      <c r="J33" s="4" t="str">
        <f t="shared" si="2"/>
        <v/>
      </c>
      <c r="K33" s="4" t="str">
        <f t="shared" si="3"/>
        <v/>
      </c>
    </row>
    <row r="34" spans="1:11" x14ac:dyDescent="0.2">
      <c r="A34" s="3"/>
      <c r="B34" s="4"/>
      <c r="C34" s="4"/>
      <c r="D34" s="4"/>
      <c r="E34" s="4"/>
      <c r="F34" s="3"/>
      <c r="G34" s="3"/>
      <c r="H34" s="4" t="str">
        <f t="shared" si="0"/>
        <v/>
      </c>
      <c r="I34" s="4" t="str">
        <f t="shared" si="1"/>
        <v/>
      </c>
      <c r="J34" s="4" t="str">
        <f t="shared" si="2"/>
        <v/>
      </c>
      <c r="K34" s="4" t="str">
        <f t="shared" si="3"/>
        <v/>
      </c>
    </row>
    <row r="35" spans="1:11" x14ac:dyDescent="0.2">
      <c r="A35" s="3"/>
      <c r="B35" s="4"/>
      <c r="C35" s="4"/>
      <c r="D35" s="4"/>
      <c r="E35" s="4"/>
      <c r="F35" s="3"/>
      <c r="G35" s="3"/>
      <c r="H35" s="4" t="str">
        <f t="shared" ref="H35:H66" si="4">IF($D35="","",IF(ROW()=3,1,IF($I34="",1,$I34+1)))</f>
        <v/>
      </c>
      <c r="I35" s="4" t="str">
        <f t="shared" ref="I35:I66" si="5">IF($D35="","",$H35+$D35-1)</f>
        <v/>
      </c>
      <c r="J35" s="4" t="str">
        <f t="shared" ref="J35:J66" si="6">IF(OR($B35="",$C35=""),"",($B35*$C35)/1000000)</f>
        <v/>
      </c>
      <c r="K35" s="4" t="str">
        <f t="shared" ref="K35:K66" si="7">IF(OR($J35="",$D35=""),"", $J35*$D35)</f>
        <v/>
      </c>
    </row>
    <row r="36" spans="1:11" x14ac:dyDescent="0.2">
      <c r="A36" s="3"/>
      <c r="B36" s="4"/>
      <c r="C36" s="4"/>
      <c r="D36" s="4"/>
      <c r="E36" s="4"/>
      <c r="F36" s="3"/>
      <c r="G36" s="3"/>
      <c r="H36" s="4" t="str">
        <f t="shared" si="4"/>
        <v/>
      </c>
      <c r="I36" s="4" t="str">
        <f t="shared" si="5"/>
        <v/>
      </c>
      <c r="J36" s="4" t="str">
        <f t="shared" si="6"/>
        <v/>
      </c>
      <c r="K36" s="4" t="str">
        <f t="shared" si="7"/>
        <v/>
      </c>
    </row>
    <row r="37" spans="1:11" x14ac:dyDescent="0.2">
      <c r="A37" s="3"/>
      <c r="B37" s="4"/>
      <c r="C37" s="4"/>
      <c r="D37" s="4"/>
      <c r="E37" s="4"/>
      <c r="F37" s="3"/>
      <c r="G37" s="3"/>
      <c r="H37" s="4" t="str">
        <f t="shared" si="4"/>
        <v/>
      </c>
      <c r="I37" s="4" t="str">
        <f t="shared" si="5"/>
        <v/>
      </c>
      <c r="J37" s="4" t="str">
        <f t="shared" si="6"/>
        <v/>
      </c>
      <c r="K37" s="4" t="str">
        <f t="shared" si="7"/>
        <v/>
      </c>
    </row>
    <row r="38" spans="1:11" x14ac:dyDescent="0.2">
      <c r="A38" s="3"/>
      <c r="B38" s="4"/>
      <c r="C38" s="4"/>
      <c r="D38" s="4"/>
      <c r="E38" s="4"/>
      <c r="F38" s="3"/>
      <c r="G38" s="3"/>
      <c r="H38" s="4" t="str">
        <f t="shared" si="4"/>
        <v/>
      </c>
      <c r="I38" s="4" t="str">
        <f t="shared" si="5"/>
        <v/>
      </c>
      <c r="J38" s="4" t="str">
        <f t="shared" si="6"/>
        <v/>
      </c>
      <c r="K38" s="4" t="str">
        <f t="shared" si="7"/>
        <v/>
      </c>
    </row>
    <row r="39" spans="1:11" x14ac:dyDescent="0.2">
      <c r="A39" s="3"/>
      <c r="B39" s="4"/>
      <c r="C39" s="4"/>
      <c r="D39" s="4"/>
      <c r="E39" s="4"/>
      <c r="F39" s="3"/>
      <c r="G39" s="3"/>
      <c r="H39" s="4" t="str">
        <f t="shared" si="4"/>
        <v/>
      </c>
      <c r="I39" s="4" t="str">
        <f t="shared" si="5"/>
        <v/>
      </c>
      <c r="J39" s="4" t="str">
        <f t="shared" si="6"/>
        <v/>
      </c>
      <c r="K39" s="4" t="str">
        <f t="shared" si="7"/>
        <v/>
      </c>
    </row>
    <row r="40" spans="1:11" x14ac:dyDescent="0.2">
      <c r="A40" s="3"/>
      <c r="B40" s="4"/>
      <c r="C40" s="4"/>
      <c r="D40" s="4"/>
      <c r="E40" s="4"/>
      <c r="F40" s="3"/>
      <c r="G40" s="3"/>
      <c r="H40" s="4" t="str">
        <f t="shared" si="4"/>
        <v/>
      </c>
      <c r="I40" s="4" t="str">
        <f t="shared" si="5"/>
        <v/>
      </c>
      <c r="J40" s="4" t="str">
        <f t="shared" si="6"/>
        <v/>
      </c>
      <c r="K40" s="4" t="str">
        <f t="shared" si="7"/>
        <v/>
      </c>
    </row>
    <row r="41" spans="1:11" x14ac:dyDescent="0.2">
      <c r="A41" s="3"/>
      <c r="B41" s="4"/>
      <c r="C41" s="4"/>
      <c r="D41" s="4"/>
      <c r="E41" s="4"/>
      <c r="F41" s="3"/>
      <c r="G41" s="3"/>
      <c r="H41" s="4" t="str">
        <f t="shared" si="4"/>
        <v/>
      </c>
      <c r="I41" s="4" t="str">
        <f t="shared" si="5"/>
        <v/>
      </c>
      <c r="J41" s="4" t="str">
        <f t="shared" si="6"/>
        <v/>
      </c>
      <c r="K41" s="4" t="str">
        <f t="shared" si="7"/>
        <v/>
      </c>
    </row>
    <row r="42" spans="1:11" x14ac:dyDescent="0.2">
      <c r="A42" s="3"/>
      <c r="B42" s="4"/>
      <c r="C42" s="4"/>
      <c r="D42" s="4"/>
      <c r="E42" s="4"/>
      <c r="F42" s="3"/>
      <c r="G42" s="3"/>
      <c r="H42" s="4" t="str">
        <f t="shared" si="4"/>
        <v/>
      </c>
      <c r="I42" s="4" t="str">
        <f t="shared" si="5"/>
        <v/>
      </c>
      <c r="J42" s="4" t="str">
        <f t="shared" si="6"/>
        <v/>
      </c>
      <c r="K42" s="4" t="str">
        <f t="shared" si="7"/>
        <v/>
      </c>
    </row>
    <row r="43" spans="1:11" x14ac:dyDescent="0.2">
      <c r="A43" s="3"/>
      <c r="B43" s="4"/>
      <c r="C43" s="4"/>
      <c r="D43" s="4"/>
      <c r="E43" s="4"/>
      <c r="F43" s="3"/>
      <c r="G43" s="3"/>
      <c r="H43" s="4" t="str">
        <f t="shared" si="4"/>
        <v/>
      </c>
      <c r="I43" s="4" t="str">
        <f t="shared" si="5"/>
        <v/>
      </c>
      <c r="J43" s="4" t="str">
        <f t="shared" si="6"/>
        <v/>
      </c>
      <c r="K43" s="4" t="str">
        <f t="shared" si="7"/>
        <v/>
      </c>
    </row>
    <row r="44" spans="1:11" x14ac:dyDescent="0.2">
      <c r="A44" s="3"/>
      <c r="B44" s="4"/>
      <c r="C44" s="4"/>
      <c r="D44" s="4"/>
      <c r="E44" s="4"/>
      <c r="F44" s="3"/>
      <c r="G44" s="3"/>
      <c r="H44" s="4" t="str">
        <f t="shared" si="4"/>
        <v/>
      </c>
      <c r="I44" s="4" t="str">
        <f t="shared" si="5"/>
        <v/>
      </c>
      <c r="J44" s="4" t="str">
        <f t="shared" si="6"/>
        <v/>
      </c>
      <c r="K44" s="4" t="str">
        <f t="shared" si="7"/>
        <v/>
      </c>
    </row>
    <row r="45" spans="1:11" x14ac:dyDescent="0.2">
      <c r="A45" s="3"/>
      <c r="B45" s="4"/>
      <c r="C45" s="4"/>
      <c r="D45" s="4"/>
      <c r="E45" s="4"/>
      <c r="F45" s="3"/>
      <c r="G45" s="3"/>
      <c r="H45" s="4" t="str">
        <f t="shared" si="4"/>
        <v/>
      </c>
      <c r="I45" s="4" t="str">
        <f t="shared" si="5"/>
        <v/>
      </c>
      <c r="J45" s="4" t="str">
        <f t="shared" si="6"/>
        <v/>
      </c>
      <c r="K45" s="4" t="str">
        <f t="shared" si="7"/>
        <v/>
      </c>
    </row>
    <row r="46" spans="1:11" x14ac:dyDescent="0.2">
      <c r="A46" s="3"/>
      <c r="B46" s="4"/>
      <c r="C46" s="4"/>
      <c r="D46" s="4"/>
      <c r="E46" s="4"/>
      <c r="F46" s="3"/>
      <c r="G46" s="3"/>
      <c r="H46" s="4" t="str">
        <f t="shared" si="4"/>
        <v/>
      </c>
      <c r="I46" s="4" t="str">
        <f t="shared" si="5"/>
        <v/>
      </c>
      <c r="J46" s="4" t="str">
        <f t="shared" si="6"/>
        <v/>
      </c>
      <c r="K46" s="4" t="str">
        <f t="shared" si="7"/>
        <v/>
      </c>
    </row>
    <row r="47" spans="1:11" x14ac:dyDescent="0.2">
      <c r="A47" s="3"/>
      <c r="B47" s="4"/>
      <c r="C47" s="4"/>
      <c r="D47" s="4"/>
      <c r="E47" s="4"/>
      <c r="F47" s="3"/>
      <c r="G47" s="3"/>
      <c r="H47" s="4" t="str">
        <f t="shared" si="4"/>
        <v/>
      </c>
      <c r="I47" s="4" t="str">
        <f t="shared" si="5"/>
        <v/>
      </c>
      <c r="J47" s="4" t="str">
        <f t="shared" si="6"/>
        <v/>
      </c>
      <c r="K47" s="4" t="str">
        <f t="shared" si="7"/>
        <v/>
      </c>
    </row>
    <row r="48" spans="1:11" x14ac:dyDescent="0.2">
      <c r="A48" s="3"/>
      <c r="B48" s="4"/>
      <c r="C48" s="4"/>
      <c r="D48" s="4"/>
      <c r="E48" s="4"/>
      <c r="F48" s="3"/>
      <c r="G48" s="3"/>
      <c r="H48" s="4" t="str">
        <f t="shared" si="4"/>
        <v/>
      </c>
      <c r="I48" s="4" t="str">
        <f t="shared" si="5"/>
        <v/>
      </c>
      <c r="J48" s="4" t="str">
        <f t="shared" si="6"/>
        <v/>
      </c>
      <c r="K48" s="4" t="str">
        <f t="shared" si="7"/>
        <v/>
      </c>
    </row>
    <row r="49" spans="1:11" x14ac:dyDescent="0.2">
      <c r="A49" s="3"/>
      <c r="B49" s="4"/>
      <c r="C49" s="4"/>
      <c r="D49" s="4"/>
      <c r="E49" s="4"/>
      <c r="F49" s="3"/>
      <c r="G49" s="3"/>
      <c r="H49" s="4" t="str">
        <f t="shared" si="4"/>
        <v/>
      </c>
      <c r="I49" s="4" t="str">
        <f t="shared" si="5"/>
        <v/>
      </c>
      <c r="J49" s="4" t="str">
        <f t="shared" si="6"/>
        <v/>
      </c>
      <c r="K49" s="4" t="str">
        <f t="shared" si="7"/>
        <v/>
      </c>
    </row>
    <row r="50" spans="1:11" x14ac:dyDescent="0.2">
      <c r="A50" s="3"/>
      <c r="B50" s="4"/>
      <c r="C50" s="4"/>
      <c r="D50" s="4"/>
      <c r="E50" s="4"/>
      <c r="F50" s="3"/>
      <c r="G50" s="3"/>
      <c r="H50" s="4" t="str">
        <f t="shared" si="4"/>
        <v/>
      </c>
      <c r="I50" s="4" t="str">
        <f t="shared" si="5"/>
        <v/>
      </c>
      <c r="J50" s="4" t="str">
        <f t="shared" si="6"/>
        <v/>
      </c>
      <c r="K50" s="4" t="str">
        <f t="shared" si="7"/>
        <v/>
      </c>
    </row>
    <row r="51" spans="1:11" x14ac:dyDescent="0.2">
      <c r="A51" s="3"/>
      <c r="B51" s="4"/>
      <c r="C51" s="4"/>
      <c r="D51" s="4"/>
      <c r="E51" s="4"/>
      <c r="F51" s="3"/>
      <c r="G51" s="3"/>
      <c r="H51" s="4" t="str">
        <f t="shared" si="4"/>
        <v/>
      </c>
      <c r="I51" s="4" t="str">
        <f t="shared" si="5"/>
        <v/>
      </c>
      <c r="J51" s="4" t="str">
        <f t="shared" si="6"/>
        <v/>
      </c>
      <c r="K51" s="4" t="str">
        <f t="shared" si="7"/>
        <v/>
      </c>
    </row>
    <row r="52" spans="1:11" x14ac:dyDescent="0.2">
      <c r="A52" s="3"/>
      <c r="B52" s="4"/>
      <c r="C52" s="4"/>
      <c r="D52" s="4"/>
      <c r="E52" s="4"/>
      <c r="F52" s="3"/>
      <c r="G52" s="3"/>
      <c r="H52" s="4" t="str">
        <f t="shared" si="4"/>
        <v/>
      </c>
      <c r="I52" s="4" t="str">
        <f t="shared" si="5"/>
        <v/>
      </c>
      <c r="J52" s="4" t="str">
        <f t="shared" si="6"/>
        <v/>
      </c>
      <c r="K52" s="4" t="str">
        <f t="shared" si="7"/>
        <v/>
      </c>
    </row>
    <row r="53" spans="1:11" x14ac:dyDescent="0.2">
      <c r="A53" s="3"/>
      <c r="B53" s="4"/>
      <c r="C53" s="4"/>
      <c r="D53" s="4"/>
      <c r="E53" s="4"/>
      <c r="F53" s="3"/>
      <c r="G53" s="3"/>
      <c r="H53" s="4" t="str">
        <f t="shared" si="4"/>
        <v/>
      </c>
      <c r="I53" s="4" t="str">
        <f t="shared" si="5"/>
        <v/>
      </c>
      <c r="J53" s="4" t="str">
        <f t="shared" si="6"/>
        <v/>
      </c>
      <c r="K53" s="4" t="str">
        <f t="shared" si="7"/>
        <v/>
      </c>
    </row>
    <row r="54" spans="1:11" x14ac:dyDescent="0.2">
      <c r="A54" s="3"/>
      <c r="B54" s="4"/>
      <c r="C54" s="4"/>
      <c r="D54" s="4"/>
      <c r="E54" s="4"/>
      <c r="F54" s="3"/>
      <c r="G54" s="3"/>
      <c r="H54" s="4" t="str">
        <f t="shared" si="4"/>
        <v/>
      </c>
      <c r="I54" s="4" t="str">
        <f t="shared" si="5"/>
        <v/>
      </c>
      <c r="J54" s="4" t="str">
        <f t="shared" si="6"/>
        <v/>
      </c>
      <c r="K54" s="4" t="str">
        <f t="shared" si="7"/>
        <v/>
      </c>
    </row>
    <row r="55" spans="1:11" x14ac:dyDescent="0.2">
      <c r="A55" s="3"/>
      <c r="B55" s="4"/>
      <c r="C55" s="4"/>
      <c r="D55" s="4"/>
      <c r="E55" s="4"/>
      <c r="F55" s="3"/>
      <c r="G55" s="3"/>
      <c r="H55" s="4" t="str">
        <f t="shared" si="4"/>
        <v/>
      </c>
      <c r="I55" s="4" t="str">
        <f t="shared" si="5"/>
        <v/>
      </c>
      <c r="J55" s="4" t="str">
        <f t="shared" si="6"/>
        <v/>
      </c>
      <c r="K55" s="4" t="str">
        <f t="shared" si="7"/>
        <v/>
      </c>
    </row>
    <row r="56" spans="1:11" x14ac:dyDescent="0.2">
      <c r="A56" s="3"/>
      <c r="B56" s="4"/>
      <c r="C56" s="4"/>
      <c r="D56" s="4"/>
      <c r="E56" s="4"/>
      <c r="F56" s="3"/>
      <c r="G56" s="3"/>
      <c r="H56" s="4" t="str">
        <f t="shared" si="4"/>
        <v/>
      </c>
      <c r="I56" s="4" t="str">
        <f t="shared" si="5"/>
        <v/>
      </c>
      <c r="J56" s="4" t="str">
        <f t="shared" si="6"/>
        <v/>
      </c>
      <c r="K56" s="4" t="str">
        <f t="shared" si="7"/>
        <v/>
      </c>
    </row>
    <row r="57" spans="1:11" x14ac:dyDescent="0.2">
      <c r="A57" s="3"/>
      <c r="B57" s="4"/>
      <c r="C57" s="4"/>
      <c r="D57" s="4"/>
      <c r="E57" s="4"/>
      <c r="F57" s="3"/>
      <c r="G57" s="3"/>
      <c r="H57" s="4" t="str">
        <f t="shared" si="4"/>
        <v/>
      </c>
      <c r="I57" s="4" t="str">
        <f t="shared" si="5"/>
        <v/>
      </c>
      <c r="J57" s="4" t="str">
        <f t="shared" si="6"/>
        <v/>
      </c>
      <c r="K57" s="4" t="str">
        <f t="shared" si="7"/>
        <v/>
      </c>
    </row>
    <row r="58" spans="1:11" x14ac:dyDescent="0.2">
      <c r="A58" s="3"/>
      <c r="B58" s="4"/>
      <c r="C58" s="4"/>
      <c r="D58" s="4"/>
      <c r="E58" s="4"/>
      <c r="F58" s="3"/>
      <c r="G58" s="3"/>
      <c r="H58" s="4" t="str">
        <f t="shared" si="4"/>
        <v/>
      </c>
      <c r="I58" s="4" t="str">
        <f t="shared" si="5"/>
        <v/>
      </c>
      <c r="J58" s="4" t="str">
        <f t="shared" si="6"/>
        <v/>
      </c>
      <c r="K58" s="4" t="str">
        <f t="shared" si="7"/>
        <v/>
      </c>
    </row>
    <row r="59" spans="1:11" x14ac:dyDescent="0.2">
      <c r="A59" s="3"/>
      <c r="B59" s="4"/>
      <c r="C59" s="4"/>
      <c r="D59" s="4"/>
      <c r="E59" s="4"/>
      <c r="F59" s="3"/>
      <c r="G59" s="3"/>
      <c r="H59" s="4" t="str">
        <f t="shared" si="4"/>
        <v/>
      </c>
      <c r="I59" s="4" t="str">
        <f t="shared" si="5"/>
        <v/>
      </c>
      <c r="J59" s="4" t="str">
        <f t="shared" si="6"/>
        <v/>
      </c>
      <c r="K59" s="4" t="str">
        <f t="shared" si="7"/>
        <v/>
      </c>
    </row>
    <row r="60" spans="1:11" x14ac:dyDescent="0.2">
      <c r="A60" s="3"/>
      <c r="B60" s="4"/>
      <c r="C60" s="4"/>
      <c r="D60" s="4"/>
      <c r="E60" s="4"/>
      <c r="F60" s="3"/>
      <c r="G60" s="3"/>
      <c r="H60" s="4" t="str">
        <f t="shared" si="4"/>
        <v/>
      </c>
      <c r="I60" s="4" t="str">
        <f t="shared" si="5"/>
        <v/>
      </c>
      <c r="J60" s="4" t="str">
        <f t="shared" si="6"/>
        <v/>
      </c>
      <c r="K60" s="4" t="str">
        <f t="shared" si="7"/>
        <v/>
      </c>
    </row>
    <row r="61" spans="1:11" x14ac:dyDescent="0.2">
      <c r="A61" s="3"/>
      <c r="B61" s="4"/>
      <c r="C61" s="4"/>
      <c r="D61" s="4"/>
      <c r="E61" s="4"/>
      <c r="F61" s="3"/>
      <c r="G61" s="3"/>
      <c r="H61" s="4" t="str">
        <f t="shared" si="4"/>
        <v/>
      </c>
      <c r="I61" s="4" t="str">
        <f t="shared" si="5"/>
        <v/>
      </c>
      <c r="J61" s="4" t="str">
        <f t="shared" si="6"/>
        <v/>
      </c>
      <c r="K61" s="4" t="str">
        <f t="shared" si="7"/>
        <v/>
      </c>
    </row>
    <row r="62" spans="1:11" x14ac:dyDescent="0.2">
      <c r="A62" s="3"/>
      <c r="B62" s="4"/>
      <c r="C62" s="4"/>
      <c r="D62" s="4"/>
      <c r="E62" s="4"/>
      <c r="F62" s="3"/>
      <c r="G62" s="3"/>
      <c r="H62" s="4" t="str">
        <f t="shared" si="4"/>
        <v/>
      </c>
      <c r="I62" s="4" t="str">
        <f t="shared" si="5"/>
        <v/>
      </c>
      <c r="J62" s="4" t="str">
        <f t="shared" si="6"/>
        <v/>
      </c>
      <c r="K62" s="4" t="str">
        <f t="shared" si="7"/>
        <v/>
      </c>
    </row>
    <row r="63" spans="1:11" x14ac:dyDescent="0.2">
      <c r="A63" s="3"/>
      <c r="B63" s="4"/>
      <c r="C63" s="4"/>
      <c r="D63" s="4"/>
      <c r="E63" s="4"/>
      <c r="F63" s="3"/>
      <c r="G63" s="3"/>
      <c r="H63" s="4" t="str">
        <f t="shared" si="4"/>
        <v/>
      </c>
      <c r="I63" s="4" t="str">
        <f t="shared" si="5"/>
        <v/>
      </c>
      <c r="J63" s="4" t="str">
        <f t="shared" si="6"/>
        <v/>
      </c>
      <c r="K63" s="4" t="str">
        <f t="shared" si="7"/>
        <v/>
      </c>
    </row>
    <row r="64" spans="1:11" x14ac:dyDescent="0.2">
      <c r="A64" s="3"/>
      <c r="B64" s="4"/>
      <c r="C64" s="4"/>
      <c r="D64" s="4"/>
      <c r="E64" s="4"/>
      <c r="F64" s="3"/>
      <c r="G64" s="3"/>
      <c r="H64" s="4" t="str">
        <f t="shared" si="4"/>
        <v/>
      </c>
      <c r="I64" s="4" t="str">
        <f t="shared" si="5"/>
        <v/>
      </c>
      <c r="J64" s="4" t="str">
        <f t="shared" si="6"/>
        <v/>
      </c>
      <c r="K64" s="4" t="str">
        <f t="shared" si="7"/>
        <v/>
      </c>
    </row>
    <row r="65" spans="1:11" x14ac:dyDescent="0.2">
      <c r="A65" s="3"/>
      <c r="B65" s="4"/>
      <c r="C65" s="4"/>
      <c r="D65" s="4"/>
      <c r="E65" s="4"/>
      <c r="F65" s="3"/>
      <c r="G65" s="3"/>
      <c r="H65" s="4" t="str">
        <f t="shared" si="4"/>
        <v/>
      </c>
      <c r="I65" s="4" t="str">
        <f t="shared" si="5"/>
        <v/>
      </c>
      <c r="J65" s="4" t="str">
        <f t="shared" si="6"/>
        <v/>
      </c>
      <c r="K65" s="4" t="str">
        <f t="shared" si="7"/>
        <v/>
      </c>
    </row>
    <row r="66" spans="1:11" x14ac:dyDescent="0.2">
      <c r="A66" s="3"/>
      <c r="B66" s="4"/>
      <c r="C66" s="4"/>
      <c r="D66" s="4"/>
      <c r="E66" s="4"/>
      <c r="F66" s="3"/>
      <c r="G66" s="3"/>
      <c r="H66" s="4" t="str">
        <f t="shared" si="4"/>
        <v/>
      </c>
      <c r="I66" s="4" t="str">
        <f t="shared" si="5"/>
        <v/>
      </c>
      <c r="J66" s="4" t="str">
        <f t="shared" si="6"/>
        <v/>
      </c>
      <c r="K66" s="4" t="str">
        <f t="shared" si="7"/>
        <v/>
      </c>
    </row>
    <row r="67" spans="1:11" x14ac:dyDescent="0.2">
      <c r="A67" s="3"/>
      <c r="B67" s="4"/>
      <c r="C67" s="4"/>
      <c r="D67" s="4"/>
      <c r="E67" s="4"/>
      <c r="F67" s="3"/>
      <c r="G67" s="3"/>
      <c r="H67" s="4" t="str">
        <f t="shared" ref="H67:H98" si="8">IF($D67="","",IF(ROW()=3,1,IF($I66="",1,$I66+1)))</f>
        <v/>
      </c>
      <c r="I67" s="4" t="str">
        <f t="shared" ref="I67:I98" si="9">IF($D67="","",$H67+$D67-1)</f>
        <v/>
      </c>
      <c r="J67" s="4" t="str">
        <f t="shared" ref="J67:J98" si="10">IF(OR($B67="",$C67=""),"",($B67*$C67)/1000000)</f>
        <v/>
      </c>
      <c r="K67" s="4" t="str">
        <f t="shared" ref="K67:K98" si="11">IF(OR($J67="",$D67=""),"", $J67*$D67)</f>
        <v/>
      </c>
    </row>
    <row r="68" spans="1:11" x14ac:dyDescent="0.2">
      <c r="A68" s="3"/>
      <c r="B68" s="4"/>
      <c r="C68" s="4"/>
      <c r="D68" s="4"/>
      <c r="E68" s="4"/>
      <c r="F68" s="3"/>
      <c r="G68" s="3"/>
      <c r="H68" s="4" t="str">
        <f t="shared" si="8"/>
        <v/>
      </c>
      <c r="I68" s="4" t="str">
        <f t="shared" si="9"/>
        <v/>
      </c>
      <c r="J68" s="4" t="str">
        <f t="shared" si="10"/>
        <v/>
      </c>
      <c r="K68" s="4" t="str">
        <f t="shared" si="11"/>
        <v/>
      </c>
    </row>
    <row r="69" spans="1:11" x14ac:dyDescent="0.2">
      <c r="A69" s="3"/>
      <c r="B69" s="4"/>
      <c r="C69" s="4"/>
      <c r="D69" s="4"/>
      <c r="E69" s="4"/>
      <c r="F69" s="3"/>
      <c r="G69" s="3"/>
      <c r="H69" s="4" t="str">
        <f t="shared" si="8"/>
        <v/>
      </c>
      <c r="I69" s="4" t="str">
        <f t="shared" si="9"/>
        <v/>
      </c>
      <c r="J69" s="4" t="str">
        <f t="shared" si="10"/>
        <v/>
      </c>
      <c r="K69" s="4" t="str">
        <f t="shared" si="11"/>
        <v/>
      </c>
    </row>
    <row r="70" spans="1:11" x14ac:dyDescent="0.2">
      <c r="A70" s="3"/>
      <c r="B70" s="4"/>
      <c r="C70" s="4"/>
      <c r="D70" s="4"/>
      <c r="E70" s="4"/>
      <c r="F70" s="3"/>
      <c r="G70" s="3"/>
      <c r="H70" s="4" t="str">
        <f t="shared" si="8"/>
        <v/>
      </c>
      <c r="I70" s="4" t="str">
        <f t="shared" si="9"/>
        <v/>
      </c>
      <c r="J70" s="4" t="str">
        <f t="shared" si="10"/>
        <v/>
      </c>
      <c r="K70" s="4" t="str">
        <f t="shared" si="11"/>
        <v/>
      </c>
    </row>
    <row r="71" spans="1:11" x14ac:dyDescent="0.2">
      <c r="A71" s="3"/>
      <c r="B71" s="4"/>
      <c r="C71" s="4"/>
      <c r="D71" s="4"/>
      <c r="E71" s="4"/>
      <c r="F71" s="3"/>
      <c r="G71" s="3"/>
      <c r="H71" s="4" t="str">
        <f t="shared" si="8"/>
        <v/>
      </c>
      <c r="I71" s="4" t="str">
        <f t="shared" si="9"/>
        <v/>
      </c>
      <c r="J71" s="4" t="str">
        <f t="shared" si="10"/>
        <v/>
      </c>
      <c r="K71" s="4" t="str">
        <f t="shared" si="11"/>
        <v/>
      </c>
    </row>
    <row r="72" spans="1:11" x14ac:dyDescent="0.2">
      <c r="A72" s="3"/>
      <c r="B72" s="4"/>
      <c r="C72" s="4"/>
      <c r="D72" s="4"/>
      <c r="E72" s="4"/>
      <c r="F72" s="3"/>
      <c r="G72" s="3"/>
      <c r="H72" s="4" t="str">
        <f t="shared" si="8"/>
        <v/>
      </c>
      <c r="I72" s="4" t="str">
        <f t="shared" si="9"/>
        <v/>
      </c>
      <c r="J72" s="4" t="str">
        <f t="shared" si="10"/>
        <v/>
      </c>
      <c r="K72" s="4" t="str">
        <f t="shared" si="11"/>
        <v/>
      </c>
    </row>
    <row r="73" spans="1:11" x14ac:dyDescent="0.2">
      <c r="A73" s="3"/>
      <c r="B73" s="4"/>
      <c r="C73" s="4"/>
      <c r="D73" s="4"/>
      <c r="E73" s="4"/>
      <c r="F73" s="3"/>
      <c r="G73" s="3"/>
      <c r="H73" s="4" t="str">
        <f t="shared" si="8"/>
        <v/>
      </c>
      <c r="I73" s="4" t="str">
        <f t="shared" si="9"/>
        <v/>
      </c>
      <c r="J73" s="4" t="str">
        <f t="shared" si="10"/>
        <v/>
      </c>
      <c r="K73" s="4" t="str">
        <f t="shared" si="11"/>
        <v/>
      </c>
    </row>
    <row r="74" spans="1:11" x14ac:dyDescent="0.2">
      <c r="A74" s="3"/>
      <c r="B74" s="4"/>
      <c r="C74" s="4"/>
      <c r="D74" s="4"/>
      <c r="E74" s="4"/>
      <c r="F74" s="3"/>
      <c r="G74" s="3"/>
      <c r="H74" s="4" t="str">
        <f t="shared" si="8"/>
        <v/>
      </c>
      <c r="I74" s="4" t="str">
        <f t="shared" si="9"/>
        <v/>
      </c>
      <c r="J74" s="4" t="str">
        <f t="shared" si="10"/>
        <v/>
      </c>
      <c r="K74" s="4" t="str">
        <f t="shared" si="11"/>
        <v/>
      </c>
    </row>
    <row r="75" spans="1:11" x14ac:dyDescent="0.2">
      <c r="A75" s="3"/>
      <c r="B75" s="4"/>
      <c r="C75" s="4"/>
      <c r="D75" s="4"/>
      <c r="E75" s="4"/>
      <c r="F75" s="3"/>
      <c r="G75" s="3"/>
      <c r="H75" s="4" t="str">
        <f t="shared" si="8"/>
        <v/>
      </c>
      <c r="I75" s="4" t="str">
        <f t="shared" si="9"/>
        <v/>
      </c>
      <c r="J75" s="4" t="str">
        <f t="shared" si="10"/>
        <v/>
      </c>
      <c r="K75" s="4" t="str">
        <f t="shared" si="11"/>
        <v/>
      </c>
    </row>
    <row r="76" spans="1:11" x14ac:dyDescent="0.2">
      <c r="A76" s="3"/>
      <c r="B76" s="4"/>
      <c r="C76" s="4"/>
      <c r="D76" s="4"/>
      <c r="E76" s="4"/>
      <c r="F76" s="3"/>
      <c r="G76" s="3"/>
      <c r="H76" s="4" t="str">
        <f t="shared" si="8"/>
        <v/>
      </c>
      <c r="I76" s="4" t="str">
        <f t="shared" si="9"/>
        <v/>
      </c>
      <c r="J76" s="4" t="str">
        <f t="shared" si="10"/>
        <v/>
      </c>
      <c r="K76" s="4" t="str">
        <f t="shared" si="11"/>
        <v/>
      </c>
    </row>
    <row r="77" spans="1:11" x14ac:dyDescent="0.2">
      <c r="A77" s="3"/>
      <c r="B77" s="4"/>
      <c r="C77" s="4"/>
      <c r="D77" s="4"/>
      <c r="E77" s="4"/>
      <c r="F77" s="3"/>
      <c r="G77" s="3"/>
      <c r="H77" s="4" t="str">
        <f t="shared" si="8"/>
        <v/>
      </c>
      <c r="I77" s="4" t="str">
        <f t="shared" si="9"/>
        <v/>
      </c>
      <c r="J77" s="4" t="str">
        <f t="shared" si="10"/>
        <v/>
      </c>
      <c r="K77" s="4" t="str">
        <f t="shared" si="11"/>
        <v/>
      </c>
    </row>
    <row r="78" spans="1:11" x14ac:dyDescent="0.2">
      <c r="A78" s="3"/>
      <c r="B78" s="4"/>
      <c r="C78" s="4"/>
      <c r="D78" s="4"/>
      <c r="E78" s="4"/>
      <c r="F78" s="3"/>
      <c r="G78" s="3"/>
      <c r="H78" s="4" t="str">
        <f t="shared" si="8"/>
        <v/>
      </c>
      <c r="I78" s="4" t="str">
        <f t="shared" si="9"/>
        <v/>
      </c>
      <c r="J78" s="4" t="str">
        <f t="shared" si="10"/>
        <v/>
      </c>
      <c r="K78" s="4" t="str">
        <f t="shared" si="11"/>
        <v/>
      </c>
    </row>
    <row r="79" spans="1:11" x14ac:dyDescent="0.2">
      <c r="A79" s="3"/>
      <c r="B79" s="4"/>
      <c r="C79" s="4"/>
      <c r="D79" s="4"/>
      <c r="E79" s="4"/>
      <c r="F79" s="3"/>
      <c r="G79" s="3"/>
      <c r="H79" s="4" t="str">
        <f t="shared" si="8"/>
        <v/>
      </c>
      <c r="I79" s="4" t="str">
        <f t="shared" si="9"/>
        <v/>
      </c>
      <c r="J79" s="4" t="str">
        <f t="shared" si="10"/>
        <v/>
      </c>
      <c r="K79" s="4" t="str">
        <f t="shared" si="11"/>
        <v/>
      </c>
    </row>
    <row r="80" spans="1:11" x14ac:dyDescent="0.2">
      <c r="A80" s="3"/>
      <c r="B80" s="4"/>
      <c r="C80" s="4"/>
      <c r="D80" s="4"/>
      <c r="E80" s="4"/>
      <c r="F80" s="3"/>
      <c r="G80" s="3"/>
      <c r="H80" s="4" t="str">
        <f t="shared" si="8"/>
        <v/>
      </c>
      <c r="I80" s="4" t="str">
        <f t="shared" si="9"/>
        <v/>
      </c>
      <c r="J80" s="4" t="str">
        <f t="shared" si="10"/>
        <v/>
      </c>
      <c r="K80" s="4" t="str">
        <f t="shared" si="11"/>
        <v/>
      </c>
    </row>
    <row r="81" spans="1:11" x14ac:dyDescent="0.2">
      <c r="A81" s="3"/>
      <c r="B81" s="4"/>
      <c r="C81" s="4"/>
      <c r="D81" s="4"/>
      <c r="E81" s="4"/>
      <c r="F81" s="3"/>
      <c r="G81" s="3"/>
      <c r="H81" s="4" t="str">
        <f t="shared" si="8"/>
        <v/>
      </c>
      <c r="I81" s="4" t="str">
        <f t="shared" si="9"/>
        <v/>
      </c>
      <c r="J81" s="4" t="str">
        <f t="shared" si="10"/>
        <v/>
      </c>
      <c r="K81" s="4" t="str">
        <f t="shared" si="11"/>
        <v/>
      </c>
    </row>
    <row r="82" spans="1:11" x14ac:dyDescent="0.2">
      <c r="A82" s="3"/>
      <c r="B82" s="4"/>
      <c r="C82" s="4"/>
      <c r="D82" s="4"/>
      <c r="E82" s="4"/>
      <c r="F82" s="3"/>
      <c r="G82" s="3"/>
      <c r="H82" s="4" t="str">
        <f t="shared" si="8"/>
        <v/>
      </c>
      <c r="I82" s="4" t="str">
        <f t="shared" si="9"/>
        <v/>
      </c>
      <c r="J82" s="4" t="str">
        <f t="shared" si="10"/>
        <v/>
      </c>
      <c r="K82" s="4" t="str">
        <f t="shared" si="11"/>
        <v/>
      </c>
    </row>
    <row r="83" spans="1:11" x14ac:dyDescent="0.2">
      <c r="A83" s="3"/>
      <c r="B83" s="4"/>
      <c r="C83" s="4"/>
      <c r="D83" s="4"/>
      <c r="E83" s="4"/>
      <c r="F83" s="3"/>
      <c r="G83" s="3"/>
      <c r="H83" s="4" t="str">
        <f t="shared" si="8"/>
        <v/>
      </c>
      <c r="I83" s="4" t="str">
        <f t="shared" si="9"/>
        <v/>
      </c>
      <c r="J83" s="4" t="str">
        <f t="shared" si="10"/>
        <v/>
      </c>
      <c r="K83" s="4" t="str">
        <f t="shared" si="11"/>
        <v/>
      </c>
    </row>
    <row r="84" spans="1:11" x14ac:dyDescent="0.2">
      <c r="A84" s="3"/>
      <c r="B84" s="4"/>
      <c r="C84" s="4"/>
      <c r="D84" s="4"/>
      <c r="E84" s="4"/>
      <c r="F84" s="3"/>
      <c r="G84" s="3"/>
      <c r="H84" s="4" t="str">
        <f t="shared" si="8"/>
        <v/>
      </c>
      <c r="I84" s="4" t="str">
        <f t="shared" si="9"/>
        <v/>
      </c>
      <c r="J84" s="4" t="str">
        <f t="shared" si="10"/>
        <v/>
      </c>
      <c r="K84" s="4" t="str">
        <f t="shared" si="11"/>
        <v/>
      </c>
    </row>
    <row r="85" spans="1:11" x14ac:dyDescent="0.2">
      <c r="A85" s="3"/>
      <c r="B85" s="4"/>
      <c r="C85" s="4"/>
      <c r="D85" s="4"/>
      <c r="E85" s="4"/>
      <c r="F85" s="3"/>
      <c r="G85" s="3"/>
      <c r="H85" s="4" t="str">
        <f t="shared" si="8"/>
        <v/>
      </c>
      <c r="I85" s="4" t="str">
        <f t="shared" si="9"/>
        <v/>
      </c>
      <c r="J85" s="4" t="str">
        <f t="shared" si="10"/>
        <v/>
      </c>
      <c r="K85" s="4" t="str">
        <f t="shared" si="11"/>
        <v/>
      </c>
    </row>
    <row r="86" spans="1:11" x14ac:dyDescent="0.2">
      <c r="A86" s="3"/>
      <c r="B86" s="4"/>
      <c r="C86" s="4"/>
      <c r="D86" s="4"/>
      <c r="E86" s="4"/>
      <c r="F86" s="3"/>
      <c r="G86" s="3"/>
      <c r="H86" s="4" t="str">
        <f t="shared" si="8"/>
        <v/>
      </c>
      <c r="I86" s="4" t="str">
        <f t="shared" si="9"/>
        <v/>
      </c>
      <c r="J86" s="4" t="str">
        <f t="shared" si="10"/>
        <v/>
      </c>
      <c r="K86" s="4" t="str">
        <f t="shared" si="11"/>
        <v/>
      </c>
    </row>
    <row r="87" spans="1:11" x14ac:dyDescent="0.2">
      <c r="A87" s="3"/>
      <c r="B87" s="4"/>
      <c r="C87" s="4"/>
      <c r="D87" s="4"/>
      <c r="E87" s="4"/>
      <c r="F87" s="3"/>
      <c r="G87" s="3"/>
      <c r="H87" s="4" t="str">
        <f t="shared" si="8"/>
        <v/>
      </c>
      <c r="I87" s="4" t="str">
        <f t="shared" si="9"/>
        <v/>
      </c>
      <c r="J87" s="4" t="str">
        <f t="shared" si="10"/>
        <v/>
      </c>
      <c r="K87" s="4" t="str">
        <f t="shared" si="11"/>
        <v/>
      </c>
    </row>
    <row r="88" spans="1:11" x14ac:dyDescent="0.2">
      <c r="A88" s="3"/>
      <c r="B88" s="4"/>
      <c r="C88" s="4"/>
      <c r="D88" s="4"/>
      <c r="E88" s="4"/>
      <c r="F88" s="3"/>
      <c r="G88" s="3"/>
      <c r="H88" s="4" t="str">
        <f t="shared" si="8"/>
        <v/>
      </c>
      <c r="I88" s="4" t="str">
        <f t="shared" si="9"/>
        <v/>
      </c>
      <c r="J88" s="4" t="str">
        <f t="shared" si="10"/>
        <v/>
      </c>
      <c r="K88" s="4" t="str">
        <f t="shared" si="11"/>
        <v/>
      </c>
    </row>
    <row r="89" spans="1:11" x14ac:dyDescent="0.2">
      <c r="A89" s="3"/>
      <c r="B89" s="4"/>
      <c r="C89" s="4"/>
      <c r="D89" s="4"/>
      <c r="E89" s="4"/>
      <c r="F89" s="3"/>
      <c r="G89" s="3"/>
      <c r="H89" s="4" t="str">
        <f t="shared" si="8"/>
        <v/>
      </c>
      <c r="I89" s="4" t="str">
        <f t="shared" si="9"/>
        <v/>
      </c>
      <c r="J89" s="4" t="str">
        <f t="shared" si="10"/>
        <v/>
      </c>
      <c r="K89" s="4" t="str">
        <f t="shared" si="11"/>
        <v/>
      </c>
    </row>
    <row r="90" spans="1:11" x14ac:dyDescent="0.2">
      <c r="A90" s="3"/>
      <c r="B90" s="4"/>
      <c r="C90" s="4"/>
      <c r="D90" s="4"/>
      <c r="E90" s="4"/>
      <c r="F90" s="3"/>
      <c r="G90" s="3"/>
      <c r="H90" s="4" t="str">
        <f t="shared" si="8"/>
        <v/>
      </c>
      <c r="I90" s="4" t="str">
        <f t="shared" si="9"/>
        <v/>
      </c>
      <c r="J90" s="4" t="str">
        <f t="shared" si="10"/>
        <v/>
      </c>
      <c r="K90" s="4" t="str">
        <f t="shared" si="11"/>
        <v/>
      </c>
    </row>
    <row r="91" spans="1:11" x14ac:dyDescent="0.2">
      <c r="A91" s="3"/>
      <c r="B91" s="4"/>
      <c r="C91" s="4"/>
      <c r="D91" s="4"/>
      <c r="E91" s="4"/>
      <c r="F91" s="3"/>
      <c r="G91" s="3"/>
      <c r="H91" s="4" t="str">
        <f t="shared" si="8"/>
        <v/>
      </c>
      <c r="I91" s="4" t="str">
        <f t="shared" si="9"/>
        <v/>
      </c>
      <c r="J91" s="4" t="str">
        <f t="shared" si="10"/>
        <v/>
      </c>
      <c r="K91" s="4" t="str">
        <f t="shared" si="11"/>
        <v/>
      </c>
    </row>
    <row r="92" spans="1:11" x14ac:dyDescent="0.2">
      <c r="A92" s="3"/>
      <c r="B92" s="4"/>
      <c r="C92" s="4"/>
      <c r="D92" s="4"/>
      <c r="E92" s="4"/>
      <c r="F92" s="3"/>
      <c r="G92" s="3"/>
      <c r="H92" s="4" t="str">
        <f t="shared" si="8"/>
        <v/>
      </c>
      <c r="I92" s="4" t="str">
        <f t="shared" si="9"/>
        <v/>
      </c>
      <c r="J92" s="4" t="str">
        <f t="shared" si="10"/>
        <v/>
      </c>
      <c r="K92" s="4" t="str">
        <f t="shared" si="11"/>
        <v/>
      </c>
    </row>
    <row r="93" spans="1:11" x14ac:dyDescent="0.2">
      <c r="A93" s="3"/>
      <c r="B93" s="4"/>
      <c r="C93" s="4"/>
      <c r="D93" s="4"/>
      <c r="E93" s="4"/>
      <c r="F93" s="3"/>
      <c r="G93" s="3"/>
      <c r="H93" s="4" t="str">
        <f t="shared" si="8"/>
        <v/>
      </c>
      <c r="I93" s="4" t="str">
        <f t="shared" si="9"/>
        <v/>
      </c>
      <c r="J93" s="4" t="str">
        <f t="shared" si="10"/>
        <v/>
      </c>
      <c r="K93" s="4" t="str">
        <f t="shared" si="11"/>
        <v/>
      </c>
    </row>
    <row r="94" spans="1:11" x14ac:dyDescent="0.2">
      <c r="A94" s="3"/>
      <c r="B94" s="4"/>
      <c r="C94" s="4"/>
      <c r="D94" s="4"/>
      <c r="E94" s="4"/>
      <c r="F94" s="3"/>
      <c r="G94" s="3"/>
      <c r="H94" s="4" t="str">
        <f t="shared" si="8"/>
        <v/>
      </c>
      <c r="I94" s="4" t="str">
        <f t="shared" si="9"/>
        <v/>
      </c>
      <c r="J94" s="4" t="str">
        <f t="shared" si="10"/>
        <v/>
      </c>
      <c r="K94" s="4" t="str">
        <f t="shared" si="11"/>
        <v/>
      </c>
    </row>
    <row r="95" spans="1:11" x14ac:dyDescent="0.2">
      <c r="A95" s="3"/>
      <c r="B95" s="4"/>
      <c r="C95" s="4"/>
      <c r="D95" s="4"/>
      <c r="E95" s="4"/>
      <c r="F95" s="3"/>
      <c r="G95" s="3"/>
      <c r="H95" s="4" t="str">
        <f t="shared" si="8"/>
        <v/>
      </c>
      <c r="I95" s="4" t="str">
        <f t="shared" si="9"/>
        <v/>
      </c>
      <c r="J95" s="4" t="str">
        <f t="shared" si="10"/>
        <v/>
      </c>
      <c r="K95" s="4" t="str">
        <f t="shared" si="11"/>
        <v/>
      </c>
    </row>
    <row r="96" spans="1:11" x14ac:dyDescent="0.2">
      <c r="A96" s="3"/>
      <c r="B96" s="4"/>
      <c r="C96" s="4"/>
      <c r="D96" s="4"/>
      <c r="E96" s="4"/>
      <c r="F96" s="3"/>
      <c r="G96" s="3"/>
      <c r="H96" s="4" t="str">
        <f t="shared" si="8"/>
        <v/>
      </c>
      <c r="I96" s="4" t="str">
        <f t="shared" si="9"/>
        <v/>
      </c>
      <c r="J96" s="4" t="str">
        <f t="shared" si="10"/>
        <v/>
      </c>
      <c r="K96" s="4" t="str">
        <f t="shared" si="11"/>
        <v/>
      </c>
    </row>
    <row r="97" spans="1:11" x14ac:dyDescent="0.2">
      <c r="A97" s="3"/>
      <c r="B97" s="4"/>
      <c r="C97" s="4"/>
      <c r="D97" s="4"/>
      <c r="E97" s="4"/>
      <c r="F97" s="3"/>
      <c r="G97" s="3"/>
      <c r="H97" s="4" t="str">
        <f t="shared" si="8"/>
        <v/>
      </c>
      <c r="I97" s="4" t="str">
        <f t="shared" si="9"/>
        <v/>
      </c>
      <c r="J97" s="4" t="str">
        <f t="shared" si="10"/>
        <v/>
      </c>
      <c r="K97" s="4" t="str">
        <f t="shared" si="11"/>
        <v/>
      </c>
    </row>
    <row r="98" spans="1:11" x14ac:dyDescent="0.2">
      <c r="A98" s="3"/>
      <c r="B98" s="4"/>
      <c r="C98" s="4"/>
      <c r="D98" s="4"/>
      <c r="E98" s="4"/>
      <c r="F98" s="3"/>
      <c r="G98" s="3"/>
      <c r="H98" s="4" t="str">
        <f t="shared" si="8"/>
        <v/>
      </c>
      <c r="I98" s="4" t="str">
        <f t="shared" si="9"/>
        <v/>
      </c>
      <c r="J98" s="4" t="str">
        <f t="shared" si="10"/>
        <v/>
      </c>
      <c r="K98" s="4" t="str">
        <f t="shared" si="11"/>
        <v/>
      </c>
    </row>
    <row r="99" spans="1:11" x14ac:dyDescent="0.2">
      <c r="A99" s="3"/>
      <c r="B99" s="4"/>
      <c r="C99" s="4"/>
      <c r="D99" s="4"/>
      <c r="E99" s="4"/>
      <c r="F99" s="3"/>
      <c r="G99" s="3"/>
      <c r="H99" s="4" t="str">
        <f t="shared" ref="H99:H130" si="12">IF($D99="","",IF(ROW()=3,1,IF($I98="",1,$I98+1)))</f>
        <v/>
      </c>
      <c r="I99" s="4" t="str">
        <f t="shared" ref="I99:I130" si="13">IF($D99="","",$H99+$D99-1)</f>
        <v/>
      </c>
      <c r="J99" s="4" t="str">
        <f t="shared" ref="J99:J130" si="14">IF(OR($B99="",$C99=""),"",($B99*$C99)/1000000)</f>
        <v/>
      </c>
      <c r="K99" s="4" t="str">
        <f t="shared" ref="K99:K130" si="15">IF(OR($J99="",$D99=""),"", $J99*$D99)</f>
        <v/>
      </c>
    </row>
    <row r="100" spans="1:11" x14ac:dyDescent="0.2">
      <c r="A100" s="3"/>
      <c r="B100" s="4"/>
      <c r="C100" s="4"/>
      <c r="D100" s="4"/>
      <c r="E100" s="4"/>
      <c r="F100" s="3"/>
      <c r="G100" s="3"/>
      <c r="H100" s="4" t="str">
        <f t="shared" si="12"/>
        <v/>
      </c>
      <c r="I100" s="4" t="str">
        <f t="shared" si="13"/>
        <v/>
      </c>
      <c r="J100" s="4" t="str">
        <f t="shared" si="14"/>
        <v/>
      </c>
      <c r="K100" s="4" t="str">
        <f t="shared" si="15"/>
        <v/>
      </c>
    </row>
    <row r="101" spans="1:11" x14ac:dyDescent="0.2">
      <c r="A101" s="3"/>
      <c r="B101" s="4"/>
      <c r="C101" s="4"/>
      <c r="D101" s="4"/>
      <c r="E101" s="4"/>
      <c r="F101" s="3"/>
      <c r="G101" s="3"/>
      <c r="H101" s="4" t="str">
        <f t="shared" si="12"/>
        <v/>
      </c>
      <c r="I101" s="4" t="str">
        <f t="shared" si="13"/>
        <v/>
      </c>
      <c r="J101" s="4" t="str">
        <f t="shared" si="14"/>
        <v/>
      </c>
      <c r="K101" s="4" t="str">
        <f t="shared" si="15"/>
        <v/>
      </c>
    </row>
    <row r="102" spans="1:11" x14ac:dyDescent="0.2">
      <c r="A102" s="3"/>
      <c r="B102" s="4"/>
      <c r="C102" s="4"/>
      <c r="D102" s="4"/>
      <c r="E102" s="4"/>
      <c r="F102" s="3"/>
      <c r="G102" s="3"/>
      <c r="H102" s="4" t="str">
        <f t="shared" si="12"/>
        <v/>
      </c>
      <c r="I102" s="4" t="str">
        <f t="shared" si="13"/>
        <v/>
      </c>
      <c r="J102" s="4" t="str">
        <f t="shared" si="14"/>
        <v/>
      </c>
      <c r="K102" s="4" t="str">
        <f t="shared" si="15"/>
        <v/>
      </c>
    </row>
    <row r="103" spans="1:11" x14ac:dyDescent="0.2">
      <c r="A103" s="3"/>
      <c r="B103" s="4"/>
      <c r="C103" s="4"/>
      <c r="D103" s="4"/>
      <c r="E103" s="4"/>
      <c r="F103" s="3"/>
      <c r="G103" s="3"/>
      <c r="H103" s="4" t="str">
        <f t="shared" si="12"/>
        <v/>
      </c>
      <c r="I103" s="4" t="str">
        <f t="shared" si="13"/>
        <v/>
      </c>
      <c r="J103" s="4" t="str">
        <f t="shared" si="14"/>
        <v/>
      </c>
      <c r="K103" s="4" t="str">
        <f t="shared" si="15"/>
        <v/>
      </c>
    </row>
    <row r="104" spans="1:11" x14ac:dyDescent="0.2">
      <c r="A104" s="3"/>
      <c r="B104" s="4"/>
      <c r="C104" s="4"/>
      <c r="D104" s="4"/>
      <c r="E104" s="4"/>
      <c r="F104" s="3"/>
      <c r="G104" s="3"/>
      <c r="H104" s="4" t="str">
        <f t="shared" si="12"/>
        <v/>
      </c>
      <c r="I104" s="4" t="str">
        <f t="shared" si="13"/>
        <v/>
      </c>
      <c r="J104" s="4" t="str">
        <f t="shared" si="14"/>
        <v/>
      </c>
      <c r="K104" s="4" t="str">
        <f t="shared" si="15"/>
        <v/>
      </c>
    </row>
    <row r="105" spans="1:11" x14ac:dyDescent="0.2">
      <c r="A105" s="3"/>
      <c r="B105" s="4"/>
      <c r="C105" s="4"/>
      <c r="D105" s="4"/>
      <c r="E105" s="4"/>
      <c r="F105" s="3"/>
      <c r="G105" s="3"/>
      <c r="H105" s="4" t="str">
        <f t="shared" si="12"/>
        <v/>
      </c>
      <c r="I105" s="4" t="str">
        <f t="shared" si="13"/>
        <v/>
      </c>
      <c r="J105" s="4" t="str">
        <f t="shared" si="14"/>
        <v/>
      </c>
      <c r="K105" s="4" t="str">
        <f t="shared" si="15"/>
        <v/>
      </c>
    </row>
    <row r="106" spans="1:11" x14ac:dyDescent="0.2">
      <c r="A106" s="3"/>
      <c r="B106" s="4"/>
      <c r="C106" s="4"/>
      <c r="D106" s="4"/>
      <c r="E106" s="4"/>
      <c r="F106" s="3"/>
      <c r="G106" s="3"/>
      <c r="H106" s="4" t="str">
        <f t="shared" si="12"/>
        <v/>
      </c>
      <c r="I106" s="4" t="str">
        <f t="shared" si="13"/>
        <v/>
      </c>
      <c r="J106" s="4" t="str">
        <f t="shared" si="14"/>
        <v/>
      </c>
      <c r="K106" s="4" t="str">
        <f t="shared" si="15"/>
        <v/>
      </c>
    </row>
    <row r="107" spans="1:11" x14ac:dyDescent="0.2">
      <c r="A107" s="3"/>
      <c r="B107" s="4"/>
      <c r="C107" s="4"/>
      <c r="D107" s="4"/>
      <c r="E107" s="4"/>
      <c r="F107" s="3"/>
      <c r="G107" s="3"/>
      <c r="H107" s="4" t="str">
        <f t="shared" si="12"/>
        <v/>
      </c>
      <c r="I107" s="4" t="str">
        <f t="shared" si="13"/>
        <v/>
      </c>
      <c r="J107" s="4" t="str">
        <f t="shared" si="14"/>
        <v/>
      </c>
      <c r="K107" s="4" t="str">
        <f t="shared" si="15"/>
        <v/>
      </c>
    </row>
    <row r="108" spans="1:11" x14ac:dyDescent="0.2">
      <c r="A108" s="3"/>
      <c r="B108" s="4"/>
      <c r="C108" s="4"/>
      <c r="D108" s="4"/>
      <c r="E108" s="4"/>
      <c r="F108" s="3"/>
      <c r="G108" s="3"/>
      <c r="H108" s="4" t="str">
        <f t="shared" si="12"/>
        <v/>
      </c>
      <c r="I108" s="4" t="str">
        <f t="shared" si="13"/>
        <v/>
      </c>
      <c r="J108" s="4" t="str">
        <f t="shared" si="14"/>
        <v/>
      </c>
      <c r="K108" s="4" t="str">
        <f t="shared" si="15"/>
        <v/>
      </c>
    </row>
    <row r="109" spans="1:11" x14ac:dyDescent="0.2">
      <c r="A109" s="3"/>
      <c r="B109" s="4"/>
      <c r="C109" s="4"/>
      <c r="D109" s="4"/>
      <c r="E109" s="4"/>
      <c r="F109" s="3"/>
      <c r="G109" s="3"/>
      <c r="H109" s="4" t="str">
        <f t="shared" si="12"/>
        <v/>
      </c>
      <c r="I109" s="4" t="str">
        <f t="shared" si="13"/>
        <v/>
      </c>
      <c r="J109" s="4" t="str">
        <f t="shared" si="14"/>
        <v/>
      </c>
      <c r="K109" s="4" t="str">
        <f t="shared" si="15"/>
        <v/>
      </c>
    </row>
    <row r="110" spans="1:11" x14ac:dyDescent="0.2">
      <c r="A110" s="3"/>
      <c r="B110" s="4"/>
      <c r="C110" s="4"/>
      <c r="D110" s="4"/>
      <c r="E110" s="4"/>
      <c r="F110" s="3"/>
      <c r="G110" s="3"/>
      <c r="H110" s="4" t="str">
        <f t="shared" si="12"/>
        <v/>
      </c>
      <c r="I110" s="4" t="str">
        <f t="shared" si="13"/>
        <v/>
      </c>
      <c r="J110" s="4" t="str">
        <f t="shared" si="14"/>
        <v/>
      </c>
      <c r="K110" s="4" t="str">
        <f t="shared" si="15"/>
        <v/>
      </c>
    </row>
    <row r="111" spans="1:11" x14ac:dyDescent="0.2">
      <c r="A111" s="3"/>
      <c r="B111" s="4"/>
      <c r="C111" s="4"/>
      <c r="D111" s="4"/>
      <c r="E111" s="4"/>
      <c r="F111" s="3"/>
      <c r="G111" s="3"/>
      <c r="H111" s="4" t="str">
        <f t="shared" si="12"/>
        <v/>
      </c>
      <c r="I111" s="4" t="str">
        <f t="shared" si="13"/>
        <v/>
      </c>
      <c r="J111" s="4" t="str">
        <f t="shared" si="14"/>
        <v/>
      </c>
      <c r="K111" s="4" t="str">
        <f t="shared" si="15"/>
        <v/>
      </c>
    </row>
    <row r="112" spans="1:11" x14ac:dyDescent="0.2">
      <c r="A112" s="3"/>
      <c r="B112" s="4"/>
      <c r="C112" s="4"/>
      <c r="D112" s="4"/>
      <c r="E112" s="4"/>
      <c r="F112" s="3"/>
      <c r="G112" s="3"/>
      <c r="H112" s="4" t="str">
        <f t="shared" si="12"/>
        <v/>
      </c>
      <c r="I112" s="4" t="str">
        <f t="shared" si="13"/>
        <v/>
      </c>
      <c r="J112" s="4" t="str">
        <f t="shared" si="14"/>
        <v/>
      </c>
      <c r="K112" s="4" t="str">
        <f t="shared" si="15"/>
        <v/>
      </c>
    </row>
    <row r="113" spans="1:11" x14ac:dyDescent="0.2">
      <c r="A113" s="3"/>
      <c r="B113" s="4"/>
      <c r="C113" s="4"/>
      <c r="D113" s="4"/>
      <c r="E113" s="4"/>
      <c r="F113" s="3"/>
      <c r="G113" s="3"/>
      <c r="H113" s="4" t="str">
        <f t="shared" si="12"/>
        <v/>
      </c>
      <c r="I113" s="4" t="str">
        <f t="shared" si="13"/>
        <v/>
      </c>
      <c r="J113" s="4" t="str">
        <f t="shared" si="14"/>
        <v/>
      </c>
      <c r="K113" s="4" t="str">
        <f t="shared" si="15"/>
        <v/>
      </c>
    </row>
    <row r="114" spans="1:11" x14ac:dyDescent="0.2">
      <c r="A114" s="3"/>
      <c r="B114" s="4"/>
      <c r="C114" s="4"/>
      <c r="D114" s="4"/>
      <c r="E114" s="4"/>
      <c r="F114" s="3"/>
      <c r="G114" s="3"/>
      <c r="H114" s="4" t="str">
        <f t="shared" si="12"/>
        <v/>
      </c>
      <c r="I114" s="4" t="str">
        <f t="shared" si="13"/>
        <v/>
      </c>
      <c r="J114" s="4" t="str">
        <f t="shared" si="14"/>
        <v/>
      </c>
      <c r="K114" s="4" t="str">
        <f t="shared" si="15"/>
        <v/>
      </c>
    </row>
    <row r="115" spans="1:11" x14ac:dyDescent="0.2">
      <c r="A115" s="3"/>
      <c r="B115" s="4"/>
      <c r="C115" s="4"/>
      <c r="D115" s="4"/>
      <c r="E115" s="4"/>
      <c r="F115" s="3"/>
      <c r="G115" s="3"/>
      <c r="H115" s="4" t="str">
        <f t="shared" si="12"/>
        <v/>
      </c>
      <c r="I115" s="4" t="str">
        <f t="shared" si="13"/>
        <v/>
      </c>
      <c r="J115" s="4" t="str">
        <f t="shared" si="14"/>
        <v/>
      </c>
      <c r="K115" s="4" t="str">
        <f t="shared" si="15"/>
        <v/>
      </c>
    </row>
    <row r="116" spans="1:11" x14ac:dyDescent="0.2">
      <c r="A116" s="3"/>
      <c r="B116" s="4"/>
      <c r="C116" s="4"/>
      <c r="D116" s="4"/>
      <c r="E116" s="4"/>
      <c r="F116" s="3"/>
      <c r="G116" s="3"/>
      <c r="H116" s="4" t="str">
        <f t="shared" si="12"/>
        <v/>
      </c>
      <c r="I116" s="4" t="str">
        <f t="shared" si="13"/>
        <v/>
      </c>
      <c r="J116" s="4" t="str">
        <f t="shared" si="14"/>
        <v/>
      </c>
      <c r="K116" s="4" t="str">
        <f t="shared" si="15"/>
        <v/>
      </c>
    </row>
    <row r="117" spans="1:11" x14ac:dyDescent="0.2">
      <c r="A117" s="3"/>
      <c r="B117" s="4"/>
      <c r="C117" s="4"/>
      <c r="D117" s="4"/>
      <c r="E117" s="4"/>
      <c r="F117" s="3"/>
      <c r="G117" s="3"/>
      <c r="H117" s="4" t="str">
        <f t="shared" si="12"/>
        <v/>
      </c>
      <c r="I117" s="4" t="str">
        <f t="shared" si="13"/>
        <v/>
      </c>
      <c r="J117" s="4" t="str">
        <f t="shared" si="14"/>
        <v/>
      </c>
      <c r="K117" s="4" t="str">
        <f t="shared" si="15"/>
        <v/>
      </c>
    </row>
    <row r="118" spans="1:11" x14ac:dyDescent="0.2">
      <c r="A118" s="3"/>
      <c r="B118" s="4"/>
      <c r="C118" s="4"/>
      <c r="D118" s="4"/>
      <c r="E118" s="4"/>
      <c r="F118" s="3"/>
      <c r="G118" s="3"/>
      <c r="H118" s="4" t="str">
        <f t="shared" si="12"/>
        <v/>
      </c>
      <c r="I118" s="4" t="str">
        <f t="shared" si="13"/>
        <v/>
      </c>
      <c r="J118" s="4" t="str">
        <f t="shared" si="14"/>
        <v/>
      </c>
      <c r="K118" s="4" t="str">
        <f t="shared" si="15"/>
        <v/>
      </c>
    </row>
    <row r="119" spans="1:11" x14ac:dyDescent="0.2">
      <c r="A119" s="3"/>
      <c r="B119" s="4"/>
      <c r="C119" s="4"/>
      <c r="D119" s="4"/>
      <c r="E119" s="4"/>
      <c r="F119" s="3"/>
      <c r="G119" s="3"/>
      <c r="H119" s="4" t="str">
        <f t="shared" si="12"/>
        <v/>
      </c>
      <c r="I119" s="4" t="str">
        <f t="shared" si="13"/>
        <v/>
      </c>
      <c r="J119" s="4" t="str">
        <f t="shared" si="14"/>
        <v/>
      </c>
      <c r="K119" s="4" t="str">
        <f t="shared" si="15"/>
        <v/>
      </c>
    </row>
    <row r="120" spans="1:11" x14ac:dyDescent="0.2">
      <c r="A120" s="3"/>
      <c r="B120" s="4"/>
      <c r="C120" s="4"/>
      <c r="D120" s="4"/>
      <c r="E120" s="4"/>
      <c r="F120" s="3"/>
      <c r="G120" s="3"/>
      <c r="H120" s="4" t="str">
        <f t="shared" si="12"/>
        <v/>
      </c>
      <c r="I120" s="4" t="str">
        <f t="shared" si="13"/>
        <v/>
      </c>
      <c r="J120" s="4" t="str">
        <f t="shared" si="14"/>
        <v/>
      </c>
      <c r="K120" s="4" t="str">
        <f t="shared" si="15"/>
        <v/>
      </c>
    </row>
    <row r="121" spans="1:11" x14ac:dyDescent="0.2">
      <c r="A121" s="3"/>
      <c r="B121" s="4"/>
      <c r="C121" s="4"/>
      <c r="D121" s="4"/>
      <c r="E121" s="4"/>
      <c r="F121" s="3"/>
      <c r="G121" s="3"/>
      <c r="H121" s="4" t="str">
        <f t="shared" si="12"/>
        <v/>
      </c>
      <c r="I121" s="4" t="str">
        <f t="shared" si="13"/>
        <v/>
      </c>
      <c r="J121" s="4" t="str">
        <f t="shared" si="14"/>
        <v/>
      </c>
      <c r="K121" s="4" t="str">
        <f t="shared" si="15"/>
        <v/>
      </c>
    </row>
    <row r="122" spans="1:11" x14ac:dyDescent="0.2">
      <c r="A122" s="3"/>
      <c r="B122" s="4"/>
      <c r="C122" s="4"/>
      <c r="D122" s="4"/>
      <c r="E122" s="4"/>
      <c r="F122" s="3"/>
      <c r="G122" s="3"/>
      <c r="H122" s="4" t="str">
        <f t="shared" si="12"/>
        <v/>
      </c>
      <c r="I122" s="4" t="str">
        <f t="shared" si="13"/>
        <v/>
      </c>
      <c r="J122" s="4" t="str">
        <f t="shared" si="14"/>
        <v/>
      </c>
      <c r="K122" s="4" t="str">
        <f t="shared" si="15"/>
        <v/>
      </c>
    </row>
    <row r="123" spans="1:11" x14ac:dyDescent="0.2">
      <c r="A123" s="3"/>
      <c r="B123" s="4"/>
      <c r="C123" s="4"/>
      <c r="D123" s="4"/>
      <c r="E123" s="4"/>
      <c r="F123" s="3"/>
      <c r="G123" s="3"/>
      <c r="H123" s="4" t="str">
        <f t="shared" si="12"/>
        <v/>
      </c>
      <c r="I123" s="4" t="str">
        <f t="shared" si="13"/>
        <v/>
      </c>
      <c r="J123" s="4" t="str">
        <f t="shared" si="14"/>
        <v/>
      </c>
      <c r="K123" s="4" t="str">
        <f t="shared" si="15"/>
        <v/>
      </c>
    </row>
    <row r="124" spans="1:11" x14ac:dyDescent="0.2">
      <c r="A124" s="3"/>
      <c r="B124" s="4"/>
      <c r="C124" s="4"/>
      <c r="D124" s="4"/>
      <c r="E124" s="4"/>
      <c r="F124" s="3"/>
      <c r="G124" s="3"/>
      <c r="H124" s="4" t="str">
        <f t="shared" si="12"/>
        <v/>
      </c>
      <c r="I124" s="4" t="str">
        <f t="shared" si="13"/>
        <v/>
      </c>
      <c r="J124" s="4" t="str">
        <f t="shared" si="14"/>
        <v/>
      </c>
      <c r="K124" s="4" t="str">
        <f t="shared" si="15"/>
        <v/>
      </c>
    </row>
    <row r="125" spans="1:11" x14ac:dyDescent="0.2">
      <c r="A125" s="3"/>
      <c r="B125" s="4"/>
      <c r="C125" s="4"/>
      <c r="D125" s="4"/>
      <c r="E125" s="4"/>
      <c r="F125" s="3"/>
      <c r="G125" s="3"/>
      <c r="H125" s="4" t="str">
        <f t="shared" si="12"/>
        <v/>
      </c>
      <c r="I125" s="4" t="str">
        <f t="shared" si="13"/>
        <v/>
      </c>
      <c r="J125" s="4" t="str">
        <f t="shared" si="14"/>
        <v/>
      </c>
      <c r="K125" s="4" t="str">
        <f t="shared" si="15"/>
        <v/>
      </c>
    </row>
    <row r="126" spans="1:11" x14ac:dyDescent="0.2">
      <c r="A126" s="3"/>
      <c r="B126" s="4"/>
      <c r="C126" s="4"/>
      <c r="D126" s="4"/>
      <c r="E126" s="4"/>
      <c r="F126" s="3"/>
      <c r="G126" s="3"/>
      <c r="H126" s="4" t="str">
        <f t="shared" si="12"/>
        <v/>
      </c>
      <c r="I126" s="4" t="str">
        <f t="shared" si="13"/>
        <v/>
      </c>
      <c r="J126" s="4" t="str">
        <f t="shared" si="14"/>
        <v/>
      </c>
      <c r="K126" s="4" t="str">
        <f t="shared" si="15"/>
        <v/>
      </c>
    </row>
    <row r="127" spans="1:11" x14ac:dyDescent="0.2">
      <c r="A127" s="3"/>
      <c r="B127" s="4"/>
      <c r="C127" s="4"/>
      <c r="D127" s="4"/>
      <c r="E127" s="4"/>
      <c r="F127" s="3"/>
      <c r="G127" s="3"/>
      <c r="H127" s="4" t="str">
        <f t="shared" si="12"/>
        <v/>
      </c>
      <c r="I127" s="4" t="str">
        <f t="shared" si="13"/>
        <v/>
      </c>
      <c r="J127" s="4" t="str">
        <f t="shared" si="14"/>
        <v/>
      </c>
      <c r="K127" s="4" t="str">
        <f t="shared" si="15"/>
        <v/>
      </c>
    </row>
    <row r="128" spans="1:11" x14ac:dyDescent="0.2">
      <c r="A128" s="3"/>
      <c r="B128" s="4"/>
      <c r="C128" s="4"/>
      <c r="D128" s="4"/>
      <c r="E128" s="4"/>
      <c r="F128" s="3"/>
      <c r="G128" s="3"/>
      <c r="H128" s="4" t="str">
        <f t="shared" si="12"/>
        <v/>
      </c>
      <c r="I128" s="4" t="str">
        <f t="shared" si="13"/>
        <v/>
      </c>
      <c r="J128" s="4" t="str">
        <f t="shared" si="14"/>
        <v/>
      </c>
      <c r="K128" s="4" t="str">
        <f t="shared" si="15"/>
        <v/>
      </c>
    </row>
    <row r="129" spans="1:11" x14ac:dyDescent="0.2">
      <c r="A129" s="3"/>
      <c r="B129" s="4"/>
      <c r="C129" s="4"/>
      <c r="D129" s="4"/>
      <c r="E129" s="4"/>
      <c r="F129" s="3"/>
      <c r="G129" s="3"/>
      <c r="H129" s="4" t="str">
        <f t="shared" si="12"/>
        <v/>
      </c>
      <c r="I129" s="4" t="str">
        <f t="shared" si="13"/>
        <v/>
      </c>
      <c r="J129" s="4" t="str">
        <f t="shared" si="14"/>
        <v/>
      </c>
      <c r="K129" s="4" t="str">
        <f t="shared" si="15"/>
        <v/>
      </c>
    </row>
    <row r="130" spans="1:11" x14ac:dyDescent="0.2">
      <c r="A130" s="3"/>
      <c r="B130" s="4"/>
      <c r="C130" s="4"/>
      <c r="D130" s="4"/>
      <c r="E130" s="4"/>
      <c r="F130" s="3"/>
      <c r="G130" s="3"/>
      <c r="H130" s="4" t="str">
        <f t="shared" si="12"/>
        <v/>
      </c>
      <c r="I130" s="4" t="str">
        <f t="shared" si="13"/>
        <v/>
      </c>
      <c r="J130" s="4" t="str">
        <f t="shared" si="14"/>
        <v/>
      </c>
      <c r="K130" s="4" t="str">
        <f t="shared" si="15"/>
        <v/>
      </c>
    </row>
    <row r="131" spans="1:11" x14ac:dyDescent="0.2">
      <c r="A131" s="3"/>
      <c r="B131" s="4"/>
      <c r="C131" s="4"/>
      <c r="D131" s="4"/>
      <c r="E131" s="4"/>
      <c r="F131" s="3"/>
      <c r="G131" s="3"/>
      <c r="H131" s="4" t="str">
        <f t="shared" ref="H131:H162" si="16">IF($D131="","",IF(ROW()=3,1,IF($I130="",1,$I130+1)))</f>
        <v/>
      </c>
      <c r="I131" s="4" t="str">
        <f t="shared" ref="I131:I162" si="17">IF($D131="","",$H131+$D131-1)</f>
        <v/>
      </c>
      <c r="J131" s="4" t="str">
        <f t="shared" ref="J131:J162" si="18">IF(OR($B131="",$C131=""),"",($B131*$C131)/1000000)</f>
        <v/>
      </c>
      <c r="K131" s="4" t="str">
        <f t="shared" ref="K131:K162" si="19">IF(OR($J131="",$D131=""),"", $J131*$D131)</f>
        <v/>
      </c>
    </row>
    <row r="132" spans="1:11" x14ac:dyDescent="0.2">
      <c r="A132" s="3"/>
      <c r="B132" s="4"/>
      <c r="C132" s="4"/>
      <c r="D132" s="4"/>
      <c r="E132" s="4"/>
      <c r="F132" s="3"/>
      <c r="G132" s="3"/>
      <c r="H132" s="4" t="str">
        <f t="shared" si="16"/>
        <v/>
      </c>
      <c r="I132" s="4" t="str">
        <f t="shared" si="17"/>
        <v/>
      </c>
      <c r="J132" s="4" t="str">
        <f t="shared" si="18"/>
        <v/>
      </c>
      <c r="K132" s="4" t="str">
        <f t="shared" si="19"/>
        <v/>
      </c>
    </row>
    <row r="133" spans="1:11" x14ac:dyDescent="0.2">
      <c r="A133" s="3"/>
      <c r="B133" s="4"/>
      <c r="C133" s="4"/>
      <c r="D133" s="4"/>
      <c r="E133" s="4"/>
      <c r="F133" s="3"/>
      <c r="G133" s="3"/>
      <c r="H133" s="4" t="str">
        <f t="shared" si="16"/>
        <v/>
      </c>
      <c r="I133" s="4" t="str">
        <f t="shared" si="17"/>
        <v/>
      </c>
      <c r="J133" s="4" t="str">
        <f t="shared" si="18"/>
        <v/>
      </c>
      <c r="K133" s="4" t="str">
        <f t="shared" si="19"/>
        <v/>
      </c>
    </row>
    <row r="134" spans="1:11" x14ac:dyDescent="0.2">
      <c r="A134" s="3"/>
      <c r="B134" s="4"/>
      <c r="C134" s="4"/>
      <c r="D134" s="4"/>
      <c r="E134" s="4"/>
      <c r="F134" s="3"/>
      <c r="G134" s="3"/>
      <c r="H134" s="4" t="str">
        <f t="shared" si="16"/>
        <v/>
      </c>
      <c r="I134" s="4" t="str">
        <f t="shared" si="17"/>
        <v/>
      </c>
      <c r="J134" s="4" t="str">
        <f t="shared" si="18"/>
        <v/>
      </c>
      <c r="K134" s="4" t="str">
        <f t="shared" si="19"/>
        <v/>
      </c>
    </row>
    <row r="135" spans="1:11" x14ac:dyDescent="0.2">
      <c r="A135" s="3"/>
      <c r="B135" s="4"/>
      <c r="C135" s="4"/>
      <c r="D135" s="4"/>
      <c r="E135" s="4"/>
      <c r="F135" s="3"/>
      <c r="G135" s="3"/>
      <c r="H135" s="4" t="str">
        <f t="shared" si="16"/>
        <v/>
      </c>
      <c r="I135" s="4" t="str">
        <f t="shared" si="17"/>
        <v/>
      </c>
      <c r="J135" s="4" t="str">
        <f t="shared" si="18"/>
        <v/>
      </c>
      <c r="K135" s="4" t="str">
        <f t="shared" si="19"/>
        <v/>
      </c>
    </row>
    <row r="136" spans="1:11" x14ac:dyDescent="0.2">
      <c r="A136" s="3"/>
      <c r="B136" s="4"/>
      <c r="C136" s="4"/>
      <c r="D136" s="4"/>
      <c r="E136" s="4"/>
      <c r="F136" s="3"/>
      <c r="G136" s="3"/>
      <c r="H136" s="4" t="str">
        <f t="shared" si="16"/>
        <v/>
      </c>
      <c r="I136" s="4" t="str">
        <f t="shared" si="17"/>
        <v/>
      </c>
      <c r="J136" s="4" t="str">
        <f t="shared" si="18"/>
        <v/>
      </c>
      <c r="K136" s="4" t="str">
        <f t="shared" si="19"/>
        <v/>
      </c>
    </row>
    <row r="137" spans="1:11" x14ac:dyDescent="0.2">
      <c r="A137" s="3"/>
      <c r="B137" s="4"/>
      <c r="C137" s="4"/>
      <c r="D137" s="4"/>
      <c r="E137" s="4"/>
      <c r="F137" s="3"/>
      <c r="G137" s="3"/>
      <c r="H137" s="4" t="str">
        <f t="shared" si="16"/>
        <v/>
      </c>
      <c r="I137" s="4" t="str">
        <f t="shared" si="17"/>
        <v/>
      </c>
      <c r="J137" s="4" t="str">
        <f t="shared" si="18"/>
        <v/>
      </c>
      <c r="K137" s="4" t="str">
        <f t="shared" si="19"/>
        <v/>
      </c>
    </row>
    <row r="138" spans="1:11" x14ac:dyDescent="0.2">
      <c r="A138" s="3"/>
      <c r="B138" s="4"/>
      <c r="C138" s="4"/>
      <c r="D138" s="4"/>
      <c r="E138" s="4"/>
      <c r="F138" s="3"/>
      <c r="G138" s="3"/>
      <c r="H138" s="4" t="str">
        <f t="shared" si="16"/>
        <v/>
      </c>
      <c r="I138" s="4" t="str">
        <f t="shared" si="17"/>
        <v/>
      </c>
      <c r="J138" s="4" t="str">
        <f t="shared" si="18"/>
        <v/>
      </c>
      <c r="K138" s="4" t="str">
        <f t="shared" si="19"/>
        <v/>
      </c>
    </row>
    <row r="139" spans="1:11" x14ac:dyDescent="0.2">
      <c r="A139" s="3"/>
      <c r="B139" s="4"/>
      <c r="C139" s="4"/>
      <c r="D139" s="4"/>
      <c r="E139" s="4"/>
      <c r="F139" s="3"/>
      <c r="G139" s="3"/>
      <c r="H139" s="4" t="str">
        <f t="shared" si="16"/>
        <v/>
      </c>
      <c r="I139" s="4" t="str">
        <f t="shared" si="17"/>
        <v/>
      </c>
      <c r="J139" s="4" t="str">
        <f t="shared" si="18"/>
        <v/>
      </c>
      <c r="K139" s="4" t="str">
        <f t="shared" si="19"/>
        <v/>
      </c>
    </row>
    <row r="140" spans="1:11" x14ac:dyDescent="0.2">
      <c r="A140" s="3"/>
      <c r="B140" s="4"/>
      <c r="C140" s="4"/>
      <c r="D140" s="4"/>
      <c r="E140" s="4"/>
      <c r="F140" s="3"/>
      <c r="G140" s="3"/>
      <c r="H140" s="4" t="str">
        <f t="shared" si="16"/>
        <v/>
      </c>
      <c r="I140" s="4" t="str">
        <f t="shared" si="17"/>
        <v/>
      </c>
      <c r="J140" s="4" t="str">
        <f t="shared" si="18"/>
        <v/>
      </c>
      <c r="K140" s="4" t="str">
        <f t="shared" si="19"/>
        <v/>
      </c>
    </row>
    <row r="141" spans="1:11" x14ac:dyDescent="0.2">
      <c r="A141" s="3"/>
      <c r="B141" s="4"/>
      <c r="C141" s="4"/>
      <c r="D141" s="4"/>
      <c r="E141" s="4"/>
      <c r="F141" s="3"/>
      <c r="G141" s="3"/>
      <c r="H141" s="4" t="str">
        <f t="shared" si="16"/>
        <v/>
      </c>
      <c r="I141" s="4" t="str">
        <f t="shared" si="17"/>
        <v/>
      </c>
      <c r="J141" s="4" t="str">
        <f t="shared" si="18"/>
        <v/>
      </c>
      <c r="K141" s="4" t="str">
        <f t="shared" si="19"/>
        <v/>
      </c>
    </row>
    <row r="142" spans="1:11" x14ac:dyDescent="0.2">
      <c r="A142" s="3"/>
      <c r="B142" s="4"/>
      <c r="C142" s="4"/>
      <c r="D142" s="4"/>
      <c r="E142" s="4"/>
      <c r="F142" s="3"/>
      <c r="G142" s="3"/>
      <c r="H142" s="4" t="str">
        <f t="shared" si="16"/>
        <v/>
      </c>
      <c r="I142" s="4" t="str">
        <f t="shared" si="17"/>
        <v/>
      </c>
      <c r="J142" s="4" t="str">
        <f t="shared" si="18"/>
        <v/>
      </c>
      <c r="K142" s="4" t="str">
        <f t="shared" si="19"/>
        <v/>
      </c>
    </row>
    <row r="143" spans="1:11" x14ac:dyDescent="0.2">
      <c r="A143" s="3"/>
      <c r="B143" s="4"/>
      <c r="C143" s="4"/>
      <c r="D143" s="4"/>
      <c r="E143" s="4"/>
      <c r="F143" s="3"/>
      <c r="G143" s="3"/>
      <c r="H143" s="4" t="str">
        <f t="shared" si="16"/>
        <v/>
      </c>
      <c r="I143" s="4" t="str">
        <f t="shared" si="17"/>
        <v/>
      </c>
      <c r="J143" s="4" t="str">
        <f t="shared" si="18"/>
        <v/>
      </c>
      <c r="K143" s="4" t="str">
        <f t="shared" si="19"/>
        <v/>
      </c>
    </row>
    <row r="144" spans="1:11" x14ac:dyDescent="0.2">
      <c r="A144" s="3"/>
      <c r="B144" s="4"/>
      <c r="C144" s="4"/>
      <c r="D144" s="4"/>
      <c r="E144" s="4"/>
      <c r="F144" s="3"/>
      <c r="G144" s="3"/>
      <c r="H144" s="4" t="str">
        <f t="shared" si="16"/>
        <v/>
      </c>
      <c r="I144" s="4" t="str">
        <f t="shared" si="17"/>
        <v/>
      </c>
      <c r="J144" s="4" t="str">
        <f t="shared" si="18"/>
        <v/>
      </c>
      <c r="K144" s="4" t="str">
        <f t="shared" si="19"/>
        <v/>
      </c>
    </row>
    <row r="145" spans="1:11" x14ac:dyDescent="0.2">
      <c r="A145" s="3"/>
      <c r="B145" s="4"/>
      <c r="C145" s="4"/>
      <c r="D145" s="4"/>
      <c r="E145" s="4"/>
      <c r="F145" s="3"/>
      <c r="G145" s="3"/>
      <c r="H145" s="4" t="str">
        <f t="shared" si="16"/>
        <v/>
      </c>
      <c r="I145" s="4" t="str">
        <f t="shared" si="17"/>
        <v/>
      </c>
      <c r="J145" s="4" t="str">
        <f t="shared" si="18"/>
        <v/>
      </c>
      <c r="K145" s="4" t="str">
        <f t="shared" si="19"/>
        <v/>
      </c>
    </row>
    <row r="146" spans="1:11" x14ac:dyDescent="0.2">
      <c r="A146" s="3"/>
      <c r="B146" s="4"/>
      <c r="C146" s="4"/>
      <c r="D146" s="4"/>
      <c r="E146" s="4"/>
      <c r="F146" s="3"/>
      <c r="G146" s="3"/>
      <c r="H146" s="4" t="str">
        <f t="shared" si="16"/>
        <v/>
      </c>
      <c r="I146" s="4" t="str">
        <f t="shared" si="17"/>
        <v/>
      </c>
      <c r="J146" s="4" t="str">
        <f t="shared" si="18"/>
        <v/>
      </c>
      <c r="K146" s="4" t="str">
        <f t="shared" si="19"/>
        <v/>
      </c>
    </row>
    <row r="147" spans="1:11" x14ac:dyDescent="0.2">
      <c r="A147" s="3"/>
      <c r="B147" s="4"/>
      <c r="C147" s="4"/>
      <c r="D147" s="4"/>
      <c r="E147" s="4"/>
      <c r="F147" s="3"/>
      <c r="G147" s="3"/>
      <c r="H147" s="4" t="str">
        <f t="shared" si="16"/>
        <v/>
      </c>
      <c r="I147" s="4" t="str">
        <f t="shared" si="17"/>
        <v/>
      </c>
      <c r="J147" s="4" t="str">
        <f t="shared" si="18"/>
        <v/>
      </c>
      <c r="K147" s="4" t="str">
        <f t="shared" si="19"/>
        <v/>
      </c>
    </row>
    <row r="148" spans="1:11" x14ac:dyDescent="0.2">
      <c r="A148" s="3"/>
      <c r="B148" s="4"/>
      <c r="C148" s="4"/>
      <c r="D148" s="4"/>
      <c r="E148" s="4"/>
      <c r="F148" s="3"/>
      <c r="G148" s="3"/>
      <c r="H148" s="4" t="str">
        <f t="shared" si="16"/>
        <v/>
      </c>
      <c r="I148" s="4" t="str">
        <f t="shared" si="17"/>
        <v/>
      </c>
      <c r="J148" s="4" t="str">
        <f t="shared" si="18"/>
        <v/>
      </c>
      <c r="K148" s="4" t="str">
        <f t="shared" si="19"/>
        <v/>
      </c>
    </row>
    <row r="149" spans="1:11" x14ac:dyDescent="0.2">
      <c r="A149" s="3"/>
      <c r="B149" s="4"/>
      <c r="C149" s="4"/>
      <c r="D149" s="4"/>
      <c r="E149" s="4"/>
      <c r="F149" s="3"/>
      <c r="G149" s="3"/>
      <c r="H149" s="4" t="str">
        <f t="shared" si="16"/>
        <v/>
      </c>
      <c r="I149" s="4" t="str">
        <f t="shared" si="17"/>
        <v/>
      </c>
      <c r="J149" s="4" t="str">
        <f t="shared" si="18"/>
        <v/>
      </c>
      <c r="K149" s="4" t="str">
        <f t="shared" si="19"/>
        <v/>
      </c>
    </row>
    <row r="150" spans="1:11" x14ac:dyDescent="0.2">
      <c r="A150" s="3"/>
      <c r="B150" s="4"/>
      <c r="C150" s="4"/>
      <c r="D150" s="4"/>
      <c r="E150" s="4"/>
      <c r="F150" s="3"/>
      <c r="G150" s="3"/>
      <c r="H150" s="4" t="str">
        <f t="shared" si="16"/>
        <v/>
      </c>
      <c r="I150" s="4" t="str">
        <f t="shared" si="17"/>
        <v/>
      </c>
      <c r="J150" s="4" t="str">
        <f t="shared" si="18"/>
        <v/>
      </c>
      <c r="K150" s="4" t="str">
        <f t="shared" si="19"/>
        <v/>
      </c>
    </row>
    <row r="151" spans="1:11" x14ac:dyDescent="0.2">
      <c r="A151" s="3"/>
      <c r="B151" s="4"/>
      <c r="C151" s="4"/>
      <c r="D151" s="4"/>
      <c r="E151" s="4"/>
      <c r="F151" s="3"/>
      <c r="G151" s="3"/>
      <c r="H151" s="4" t="str">
        <f t="shared" si="16"/>
        <v/>
      </c>
      <c r="I151" s="4" t="str">
        <f t="shared" si="17"/>
        <v/>
      </c>
      <c r="J151" s="4" t="str">
        <f t="shared" si="18"/>
        <v/>
      </c>
      <c r="K151" s="4" t="str">
        <f t="shared" si="19"/>
        <v/>
      </c>
    </row>
    <row r="152" spans="1:11" x14ac:dyDescent="0.2">
      <c r="A152" s="3"/>
      <c r="B152" s="4"/>
      <c r="C152" s="4"/>
      <c r="D152" s="4"/>
      <c r="E152" s="4"/>
      <c r="F152" s="3"/>
      <c r="G152" s="3"/>
      <c r="H152" s="4" t="str">
        <f t="shared" si="16"/>
        <v/>
      </c>
      <c r="I152" s="4" t="str">
        <f t="shared" si="17"/>
        <v/>
      </c>
      <c r="J152" s="4" t="str">
        <f t="shared" si="18"/>
        <v/>
      </c>
      <c r="K152" s="4" t="str">
        <f t="shared" si="19"/>
        <v/>
      </c>
    </row>
    <row r="153" spans="1:11" x14ac:dyDescent="0.2">
      <c r="A153" s="3"/>
      <c r="B153" s="4"/>
      <c r="C153" s="4"/>
      <c r="D153" s="4"/>
      <c r="E153" s="4"/>
      <c r="F153" s="3"/>
      <c r="G153" s="3"/>
      <c r="H153" s="4" t="str">
        <f t="shared" si="16"/>
        <v/>
      </c>
      <c r="I153" s="4" t="str">
        <f t="shared" si="17"/>
        <v/>
      </c>
      <c r="J153" s="4" t="str">
        <f t="shared" si="18"/>
        <v/>
      </c>
      <c r="K153" s="4" t="str">
        <f t="shared" si="19"/>
        <v/>
      </c>
    </row>
    <row r="154" spans="1:11" x14ac:dyDescent="0.2">
      <c r="A154" s="3"/>
      <c r="B154" s="4"/>
      <c r="C154" s="4"/>
      <c r="D154" s="4"/>
      <c r="E154" s="4"/>
      <c r="F154" s="3"/>
      <c r="G154" s="3"/>
      <c r="H154" s="4" t="str">
        <f t="shared" si="16"/>
        <v/>
      </c>
      <c r="I154" s="4" t="str">
        <f t="shared" si="17"/>
        <v/>
      </c>
      <c r="J154" s="4" t="str">
        <f t="shared" si="18"/>
        <v/>
      </c>
      <c r="K154" s="4" t="str">
        <f t="shared" si="19"/>
        <v/>
      </c>
    </row>
    <row r="155" spans="1:11" x14ac:dyDescent="0.2">
      <c r="A155" s="3"/>
      <c r="B155" s="4"/>
      <c r="C155" s="4"/>
      <c r="D155" s="4"/>
      <c r="E155" s="4"/>
      <c r="F155" s="3"/>
      <c r="G155" s="3"/>
      <c r="H155" s="4" t="str">
        <f t="shared" si="16"/>
        <v/>
      </c>
      <c r="I155" s="4" t="str">
        <f t="shared" si="17"/>
        <v/>
      </c>
      <c r="J155" s="4" t="str">
        <f t="shared" si="18"/>
        <v/>
      </c>
      <c r="K155" s="4" t="str">
        <f t="shared" si="19"/>
        <v/>
      </c>
    </row>
    <row r="156" spans="1:11" x14ac:dyDescent="0.2">
      <c r="A156" s="3"/>
      <c r="B156" s="4"/>
      <c r="C156" s="4"/>
      <c r="D156" s="4"/>
      <c r="E156" s="4"/>
      <c r="F156" s="3"/>
      <c r="G156" s="3"/>
      <c r="H156" s="4" t="str">
        <f t="shared" si="16"/>
        <v/>
      </c>
      <c r="I156" s="4" t="str">
        <f t="shared" si="17"/>
        <v/>
      </c>
      <c r="J156" s="4" t="str">
        <f t="shared" si="18"/>
        <v/>
      </c>
      <c r="K156" s="4" t="str">
        <f t="shared" si="19"/>
        <v/>
      </c>
    </row>
    <row r="157" spans="1:11" x14ac:dyDescent="0.2">
      <c r="A157" s="3"/>
      <c r="B157" s="4"/>
      <c r="C157" s="4"/>
      <c r="D157" s="4"/>
      <c r="E157" s="4"/>
      <c r="F157" s="3"/>
      <c r="G157" s="3"/>
      <c r="H157" s="4" t="str">
        <f t="shared" si="16"/>
        <v/>
      </c>
      <c r="I157" s="4" t="str">
        <f t="shared" si="17"/>
        <v/>
      </c>
      <c r="J157" s="4" t="str">
        <f t="shared" si="18"/>
        <v/>
      </c>
      <c r="K157" s="4" t="str">
        <f t="shared" si="19"/>
        <v/>
      </c>
    </row>
    <row r="158" spans="1:11" x14ac:dyDescent="0.2">
      <c r="A158" s="3"/>
      <c r="B158" s="4"/>
      <c r="C158" s="4"/>
      <c r="D158" s="4"/>
      <c r="E158" s="4"/>
      <c r="F158" s="3"/>
      <c r="G158" s="3"/>
      <c r="H158" s="4" t="str">
        <f t="shared" si="16"/>
        <v/>
      </c>
      <c r="I158" s="4" t="str">
        <f t="shared" si="17"/>
        <v/>
      </c>
      <c r="J158" s="4" t="str">
        <f t="shared" si="18"/>
        <v/>
      </c>
      <c r="K158" s="4" t="str">
        <f t="shared" si="19"/>
        <v/>
      </c>
    </row>
    <row r="159" spans="1:11" x14ac:dyDescent="0.2">
      <c r="A159" s="3"/>
      <c r="B159" s="4"/>
      <c r="C159" s="4"/>
      <c r="D159" s="4"/>
      <c r="E159" s="4"/>
      <c r="F159" s="3"/>
      <c r="G159" s="3"/>
      <c r="H159" s="4" t="str">
        <f t="shared" si="16"/>
        <v/>
      </c>
      <c r="I159" s="4" t="str">
        <f t="shared" si="17"/>
        <v/>
      </c>
      <c r="J159" s="4" t="str">
        <f t="shared" si="18"/>
        <v/>
      </c>
      <c r="K159" s="4" t="str">
        <f t="shared" si="19"/>
        <v/>
      </c>
    </row>
    <row r="160" spans="1:11" x14ac:dyDescent="0.2">
      <c r="A160" s="3"/>
      <c r="B160" s="4"/>
      <c r="C160" s="4"/>
      <c r="D160" s="4"/>
      <c r="E160" s="4"/>
      <c r="F160" s="3"/>
      <c r="G160" s="3"/>
      <c r="H160" s="4" t="str">
        <f t="shared" si="16"/>
        <v/>
      </c>
      <c r="I160" s="4" t="str">
        <f t="shared" si="17"/>
        <v/>
      </c>
      <c r="J160" s="4" t="str">
        <f t="shared" si="18"/>
        <v/>
      </c>
      <c r="K160" s="4" t="str">
        <f t="shared" si="19"/>
        <v/>
      </c>
    </row>
    <row r="161" spans="1:11" x14ac:dyDescent="0.2">
      <c r="A161" s="3"/>
      <c r="B161" s="4"/>
      <c r="C161" s="4"/>
      <c r="D161" s="4"/>
      <c r="E161" s="4"/>
      <c r="F161" s="3"/>
      <c r="G161" s="3"/>
      <c r="H161" s="4" t="str">
        <f t="shared" si="16"/>
        <v/>
      </c>
      <c r="I161" s="4" t="str">
        <f t="shared" si="17"/>
        <v/>
      </c>
      <c r="J161" s="4" t="str">
        <f t="shared" si="18"/>
        <v/>
      </c>
      <c r="K161" s="4" t="str">
        <f t="shared" si="19"/>
        <v/>
      </c>
    </row>
    <row r="162" spans="1:11" x14ac:dyDescent="0.2">
      <c r="A162" s="3"/>
      <c r="B162" s="4"/>
      <c r="C162" s="4"/>
      <c r="D162" s="4"/>
      <c r="E162" s="4"/>
      <c r="F162" s="3"/>
      <c r="G162" s="3"/>
      <c r="H162" s="4" t="str">
        <f t="shared" si="16"/>
        <v/>
      </c>
      <c r="I162" s="4" t="str">
        <f t="shared" si="17"/>
        <v/>
      </c>
      <c r="J162" s="4" t="str">
        <f t="shared" si="18"/>
        <v/>
      </c>
      <c r="K162" s="4" t="str">
        <f t="shared" si="19"/>
        <v/>
      </c>
    </row>
    <row r="163" spans="1:11" x14ac:dyDescent="0.2">
      <c r="A163" s="3"/>
      <c r="B163" s="4"/>
      <c r="C163" s="4"/>
      <c r="D163" s="4"/>
      <c r="E163" s="4"/>
      <c r="F163" s="3"/>
      <c r="G163" s="3"/>
      <c r="H163" s="4" t="str">
        <f t="shared" ref="H163:H194" si="20">IF($D163="","",IF(ROW()=3,1,IF($I162="",1,$I162+1)))</f>
        <v/>
      </c>
      <c r="I163" s="4" t="str">
        <f t="shared" ref="I163:I194" si="21">IF($D163="","",$H163+$D163-1)</f>
        <v/>
      </c>
      <c r="J163" s="4" t="str">
        <f t="shared" ref="J163:J194" si="22">IF(OR($B163="",$C163=""),"",($B163*$C163)/1000000)</f>
        <v/>
      </c>
      <c r="K163" s="4" t="str">
        <f t="shared" ref="K163:K194" si="23">IF(OR($J163="",$D163=""),"", $J163*$D163)</f>
        <v/>
      </c>
    </row>
    <row r="164" spans="1:11" x14ac:dyDescent="0.2">
      <c r="A164" s="3"/>
      <c r="B164" s="4"/>
      <c r="C164" s="4"/>
      <c r="D164" s="4"/>
      <c r="E164" s="4"/>
      <c r="F164" s="3"/>
      <c r="G164" s="3"/>
      <c r="H164" s="4" t="str">
        <f t="shared" si="20"/>
        <v/>
      </c>
      <c r="I164" s="4" t="str">
        <f t="shared" si="21"/>
        <v/>
      </c>
      <c r="J164" s="4" t="str">
        <f t="shared" si="22"/>
        <v/>
      </c>
      <c r="K164" s="4" t="str">
        <f t="shared" si="23"/>
        <v/>
      </c>
    </row>
    <row r="165" spans="1:11" x14ac:dyDescent="0.2">
      <c r="A165" s="3"/>
      <c r="B165" s="4"/>
      <c r="C165" s="4"/>
      <c r="D165" s="4"/>
      <c r="E165" s="4"/>
      <c r="F165" s="3"/>
      <c r="G165" s="3"/>
      <c r="H165" s="4" t="str">
        <f t="shared" si="20"/>
        <v/>
      </c>
      <c r="I165" s="4" t="str">
        <f t="shared" si="21"/>
        <v/>
      </c>
      <c r="J165" s="4" t="str">
        <f t="shared" si="22"/>
        <v/>
      </c>
      <c r="K165" s="4" t="str">
        <f t="shared" si="23"/>
        <v/>
      </c>
    </row>
    <row r="166" spans="1:11" x14ac:dyDescent="0.2">
      <c r="A166" s="3"/>
      <c r="B166" s="4"/>
      <c r="C166" s="4"/>
      <c r="D166" s="4"/>
      <c r="E166" s="4"/>
      <c r="F166" s="3"/>
      <c r="G166" s="3"/>
      <c r="H166" s="4" t="str">
        <f t="shared" si="20"/>
        <v/>
      </c>
      <c r="I166" s="4" t="str">
        <f t="shared" si="21"/>
        <v/>
      </c>
      <c r="J166" s="4" t="str">
        <f t="shared" si="22"/>
        <v/>
      </c>
      <c r="K166" s="4" t="str">
        <f t="shared" si="23"/>
        <v/>
      </c>
    </row>
    <row r="167" spans="1:11" x14ac:dyDescent="0.2">
      <c r="A167" s="3"/>
      <c r="B167" s="4"/>
      <c r="C167" s="4"/>
      <c r="D167" s="4"/>
      <c r="E167" s="4"/>
      <c r="F167" s="3"/>
      <c r="G167" s="3"/>
      <c r="H167" s="4" t="str">
        <f t="shared" si="20"/>
        <v/>
      </c>
      <c r="I167" s="4" t="str">
        <f t="shared" si="21"/>
        <v/>
      </c>
      <c r="J167" s="4" t="str">
        <f t="shared" si="22"/>
        <v/>
      </c>
      <c r="K167" s="4" t="str">
        <f t="shared" si="23"/>
        <v/>
      </c>
    </row>
    <row r="168" spans="1:11" x14ac:dyDescent="0.2">
      <c r="A168" s="3"/>
      <c r="B168" s="4"/>
      <c r="C168" s="4"/>
      <c r="D168" s="4"/>
      <c r="E168" s="4"/>
      <c r="F168" s="3"/>
      <c r="G168" s="3"/>
      <c r="H168" s="4" t="str">
        <f t="shared" si="20"/>
        <v/>
      </c>
      <c r="I168" s="4" t="str">
        <f t="shared" si="21"/>
        <v/>
      </c>
      <c r="J168" s="4" t="str">
        <f t="shared" si="22"/>
        <v/>
      </c>
      <c r="K168" s="4" t="str">
        <f t="shared" si="23"/>
        <v/>
      </c>
    </row>
    <row r="169" spans="1:11" x14ac:dyDescent="0.2">
      <c r="A169" s="3"/>
      <c r="B169" s="4"/>
      <c r="C169" s="4"/>
      <c r="D169" s="4"/>
      <c r="E169" s="4"/>
      <c r="F169" s="3"/>
      <c r="G169" s="3"/>
      <c r="H169" s="4" t="str">
        <f t="shared" si="20"/>
        <v/>
      </c>
      <c r="I169" s="4" t="str">
        <f t="shared" si="21"/>
        <v/>
      </c>
      <c r="J169" s="4" t="str">
        <f t="shared" si="22"/>
        <v/>
      </c>
      <c r="K169" s="4" t="str">
        <f t="shared" si="23"/>
        <v/>
      </c>
    </row>
    <row r="170" spans="1:11" x14ac:dyDescent="0.2">
      <c r="A170" s="3"/>
      <c r="B170" s="4"/>
      <c r="C170" s="4"/>
      <c r="D170" s="4"/>
      <c r="E170" s="4"/>
      <c r="F170" s="3"/>
      <c r="G170" s="3"/>
      <c r="H170" s="4" t="str">
        <f t="shared" si="20"/>
        <v/>
      </c>
      <c r="I170" s="4" t="str">
        <f t="shared" si="21"/>
        <v/>
      </c>
      <c r="J170" s="4" t="str">
        <f t="shared" si="22"/>
        <v/>
      </c>
      <c r="K170" s="4" t="str">
        <f t="shared" si="23"/>
        <v/>
      </c>
    </row>
    <row r="171" spans="1:11" x14ac:dyDescent="0.2">
      <c r="A171" s="3"/>
      <c r="B171" s="4"/>
      <c r="C171" s="4"/>
      <c r="D171" s="4"/>
      <c r="E171" s="4"/>
      <c r="F171" s="3"/>
      <c r="G171" s="3"/>
      <c r="H171" s="4" t="str">
        <f t="shared" si="20"/>
        <v/>
      </c>
      <c r="I171" s="4" t="str">
        <f t="shared" si="21"/>
        <v/>
      </c>
      <c r="J171" s="4" t="str">
        <f t="shared" si="22"/>
        <v/>
      </c>
      <c r="K171" s="4" t="str">
        <f t="shared" si="23"/>
        <v/>
      </c>
    </row>
    <row r="172" spans="1:11" x14ac:dyDescent="0.2">
      <c r="A172" s="3"/>
      <c r="B172" s="4"/>
      <c r="C172" s="4"/>
      <c r="D172" s="4"/>
      <c r="E172" s="4"/>
      <c r="F172" s="3"/>
      <c r="G172" s="3"/>
      <c r="H172" s="4" t="str">
        <f t="shared" si="20"/>
        <v/>
      </c>
      <c r="I172" s="4" t="str">
        <f t="shared" si="21"/>
        <v/>
      </c>
      <c r="J172" s="4" t="str">
        <f t="shared" si="22"/>
        <v/>
      </c>
      <c r="K172" s="4" t="str">
        <f t="shared" si="23"/>
        <v/>
      </c>
    </row>
    <row r="173" spans="1:11" x14ac:dyDescent="0.2">
      <c r="A173" s="3"/>
      <c r="B173" s="4"/>
      <c r="C173" s="4"/>
      <c r="D173" s="4"/>
      <c r="E173" s="4"/>
      <c r="F173" s="3"/>
      <c r="G173" s="3"/>
      <c r="H173" s="4" t="str">
        <f t="shared" si="20"/>
        <v/>
      </c>
      <c r="I173" s="4" t="str">
        <f t="shared" si="21"/>
        <v/>
      </c>
      <c r="J173" s="4" t="str">
        <f t="shared" si="22"/>
        <v/>
      </c>
      <c r="K173" s="4" t="str">
        <f t="shared" si="23"/>
        <v/>
      </c>
    </row>
    <row r="174" spans="1:11" x14ac:dyDescent="0.2">
      <c r="A174" s="3"/>
      <c r="B174" s="4"/>
      <c r="C174" s="4"/>
      <c r="D174" s="4"/>
      <c r="E174" s="4"/>
      <c r="F174" s="3"/>
      <c r="G174" s="3"/>
      <c r="H174" s="4" t="str">
        <f t="shared" si="20"/>
        <v/>
      </c>
      <c r="I174" s="4" t="str">
        <f t="shared" si="21"/>
        <v/>
      </c>
      <c r="J174" s="4" t="str">
        <f t="shared" si="22"/>
        <v/>
      </c>
      <c r="K174" s="4" t="str">
        <f t="shared" si="23"/>
        <v/>
      </c>
    </row>
    <row r="175" spans="1:11" x14ac:dyDescent="0.2">
      <c r="A175" s="3"/>
      <c r="B175" s="4"/>
      <c r="C175" s="4"/>
      <c r="D175" s="4"/>
      <c r="E175" s="4"/>
      <c r="F175" s="3"/>
      <c r="G175" s="3"/>
      <c r="H175" s="4" t="str">
        <f t="shared" si="20"/>
        <v/>
      </c>
      <c r="I175" s="4" t="str">
        <f t="shared" si="21"/>
        <v/>
      </c>
      <c r="J175" s="4" t="str">
        <f t="shared" si="22"/>
        <v/>
      </c>
      <c r="K175" s="4" t="str">
        <f t="shared" si="23"/>
        <v/>
      </c>
    </row>
    <row r="176" spans="1:11" x14ac:dyDescent="0.2">
      <c r="A176" s="3"/>
      <c r="B176" s="4"/>
      <c r="C176" s="4"/>
      <c r="D176" s="4"/>
      <c r="E176" s="4"/>
      <c r="F176" s="3"/>
      <c r="G176" s="3"/>
      <c r="H176" s="4" t="str">
        <f t="shared" si="20"/>
        <v/>
      </c>
      <c r="I176" s="4" t="str">
        <f t="shared" si="21"/>
        <v/>
      </c>
      <c r="J176" s="4" t="str">
        <f t="shared" si="22"/>
        <v/>
      </c>
      <c r="K176" s="4" t="str">
        <f t="shared" si="23"/>
        <v/>
      </c>
    </row>
    <row r="177" spans="1:11" x14ac:dyDescent="0.2">
      <c r="A177" s="3"/>
      <c r="B177" s="4"/>
      <c r="C177" s="4"/>
      <c r="D177" s="4"/>
      <c r="E177" s="4"/>
      <c r="F177" s="3"/>
      <c r="G177" s="3"/>
      <c r="H177" s="4" t="str">
        <f t="shared" si="20"/>
        <v/>
      </c>
      <c r="I177" s="4" t="str">
        <f t="shared" si="21"/>
        <v/>
      </c>
      <c r="J177" s="4" t="str">
        <f t="shared" si="22"/>
        <v/>
      </c>
      <c r="K177" s="4" t="str">
        <f t="shared" si="23"/>
        <v/>
      </c>
    </row>
    <row r="178" spans="1:11" x14ac:dyDescent="0.2">
      <c r="A178" s="3"/>
      <c r="B178" s="4"/>
      <c r="C178" s="4"/>
      <c r="D178" s="4"/>
      <c r="E178" s="4"/>
      <c r="F178" s="3"/>
      <c r="G178" s="3"/>
      <c r="H178" s="4" t="str">
        <f t="shared" si="20"/>
        <v/>
      </c>
      <c r="I178" s="4" t="str">
        <f t="shared" si="21"/>
        <v/>
      </c>
      <c r="J178" s="4" t="str">
        <f t="shared" si="22"/>
        <v/>
      </c>
      <c r="K178" s="4" t="str">
        <f t="shared" si="23"/>
        <v/>
      </c>
    </row>
    <row r="179" spans="1:11" x14ac:dyDescent="0.2">
      <c r="A179" s="3"/>
      <c r="B179" s="4"/>
      <c r="C179" s="4"/>
      <c r="D179" s="4"/>
      <c r="E179" s="4"/>
      <c r="F179" s="3"/>
      <c r="G179" s="3"/>
      <c r="H179" s="4" t="str">
        <f t="shared" si="20"/>
        <v/>
      </c>
      <c r="I179" s="4" t="str">
        <f t="shared" si="21"/>
        <v/>
      </c>
      <c r="J179" s="4" t="str">
        <f t="shared" si="22"/>
        <v/>
      </c>
      <c r="K179" s="4" t="str">
        <f t="shared" si="23"/>
        <v/>
      </c>
    </row>
    <row r="180" spans="1:11" x14ac:dyDescent="0.2">
      <c r="A180" s="3"/>
      <c r="B180" s="4"/>
      <c r="C180" s="4"/>
      <c r="D180" s="4"/>
      <c r="E180" s="4"/>
      <c r="F180" s="3"/>
      <c r="G180" s="3"/>
      <c r="H180" s="4" t="str">
        <f t="shared" si="20"/>
        <v/>
      </c>
      <c r="I180" s="4" t="str">
        <f t="shared" si="21"/>
        <v/>
      </c>
      <c r="J180" s="4" t="str">
        <f t="shared" si="22"/>
        <v/>
      </c>
      <c r="K180" s="4" t="str">
        <f t="shared" si="23"/>
        <v/>
      </c>
    </row>
    <row r="181" spans="1:11" x14ac:dyDescent="0.2">
      <c r="A181" s="3"/>
      <c r="B181" s="4"/>
      <c r="C181" s="4"/>
      <c r="D181" s="4"/>
      <c r="E181" s="4"/>
      <c r="F181" s="3"/>
      <c r="G181" s="3"/>
      <c r="H181" s="4" t="str">
        <f t="shared" si="20"/>
        <v/>
      </c>
      <c r="I181" s="4" t="str">
        <f t="shared" si="21"/>
        <v/>
      </c>
      <c r="J181" s="4" t="str">
        <f t="shared" si="22"/>
        <v/>
      </c>
      <c r="K181" s="4" t="str">
        <f t="shared" si="23"/>
        <v/>
      </c>
    </row>
    <row r="182" spans="1:11" x14ac:dyDescent="0.2">
      <c r="A182" s="3"/>
      <c r="B182" s="4"/>
      <c r="C182" s="4"/>
      <c r="D182" s="4"/>
      <c r="E182" s="4"/>
      <c r="F182" s="3"/>
      <c r="G182" s="3"/>
      <c r="H182" s="4" t="str">
        <f t="shared" si="20"/>
        <v/>
      </c>
      <c r="I182" s="4" t="str">
        <f t="shared" si="21"/>
        <v/>
      </c>
      <c r="J182" s="4" t="str">
        <f t="shared" si="22"/>
        <v/>
      </c>
      <c r="K182" s="4" t="str">
        <f t="shared" si="23"/>
        <v/>
      </c>
    </row>
    <row r="183" spans="1:11" x14ac:dyDescent="0.2">
      <c r="A183" s="3"/>
      <c r="B183" s="4"/>
      <c r="C183" s="4"/>
      <c r="D183" s="4"/>
      <c r="E183" s="4"/>
      <c r="F183" s="3"/>
      <c r="G183" s="3"/>
      <c r="H183" s="4" t="str">
        <f t="shared" si="20"/>
        <v/>
      </c>
      <c r="I183" s="4" t="str">
        <f t="shared" si="21"/>
        <v/>
      </c>
      <c r="J183" s="4" t="str">
        <f t="shared" si="22"/>
        <v/>
      </c>
      <c r="K183" s="4" t="str">
        <f t="shared" si="23"/>
        <v/>
      </c>
    </row>
    <row r="184" spans="1:11" x14ac:dyDescent="0.2">
      <c r="A184" s="3"/>
      <c r="B184" s="4"/>
      <c r="C184" s="4"/>
      <c r="D184" s="4"/>
      <c r="E184" s="4"/>
      <c r="F184" s="3"/>
      <c r="G184" s="3"/>
      <c r="H184" s="4" t="str">
        <f t="shared" si="20"/>
        <v/>
      </c>
      <c r="I184" s="4" t="str">
        <f t="shared" si="21"/>
        <v/>
      </c>
      <c r="J184" s="4" t="str">
        <f t="shared" si="22"/>
        <v/>
      </c>
      <c r="K184" s="4" t="str">
        <f t="shared" si="23"/>
        <v/>
      </c>
    </row>
    <row r="185" spans="1:11" x14ac:dyDescent="0.2">
      <c r="A185" s="3"/>
      <c r="B185" s="4"/>
      <c r="C185" s="4"/>
      <c r="D185" s="4"/>
      <c r="E185" s="4"/>
      <c r="F185" s="3"/>
      <c r="G185" s="3"/>
      <c r="H185" s="4" t="str">
        <f t="shared" si="20"/>
        <v/>
      </c>
      <c r="I185" s="4" t="str">
        <f t="shared" si="21"/>
        <v/>
      </c>
      <c r="J185" s="4" t="str">
        <f t="shared" si="22"/>
        <v/>
      </c>
      <c r="K185" s="4" t="str">
        <f t="shared" si="23"/>
        <v/>
      </c>
    </row>
    <row r="186" spans="1:11" x14ac:dyDescent="0.2">
      <c r="A186" s="3"/>
      <c r="B186" s="4"/>
      <c r="C186" s="4"/>
      <c r="D186" s="4"/>
      <c r="E186" s="4"/>
      <c r="F186" s="3"/>
      <c r="G186" s="3"/>
      <c r="H186" s="4" t="str">
        <f t="shared" si="20"/>
        <v/>
      </c>
      <c r="I186" s="4" t="str">
        <f t="shared" si="21"/>
        <v/>
      </c>
      <c r="J186" s="4" t="str">
        <f t="shared" si="22"/>
        <v/>
      </c>
      <c r="K186" s="4" t="str">
        <f t="shared" si="23"/>
        <v/>
      </c>
    </row>
    <row r="187" spans="1:11" x14ac:dyDescent="0.2">
      <c r="A187" s="3"/>
      <c r="B187" s="4"/>
      <c r="C187" s="4"/>
      <c r="D187" s="4"/>
      <c r="E187" s="4"/>
      <c r="F187" s="3"/>
      <c r="G187" s="3"/>
      <c r="H187" s="4" t="str">
        <f t="shared" si="20"/>
        <v/>
      </c>
      <c r="I187" s="4" t="str">
        <f t="shared" si="21"/>
        <v/>
      </c>
      <c r="J187" s="4" t="str">
        <f t="shared" si="22"/>
        <v/>
      </c>
      <c r="K187" s="4" t="str">
        <f t="shared" si="23"/>
        <v/>
      </c>
    </row>
    <row r="188" spans="1:11" x14ac:dyDescent="0.2">
      <c r="A188" s="3"/>
      <c r="B188" s="4"/>
      <c r="C188" s="4"/>
      <c r="D188" s="4"/>
      <c r="E188" s="4"/>
      <c r="F188" s="3"/>
      <c r="G188" s="3"/>
      <c r="H188" s="4" t="str">
        <f t="shared" si="20"/>
        <v/>
      </c>
      <c r="I188" s="4" t="str">
        <f t="shared" si="21"/>
        <v/>
      </c>
      <c r="J188" s="4" t="str">
        <f t="shared" si="22"/>
        <v/>
      </c>
      <c r="K188" s="4" t="str">
        <f t="shared" si="23"/>
        <v/>
      </c>
    </row>
    <row r="189" spans="1:11" x14ac:dyDescent="0.2">
      <c r="A189" s="3"/>
      <c r="B189" s="4"/>
      <c r="C189" s="4"/>
      <c r="D189" s="4"/>
      <c r="E189" s="4"/>
      <c r="F189" s="3"/>
      <c r="G189" s="3"/>
      <c r="H189" s="4" t="str">
        <f t="shared" si="20"/>
        <v/>
      </c>
      <c r="I189" s="4" t="str">
        <f t="shared" si="21"/>
        <v/>
      </c>
      <c r="J189" s="4" t="str">
        <f t="shared" si="22"/>
        <v/>
      </c>
      <c r="K189" s="4" t="str">
        <f t="shared" si="23"/>
        <v/>
      </c>
    </row>
    <row r="190" spans="1:11" x14ac:dyDescent="0.2">
      <c r="A190" s="3"/>
      <c r="B190" s="4"/>
      <c r="C190" s="4"/>
      <c r="D190" s="4"/>
      <c r="E190" s="4"/>
      <c r="F190" s="3"/>
      <c r="G190" s="3"/>
      <c r="H190" s="4" t="str">
        <f t="shared" si="20"/>
        <v/>
      </c>
      <c r="I190" s="4" t="str">
        <f t="shared" si="21"/>
        <v/>
      </c>
      <c r="J190" s="4" t="str">
        <f t="shared" si="22"/>
        <v/>
      </c>
      <c r="K190" s="4" t="str">
        <f t="shared" si="23"/>
        <v/>
      </c>
    </row>
    <row r="191" spans="1:11" x14ac:dyDescent="0.2">
      <c r="A191" s="3"/>
      <c r="B191" s="4"/>
      <c r="C191" s="4"/>
      <c r="D191" s="4"/>
      <c r="E191" s="4"/>
      <c r="F191" s="3"/>
      <c r="G191" s="3"/>
      <c r="H191" s="4" t="str">
        <f t="shared" si="20"/>
        <v/>
      </c>
      <c r="I191" s="4" t="str">
        <f t="shared" si="21"/>
        <v/>
      </c>
      <c r="J191" s="4" t="str">
        <f t="shared" si="22"/>
        <v/>
      </c>
      <c r="K191" s="4" t="str">
        <f t="shared" si="23"/>
        <v/>
      </c>
    </row>
    <row r="192" spans="1:11" x14ac:dyDescent="0.2">
      <c r="A192" s="3"/>
      <c r="B192" s="4"/>
      <c r="C192" s="4"/>
      <c r="D192" s="4"/>
      <c r="E192" s="4"/>
      <c r="F192" s="3"/>
      <c r="G192" s="3"/>
      <c r="H192" s="4" t="str">
        <f t="shared" si="20"/>
        <v/>
      </c>
      <c r="I192" s="4" t="str">
        <f t="shared" si="21"/>
        <v/>
      </c>
      <c r="J192" s="4" t="str">
        <f t="shared" si="22"/>
        <v/>
      </c>
      <c r="K192" s="4" t="str">
        <f t="shared" si="23"/>
        <v/>
      </c>
    </row>
    <row r="193" spans="1:11" x14ac:dyDescent="0.2">
      <c r="A193" s="3"/>
      <c r="B193" s="4"/>
      <c r="C193" s="4"/>
      <c r="D193" s="4"/>
      <c r="E193" s="4"/>
      <c r="F193" s="3"/>
      <c r="G193" s="3"/>
      <c r="H193" s="4" t="str">
        <f t="shared" si="20"/>
        <v/>
      </c>
      <c r="I193" s="4" t="str">
        <f t="shared" si="21"/>
        <v/>
      </c>
      <c r="J193" s="4" t="str">
        <f t="shared" si="22"/>
        <v/>
      </c>
      <c r="K193" s="4" t="str">
        <f t="shared" si="23"/>
        <v/>
      </c>
    </row>
    <row r="194" spans="1:11" x14ac:dyDescent="0.2">
      <c r="A194" s="3"/>
      <c r="B194" s="4"/>
      <c r="C194" s="4"/>
      <c r="D194" s="4"/>
      <c r="E194" s="4"/>
      <c r="F194" s="3"/>
      <c r="G194" s="3"/>
      <c r="H194" s="4" t="str">
        <f t="shared" si="20"/>
        <v/>
      </c>
      <c r="I194" s="4" t="str">
        <f t="shared" si="21"/>
        <v/>
      </c>
      <c r="J194" s="4" t="str">
        <f t="shared" si="22"/>
        <v/>
      </c>
      <c r="K194" s="4" t="str">
        <f t="shared" si="23"/>
        <v/>
      </c>
    </row>
    <row r="195" spans="1:11" x14ac:dyDescent="0.2">
      <c r="A195" s="3"/>
      <c r="B195" s="4"/>
      <c r="C195" s="4"/>
      <c r="D195" s="4"/>
      <c r="E195" s="4"/>
      <c r="F195" s="3"/>
      <c r="G195" s="3"/>
      <c r="H195" s="4" t="str">
        <f t="shared" ref="H195:H202" si="24">IF($D195="","",IF(ROW()=3,1,IF($I194="",1,$I194+1)))</f>
        <v/>
      </c>
      <c r="I195" s="4" t="str">
        <f t="shared" ref="I195:I202" si="25">IF($D195="","",$H195+$D195-1)</f>
        <v/>
      </c>
      <c r="J195" s="4" t="str">
        <f t="shared" ref="J195:J202" si="26">IF(OR($B195="",$C195=""),"",($B195*$C195)/1000000)</f>
        <v/>
      </c>
      <c r="K195" s="4" t="str">
        <f t="shared" ref="K195:K202" si="27">IF(OR($J195="",$D195=""),"", $J195*$D195)</f>
        <v/>
      </c>
    </row>
    <row r="196" spans="1:11" x14ac:dyDescent="0.2">
      <c r="A196" s="3"/>
      <c r="B196" s="4"/>
      <c r="C196" s="4"/>
      <c r="D196" s="4"/>
      <c r="E196" s="4"/>
      <c r="F196" s="3"/>
      <c r="G196" s="3"/>
      <c r="H196" s="4" t="str">
        <f t="shared" si="24"/>
        <v/>
      </c>
      <c r="I196" s="4" t="str">
        <f t="shared" si="25"/>
        <v/>
      </c>
      <c r="J196" s="4" t="str">
        <f t="shared" si="26"/>
        <v/>
      </c>
      <c r="K196" s="4" t="str">
        <f t="shared" si="27"/>
        <v/>
      </c>
    </row>
    <row r="197" spans="1:11" x14ac:dyDescent="0.2">
      <c r="A197" s="3"/>
      <c r="B197" s="4"/>
      <c r="C197" s="4"/>
      <c r="D197" s="4"/>
      <c r="E197" s="4"/>
      <c r="F197" s="3"/>
      <c r="G197" s="3"/>
      <c r="H197" s="4" t="str">
        <f t="shared" si="24"/>
        <v/>
      </c>
      <c r="I197" s="4" t="str">
        <f t="shared" si="25"/>
        <v/>
      </c>
      <c r="J197" s="4" t="str">
        <f t="shared" si="26"/>
        <v/>
      </c>
      <c r="K197" s="4" t="str">
        <f t="shared" si="27"/>
        <v/>
      </c>
    </row>
    <row r="198" spans="1:11" x14ac:dyDescent="0.2">
      <c r="A198" s="3"/>
      <c r="B198" s="4"/>
      <c r="C198" s="4"/>
      <c r="D198" s="4"/>
      <c r="E198" s="4"/>
      <c r="F198" s="3"/>
      <c r="G198" s="3"/>
      <c r="H198" s="4" t="str">
        <f t="shared" si="24"/>
        <v/>
      </c>
      <c r="I198" s="4" t="str">
        <f t="shared" si="25"/>
        <v/>
      </c>
      <c r="J198" s="4" t="str">
        <f t="shared" si="26"/>
        <v/>
      </c>
      <c r="K198" s="4" t="str">
        <f t="shared" si="27"/>
        <v/>
      </c>
    </row>
    <row r="199" spans="1:11" x14ac:dyDescent="0.2">
      <c r="A199" s="3"/>
      <c r="B199" s="4"/>
      <c r="C199" s="4"/>
      <c r="D199" s="4"/>
      <c r="E199" s="4"/>
      <c r="F199" s="3"/>
      <c r="G199" s="3"/>
      <c r="H199" s="4" t="str">
        <f t="shared" si="24"/>
        <v/>
      </c>
      <c r="I199" s="4" t="str">
        <f t="shared" si="25"/>
        <v/>
      </c>
      <c r="J199" s="4" t="str">
        <f t="shared" si="26"/>
        <v/>
      </c>
      <c r="K199" s="4" t="str">
        <f t="shared" si="27"/>
        <v/>
      </c>
    </row>
    <row r="200" spans="1:11" x14ac:dyDescent="0.2">
      <c r="A200" s="3"/>
      <c r="B200" s="4"/>
      <c r="C200" s="4"/>
      <c r="D200" s="4"/>
      <c r="E200" s="4"/>
      <c r="F200" s="3"/>
      <c r="G200" s="3"/>
      <c r="H200" s="4" t="str">
        <f t="shared" si="24"/>
        <v/>
      </c>
      <c r="I200" s="4" t="str">
        <f t="shared" si="25"/>
        <v/>
      </c>
      <c r="J200" s="4" t="str">
        <f t="shared" si="26"/>
        <v/>
      </c>
      <c r="K200" s="4" t="str">
        <f t="shared" si="27"/>
        <v/>
      </c>
    </row>
    <row r="201" spans="1:11" x14ac:dyDescent="0.2">
      <c r="A201" s="3"/>
      <c r="B201" s="4"/>
      <c r="C201" s="4"/>
      <c r="D201" s="4"/>
      <c r="E201" s="4"/>
      <c r="F201" s="3"/>
      <c r="G201" s="3"/>
      <c r="H201" s="4" t="str">
        <f t="shared" si="24"/>
        <v/>
      </c>
      <c r="I201" s="4" t="str">
        <f t="shared" si="25"/>
        <v/>
      </c>
      <c r="J201" s="4" t="str">
        <f t="shared" si="26"/>
        <v/>
      </c>
      <c r="K201" s="4" t="str">
        <f t="shared" si="27"/>
        <v/>
      </c>
    </row>
    <row r="202" spans="1:11" x14ac:dyDescent="0.2">
      <c r="A202" s="3"/>
      <c r="B202" s="4"/>
      <c r="C202" s="4"/>
      <c r="D202" s="4"/>
      <c r="E202" s="4"/>
      <c r="F202" s="3"/>
      <c r="G202" s="3"/>
      <c r="H202" s="4" t="str">
        <f t="shared" si="24"/>
        <v/>
      </c>
      <c r="I202" s="4" t="str">
        <f t="shared" si="25"/>
        <v/>
      </c>
      <c r="J202" s="4" t="str">
        <f t="shared" si="26"/>
        <v/>
      </c>
      <c r="K202" s="4" t="str">
        <f t="shared" si="27"/>
        <v/>
      </c>
    </row>
    <row r="204" spans="1:11" x14ac:dyDescent="0.2">
      <c r="C204" s="5" t="s">
        <v>25</v>
      </c>
      <c r="D204" s="6">
        <f>SUM(D3:D202)</f>
        <v>0</v>
      </c>
      <c r="I204" s="5" t="s">
        <v>25</v>
      </c>
      <c r="J204" s="6">
        <f>SUM(J3:J202)</f>
        <v>0</v>
      </c>
      <c r="K204" s="6">
        <f>SUM(K3:K202)</f>
        <v>0</v>
      </c>
    </row>
  </sheetData>
  <mergeCells count="1">
    <mergeCell ref="A1:K1"/>
  </mergeCells>
  <dataValidations count="1">
    <dataValidation type="list" allowBlank="1" sqref="E3:E202" xr:uid="{00000000-0002-0000-0100-000000000000}">
      <formula1>"Y,N"</formula1>
    </dataValidation>
  </dataValidations>
  <pageMargins left="0.75" right="0.75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2"/>
  <sheetViews>
    <sheetView showGridLines="0" workbookViewId="0">
      <pane ySplit="2" topLeftCell="A3" activePane="bottomLeft" state="frozen"/>
      <selection pane="bottomLeft" activeCell="K13" sqref="K13"/>
    </sheetView>
  </sheetViews>
  <sheetFormatPr baseColWidth="10" defaultColWidth="8.83203125" defaultRowHeight="15" x14ac:dyDescent="0.2"/>
  <cols>
    <col min="1" max="2" width="9" customWidth="1"/>
    <col min="3" max="3" width="12" customWidth="1"/>
    <col min="4" max="5" width="10" customWidth="1"/>
    <col min="6" max="6" width="14" customWidth="1"/>
    <col min="7" max="7" width="10" customWidth="1"/>
    <col min="8" max="8" width="12" customWidth="1"/>
    <col min="9" max="9" width="13.5" bestFit="1" customWidth="1"/>
  </cols>
  <sheetData>
    <row r="1" spans="1:9" ht="24" customHeight="1" x14ac:dyDescent="0.2">
      <c r="A1" s="36" t="s">
        <v>60</v>
      </c>
      <c r="B1" s="29"/>
      <c r="C1" s="29"/>
      <c r="D1" s="29"/>
      <c r="E1" s="29"/>
      <c r="F1" s="29"/>
      <c r="G1" s="29"/>
      <c r="H1" s="29"/>
      <c r="I1" s="29"/>
    </row>
    <row r="2" spans="1:9" x14ac:dyDescent="0.2">
      <c r="A2" s="15" t="s">
        <v>26</v>
      </c>
      <c r="B2" s="15" t="s">
        <v>27</v>
      </c>
      <c r="C2" s="15" t="s">
        <v>14</v>
      </c>
      <c r="D2" s="15" t="s">
        <v>28</v>
      </c>
      <c r="E2" s="15" t="s">
        <v>29</v>
      </c>
      <c r="F2" s="15" t="s">
        <v>30</v>
      </c>
      <c r="G2" s="15" t="s">
        <v>23</v>
      </c>
      <c r="H2" s="15" t="s">
        <v>31</v>
      </c>
      <c r="I2" s="15" t="s">
        <v>32</v>
      </c>
    </row>
    <row r="3" spans="1:9" x14ac:dyDescent="0.2">
      <c r="A3" s="4">
        <v>1</v>
      </c>
      <c r="B3" s="4" t="str">
        <f>IF($A3&gt;MAX(CuttingList!$I$3:$I$202),"",MATCH($A3,CuttingList!$H$3:$H$202,1))</f>
        <v/>
      </c>
      <c r="C3" s="3" t="str">
        <f>IF($B3="","",INDEX(CuttingList!$A$3:$A$202,$B3))</f>
        <v/>
      </c>
      <c r="D3" s="4" t="str">
        <f>IF($B3="","",INDEX(CuttingList!$B$3:$B$202,$B3))</f>
        <v/>
      </c>
      <c r="E3" s="4" t="str">
        <f>IF($B3="","",INDEX(CuttingList!$C$3:$C$202,$B3))</f>
        <v/>
      </c>
      <c r="F3" s="3" t="str">
        <f>IF($B3="","",INDEX(CuttingList!$E$3:$E$202,$B3))</f>
        <v/>
      </c>
      <c r="G3" s="7" t="str">
        <f t="shared" ref="G3:G66" si="0">IF(OR($D3="",$E3=""),"",($D3*$E3)/1000000)</f>
        <v/>
      </c>
      <c r="H3" s="4" t="str">
        <f t="shared" ref="H3:H66" si="1">IF(OR($D3="",$E3=""),"",MAX($D3,$E3))</f>
        <v/>
      </c>
      <c r="I3" s="4" t="str">
        <f t="shared" ref="I3:I66" si="2">IF($E3="","",$E3)</f>
        <v/>
      </c>
    </row>
    <row r="4" spans="1:9" x14ac:dyDescent="0.2">
      <c r="A4" s="4">
        <v>2</v>
      </c>
      <c r="B4" s="4" t="str">
        <f>IF($A4&gt;MAX(CuttingList!$I$3:$I$202),"",MATCH($A4,CuttingList!$H$3:$H$202,1))</f>
        <v/>
      </c>
      <c r="C4" s="3" t="str">
        <f>IF($B4="","",INDEX(CuttingList!$A$3:$A$202,$B4))</f>
        <v/>
      </c>
      <c r="D4" s="4" t="str">
        <f>IF($B4="","",INDEX(CuttingList!$B$3:$B$202,$B4))</f>
        <v/>
      </c>
      <c r="E4" s="4" t="str">
        <f>IF($B4="","",INDEX(CuttingList!$C$3:$C$202,$B4))</f>
        <v/>
      </c>
      <c r="F4" s="3" t="str">
        <f>IF($B4="","",INDEX(CuttingList!$E$3:$E$202,$B4))</f>
        <v/>
      </c>
      <c r="G4" s="4" t="str">
        <f t="shared" si="0"/>
        <v/>
      </c>
      <c r="H4" s="4" t="str">
        <f t="shared" si="1"/>
        <v/>
      </c>
      <c r="I4" s="4" t="str">
        <f t="shared" si="2"/>
        <v/>
      </c>
    </row>
    <row r="5" spans="1:9" x14ac:dyDescent="0.2">
      <c r="A5" s="4">
        <v>3</v>
      </c>
      <c r="B5" s="4" t="str">
        <f>IF($A5&gt;MAX(CuttingList!$I$3:$I$202),"",MATCH($A5,CuttingList!$H$3:$H$202,1))</f>
        <v/>
      </c>
      <c r="C5" s="3" t="str">
        <f>IF($B5="","",INDEX(CuttingList!$A$3:$A$202,$B5))</f>
        <v/>
      </c>
      <c r="D5" s="4" t="str">
        <f>IF($B5="","",INDEX(CuttingList!$B$3:$B$202,$B5))</f>
        <v/>
      </c>
      <c r="E5" s="4" t="str">
        <f>IF($B5="","",INDEX(CuttingList!$C$3:$C$202,$B5))</f>
        <v/>
      </c>
      <c r="F5" s="3" t="str">
        <f>IF($B5="","",INDEX(CuttingList!$E$3:$E$202,$B5))</f>
        <v/>
      </c>
      <c r="G5" s="4" t="str">
        <f t="shared" si="0"/>
        <v/>
      </c>
      <c r="H5" s="4" t="str">
        <f t="shared" si="1"/>
        <v/>
      </c>
      <c r="I5" s="4" t="str">
        <f t="shared" si="2"/>
        <v/>
      </c>
    </row>
    <row r="6" spans="1:9" x14ac:dyDescent="0.2">
      <c r="A6" s="4">
        <v>4</v>
      </c>
      <c r="B6" s="4" t="str">
        <f>IF($A6&gt;MAX(CuttingList!$I$3:$I$202),"",MATCH($A6,CuttingList!$H$3:$H$202,1))</f>
        <v/>
      </c>
      <c r="C6" s="3" t="str">
        <f>IF($B6="","",INDEX(CuttingList!$A$3:$A$202,$B6))</f>
        <v/>
      </c>
      <c r="D6" s="4" t="str">
        <f>IF($B6="","",INDEX(CuttingList!$B$3:$B$202,$B6))</f>
        <v/>
      </c>
      <c r="E6" s="4" t="str">
        <f>IF($B6="","",INDEX(CuttingList!$C$3:$C$202,$B6))</f>
        <v/>
      </c>
      <c r="F6" s="3" t="str">
        <f>IF($B6="","",INDEX(CuttingList!$E$3:$E$202,$B6))</f>
        <v/>
      </c>
      <c r="G6" s="4" t="str">
        <f t="shared" si="0"/>
        <v/>
      </c>
      <c r="H6" s="4" t="str">
        <f t="shared" si="1"/>
        <v/>
      </c>
      <c r="I6" s="4" t="str">
        <f t="shared" si="2"/>
        <v/>
      </c>
    </row>
    <row r="7" spans="1:9" x14ac:dyDescent="0.2">
      <c r="A7" s="4">
        <v>5</v>
      </c>
      <c r="B7" s="4" t="str">
        <f>IF($A7&gt;MAX(CuttingList!$I$3:$I$202),"",MATCH($A7,CuttingList!$H$3:$H$202,1))</f>
        <v/>
      </c>
      <c r="C7" s="3" t="str">
        <f>IF($B7="","",INDEX(CuttingList!$A$3:$A$202,$B7))</f>
        <v/>
      </c>
      <c r="D7" s="4" t="str">
        <f>IF($B7="","",INDEX(CuttingList!$B$3:$B$202,$B7))</f>
        <v/>
      </c>
      <c r="E7" s="4" t="str">
        <f>IF($B7="","",INDEX(CuttingList!$C$3:$C$202,$B7))</f>
        <v/>
      </c>
      <c r="F7" s="3" t="str">
        <f>IF($B7="","",INDEX(CuttingList!$E$3:$E$202,$B7))</f>
        <v/>
      </c>
      <c r="G7" s="4" t="str">
        <f t="shared" si="0"/>
        <v/>
      </c>
      <c r="H7" s="4" t="str">
        <f t="shared" si="1"/>
        <v/>
      </c>
      <c r="I7" s="4" t="str">
        <f t="shared" si="2"/>
        <v/>
      </c>
    </row>
    <row r="8" spans="1:9" x14ac:dyDescent="0.2">
      <c r="A8" s="4">
        <v>6</v>
      </c>
      <c r="B8" s="4" t="str">
        <f>IF($A8&gt;MAX(CuttingList!$I$3:$I$202),"",MATCH($A8,CuttingList!$H$3:$H$202,1))</f>
        <v/>
      </c>
      <c r="C8" s="3" t="str">
        <f>IF($B8="","",INDEX(CuttingList!$A$3:$A$202,$B8))</f>
        <v/>
      </c>
      <c r="D8" s="4" t="str">
        <f>IF($B8="","",INDEX(CuttingList!$B$3:$B$202,$B8))</f>
        <v/>
      </c>
      <c r="E8" s="4" t="str">
        <f>IF($B8="","",INDEX(CuttingList!$C$3:$C$202,$B8))</f>
        <v/>
      </c>
      <c r="F8" s="3" t="str">
        <f>IF($B8="","",INDEX(CuttingList!$E$3:$E$202,$B8))</f>
        <v/>
      </c>
      <c r="G8" s="4" t="str">
        <f t="shared" si="0"/>
        <v/>
      </c>
      <c r="H8" s="4" t="str">
        <f t="shared" si="1"/>
        <v/>
      </c>
      <c r="I8" s="4" t="str">
        <f t="shared" si="2"/>
        <v/>
      </c>
    </row>
    <row r="9" spans="1:9" x14ac:dyDescent="0.2">
      <c r="A9" s="4">
        <v>7</v>
      </c>
      <c r="B9" s="4" t="str">
        <f>IF($A9&gt;MAX(CuttingList!$I$3:$I$202),"",MATCH($A9,CuttingList!$H$3:$H$202,1))</f>
        <v/>
      </c>
      <c r="C9" s="3" t="str">
        <f>IF($B9="","",INDEX(CuttingList!$A$3:$A$202,$B9))</f>
        <v/>
      </c>
      <c r="D9" s="4" t="str">
        <f>IF($B9="","",INDEX(CuttingList!$B$3:$B$202,$B9))</f>
        <v/>
      </c>
      <c r="E9" s="4" t="str">
        <f>IF($B9="","",INDEX(CuttingList!$C$3:$C$202,$B9))</f>
        <v/>
      </c>
      <c r="F9" s="3" t="str">
        <f>IF($B9="","",INDEX(CuttingList!$E$3:$E$202,$B9))</f>
        <v/>
      </c>
      <c r="G9" s="4" t="str">
        <f t="shared" si="0"/>
        <v/>
      </c>
      <c r="H9" s="4" t="str">
        <f t="shared" si="1"/>
        <v/>
      </c>
      <c r="I9" s="4" t="str">
        <f t="shared" si="2"/>
        <v/>
      </c>
    </row>
    <row r="10" spans="1:9" x14ac:dyDescent="0.2">
      <c r="A10" s="4">
        <v>8</v>
      </c>
      <c r="B10" s="4" t="str">
        <f>IF($A10&gt;MAX(CuttingList!$I$3:$I$202),"",MATCH($A10,CuttingList!$H$3:$H$202,1))</f>
        <v/>
      </c>
      <c r="C10" s="3" t="str">
        <f>IF($B10="","",INDEX(CuttingList!$A$3:$A$202,$B10))</f>
        <v/>
      </c>
      <c r="D10" s="4" t="str">
        <f>IF($B10="","",INDEX(CuttingList!$B$3:$B$202,$B10))</f>
        <v/>
      </c>
      <c r="E10" s="4" t="str">
        <f>IF($B10="","",INDEX(CuttingList!$C$3:$C$202,$B10))</f>
        <v/>
      </c>
      <c r="F10" s="3" t="str">
        <f>IF($B10="","",INDEX(CuttingList!$E$3:$E$202,$B10))</f>
        <v/>
      </c>
      <c r="G10" s="4" t="str">
        <f t="shared" si="0"/>
        <v/>
      </c>
      <c r="H10" s="4" t="str">
        <f t="shared" si="1"/>
        <v/>
      </c>
      <c r="I10" s="4" t="str">
        <f t="shared" si="2"/>
        <v/>
      </c>
    </row>
    <row r="11" spans="1:9" x14ac:dyDescent="0.2">
      <c r="A11" s="4">
        <v>9</v>
      </c>
      <c r="B11" s="4" t="str">
        <f>IF($A11&gt;MAX(CuttingList!$I$3:$I$202),"",MATCH($A11,CuttingList!$H$3:$H$202,1))</f>
        <v/>
      </c>
      <c r="C11" s="3" t="str">
        <f>IF($B11="","",INDEX(CuttingList!$A$3:$A$202,$B11))</f>
        <v/>
      </c>
      <c r="D11" s="4" t="str">
        <f>IF($B11="","",INDEX(CuttingList!$B$3:$B$202,$B11))</f>
        <v/>
      </c>
      <c r="E11" s="4" t="str">
        <f>IF($B11="","",INDEX(CuttingList!$C$3:$C$202,$B11))</f>
        <v/>
      </c>
      <c r="F11" s="3" t="str">
        <f>IF($B11="","",INDEX(CuttingList!$E$3:$E$202,$B11))</f>
        <v/>
      </c>
      <c r="G11" s="4" t="str">
        <f t="shared" si="0"/>
        <v/>
      </c>
      <c r="H11" s="4" t="str">
        <f t="shared" si="1"/>
        <v/>
      </c>
      <c r="I11" s="4" t="str">
        <f t="shared" si="2"/>
        <v/>
      </c>
    </row>
    <row r="12" spans="1:9" x14ac:dyDescent="0.2">
      <c r="A12" s="4">
        <v>10</v>
      </c>
      <c r="B12" s="4" t="str">
        <f>IF($A12&gt;MAX(CuttingList!$I$3:$I$202),"",MATCH($A12,CuttingList!$H$3:$H$202,1))</f>
        <v/>
      </c>
      <c r="C12" s="3" t="str">
        <f>IF($B12="","",INDEX(CuttingList!$A$3:$A$202,$B12))</f>
        <v/>
      </c>
      <c r="D12" s="4" t="str">
        <f>IF($B12="","",INDEX(CuttingList!$B$3:$B$202,$B12))</f>
        <v/>
      </c>
      <c r="E12" s="4" t="str">
        <f>IF($B12="","",INDEX(CuttingList!$C$3:$C$202,$B12))</f>
        <v/>
      </c>
      <c r="F12" s="3" t="str">
        <f>IF($B12="","",INDEX(CuttingList!$E$3:$E$202,$B12))</f>
        <v/>
      </c>
      <c r="G12" s="4" t="str">
        <f t="shared" si="0"/>
        <v/>
      </c>
      <c r="H12" s="4" t="str">
        <f t="shared" si="1"/>
        <v/>
      </c>
      <c r="I12" s="4" t="str">
        <f t="shared" si="2"/>
        <v/>
      </c>
    </row>
    <row r="13" spans="1:9" x14ac:dyDescent="0.2">
      <c r="A13" s="4">
        <v>11</v>
      </c>
      <c r="B13" s="4" t="str">
        <f>IF($A13&gt;MAX(CuttingList!$I$3:$I$202),"",MATCH($A13,CuttingList!$H$3:$H$202,1))</f>
        <v/>
      </c>
      <c r="C13" s="3" t="str">
        <f>IF($B13="","",INDEX(CuttingList!$A$3:$A$202,$B13))</f>
        <v/>
      </c>
      <c r="D13" s="4" t="str">
        <f>IF($B13="","",INDEX(CuttingList!$B$3:$B$202,$B13))</f>
        <v/>
      </c>
      <c r="E13" s="4" t="str">
        <f>IF($B13="","",INDEX(CuttingList!$C$3:$C$202,$B13))</f>
        <v/>
      </c>
      <c r="F13" s="3" t="str">
        <f>IF($B13="","",INDEX(CuttingList!$E$3:$E$202,$B13))</f>
        <v/>
      </c>
      <c r="G13" s="4" t="str">
        <f t="shared" si="0"/>
        <v/>
      </c>
      <c r="H13" s="4" t="str">
        <f t="shared" si="1"/>
        <v/>
      </c>
      <c r="I13" s="4" t="str">
        <f t="shared" si="2"/>
        <v/>
      </c>
    </row>
    <row r="14" spans="1:9" x14ac:dyDescent="0.2">
      <c r="A14" s="4">
        <v>12</v>
      </c>
      <c r="B14" s="4" t="str">
        <f>IF($A14&gt;MAX(CuttingList!$I$3:$I$202),"",MATCH($A14,CuttingList!$H$3:$H$202,1))</f>
        <v/>
      </c>
      <c r="C14" s="3" t="str">
        <f>IF($B14="","",INDEX(CuttingList!$A$3:$A$202,$B14))</f>
        <v/>
      </c>
      <c r="D14" s="4" t="str">
        <f>IF($B14="","",INDEX(CuttingList!$B$3:$B$202,$B14))</f>
        <v/>
      </c>
      <c r="E14" s="4" t="str">
        <f>IF($B14="","",INDEX(CuttingList!$C$3:$C$202,$B14))</f>
        <v/>
      </c>
      <c r="F14" s="3" t="str">
        <f>IF($B14="","",INDEX(CuttingList!$E$3:$E$202,$B14))</f>
        <v/>
      </c>
      <c r="G14" s="4" t="str">
        <f t="shared" si="0"/>
        <v/>
      </c>
      <c r="H14" s="4" t="str">
        <f t="shared" si="1"/>
        <v/>
      </c>
      <c r="I14" s="4" t="str">
        <f t="shared" si="2"/>
        <v/>
      </c>
    </row>
    <row r="15" spans="1:9" x14ac:dyDescent="0.2">
      <c r="A15" s="4">
        <v>13</v>
      </c>
      <c r="B15" s="4" t="str">
        <f>IF($A15&gt;MAX(CuttingList!$I$3:$I$202),"",MATCH($A15,CuttingList!$H$3:$H$202,1))</f>
        <v/>
      </c>
      <c r="C15" s="3" t="str">
        <f>IF($B15="","",INDEX(CuttingList!$A$3:$A$202,$B15))</f>
        <v/>
      </c>
      <c r="D15" s="4" t="str">
        <f>IF($B15="","",INDEX(CuttingList!$B$3:$B$202,$B15))</f>
        <v/>
      </c>
      <c r="E15" s="4" t="str">
        <f>IF($B15="","",INDEX(CuttingList!$C$3:$C$202,$B15))</f>
        <v/>
      </c>
      <c r="F15" s="3" t="str">
        <f>IF($B15="","",INDEX(CuttingList!$E$3:$E$202,$B15))</f>
        <v/>
      </c>
      <c r="G15" s="4" t="str">
        <f t="shared" si="0"/>
        <v/>
      </c>
      <c r="H15" s="4" t="str">
        <f t="shared" si="1"/>
        <v/>
      </c>
      <c r="I15" s="4" t="str">
        <f t="shared" si="2"/>
        <v/>
      </c>
    </row>
    <row r="16" spans="1:9" x14ac:dyDescent="0.2">
      <c r="A16" s="4">
        <v>14</v>
      </c>
      <c r="B16" s="4" t="str">
        <f>IF($A16&gt;MAX(CuttingList!$I$3:$I$202),"",MATCH($A16,CuttingList!$H$3:$H$202,1))</f>
        <v/>
      </c>
      <c r="C16" s="3" t="str">
        <f>IF($B16="","",INDEX(CuttingList!$A$3:$A$202,$B16))</f>
        <v/>
      </c>
      <c r="D16" s="4" t="str">
        <f>IF($B16="","",INDEX(CuttingList!$B$3:$B$202,$B16))</f>
        <v/>
      </c>
      <c r="E16" s="4" t="str">
        <f>IF($B16="","",INDEX(CuttingList!$C$3:$C$202,$B16))</f>
        <v/>
      </c>
      <c r="F16" s="3" t="str">
        <f>IF($B16="","",INDEX(CuttingList!$E$3:$E$202,$B16))</f>
        <v/>
      </c>
      <c r="G16" s="4" t="str">
        <f t="shared" si="0"/>
        <v/>
      </c>
      <c r="H16" s="4" t="str">
        <f t="shared" si="1"/>
        <v/>
      </c>
      <c r="I16" s="4" t="str">
        <f t="shared" si="2"/>
        <v/>
      </c>
    </row>
    <row r="17" spans="1:9" x14ac:dyDescent="0.2">
      <c r="A17" s="4">
        <v>15</v>
      </c>
      <c r="B17" s="4" t="str">
        <f>IF($A17&gt;MAX(CuttingList!$I$3:$I$202),"",MATCH($A17,CuttingList!$H$3:$H$202,1))</f>
        <v/>
      </c>
      <c r="C17" s="3" t="str">
        <f>IF($B17="","",INDEX(CuttingList!$A$3:$A$202,$B17))</f>
        <v/>
      </c>
      <c r="D17" s="4" t="str">
        <f>IF($B17="","",INDEX(CuttingList!$B$3:$B$202,$B17))</f>
        <v/>
      </c>
      <c r="E17" s="4" t="str">
        <f>IF($B17="","",INDEX(CuttingList!$C$3:$C$202,$B17))</f>
        <v/>
      </c>
      <c r="F17" s="3" t="str">
        <f>IF($B17="","",INDEX(CuttingList!$E$3:$E$202,$B17))</f>
        <v/>
      </c>
      <c r="G17" s="4" t="str">
        <f t="shared" si="0"/>
        <v/>
      </c>
      <c r="H17" s="4" t="str">
        <f t="shared" si="1"/>
        <v/>
      </c>
      <c r="I17" s="4" t="str">
        <f t="shared" si="2"/>
        <v/>
      </c>
    </row>
    <row r="18" spans="1:9" x14ac:dyDescent="0.2">
      <c r="A18" s="4">
        <v>16</v>
      </c>
      <c r="B18" s="4" t="str">
        <f>IF($A18&gt;MAX(CuttingList!$I$3:$I$202),"",MATCH($A18,CuttingList!$H$3:$H$202,1))</f>
        <v/>
      </c>
      <c r="C18" s="3" t="str">
        <f>IF($B18="","",INDEX(CuttingList!$A$3:$A$202,$B18))</f>
        <v/>
      </c>
      <c r="D18" s="4" t="str">
        <f>IF($B18="","",INDEX(CuttingList!$B$3:$B$202,$B18))</f>
        <v/>
      </c>
      <c r="E18" s="4" t="str">
        <f>IF($B18="","",INDEX(CuttingList!$C$3:$C$202,$B18))</f>
        <v/>
      </c>
      <c r="F18" s="3" t="str">
        <f>IF($B18="","",INDEX(CuttingList!$E$3:$E$202,$B18))</f>
        <v/>
      </c>
      <c r="G18" s="4" t="str">
        <f t="shared" si="0"/>
        <v/>
      </c>
      <c r="H18" s="4" t="str">
        <f t="shared" si="1"/>
        <v/>
      </c>
      <c r="I18" s="4" t="str">
        <f t="shared" si="2"/>
        <v/>
      </c>
    </row>
    <row r="19" spans="1:9" x14ac:dyDescent="0.2">
      <c r="A19" s="4">
        <v>17</v>
      </c>
      <c r="B19" s="4" t="str">
        <f>IF($A19&gt;MAX(CuttingList!$I$3:$I$202),"",MATCH($A19,CuttingList!$H$3:$H$202,1))</f>
        <v/>
      </c>
      <c r="C19" s="3" t="str">
        <f>IF($B19="","",INDEX(CuttingList!$A$3:$A$202,$B19))</f>
        <v/>
      </c>
      <c r="D19" s="4" t="str">
        <f>IF($B19="","",INDEX(CuttingList!$B$3:$B$202,$B19))</f>
        <v/>
      </c>
      <c r="E19" s="4" t="str">
        <f>IF($B19="","",INDEX(CuttingList!$C$3:$C$202,$B19))</f>
        <v/>
      </c>
      <c r="F19" s="3" t="str">
        <f>IF($B19="","",INDEX(CuttingList!$E$3:$E$202,$B19))</f>
        <v/>
      </c>
      <c r="G19" s="4" t="str">
        <f t="shared" si="0"/>
        <v/>
      </c>
      <c r="H19" s="4" t="str">
        <f t="shared" si="1"/>
        <v/>
      </c>
      <c r="I19" s="4" t="str">
        <f t="shared" si="2"/>
        <v/>
      </c>
    </row>
    <row r="20" spans="1:9" x14ac:dyDescent="0.2">
      <c r="A20" s="4">
        <v>18</v>
      </c>
      <c r="B20" s="4" t="str">
        <f>IF($A20&gt;MAX(CuttingList!$I$3:$I$202),"",MATCH($A20,CuttingList!$H$3:$H$202,1))</f>
        <v/>
      </c>
      <c r="C20" s="3" t="str">
        <f>IF($B20="","",INDEX(CuttingList!$A$3:$A$202,$B20))</f>
        <v/>
      </c>
      <c r="D20" s="4" t="str">
        <f>IF($B20="","",INDEX(CuttingList!$B$3:$B$202,$B20))</f>
        <v/>
      </c>
      <c r="E20" s="4" t="str">
        <f>IF($B20="","",INDEX(CuttingList!$C$3:$C$202,$B20))</f>
        <v/>
      </c>
      <c r="F20" s="3" t="str">
        <f>IF($B20="","",INDEX(CuttingList!$E$3:$E$202,$B20))</f>
        <v/>
      </c>
      <c r="G20" s="4" t="str">
        <f t="shared" si="0"/>
        <v/>
      </c>
      <c r="H20" s="4" t="str">
        <f t="shared" si="1"/>
        <v/>
      </c>
      <c r="I20" s="4" t="str">
        <f t="shared" si="2"/>
        <v/>
      </c>
    </row>
    <row r="21" spans="1:9" x14ac:dyDescent="0.2">
      <c r="A21" s="4">
        <v>19</v>
      </c>
      <c r="B21" s="4" t="str">
        <f>IF($A21&gt;MAX(CuttingList!$I$3:$I$202),"",MATCH($A21,CuttingList!$H$3:$H$202,1))</f>
        <v/>
      </c>
      <c r="C21" s="3" t="str">
        <f>IF($B21="","",INDEX(CuttingList!$A$3:$A$202,$B21))</f>
        <v/>
      </c>
      <c r="D21" s="4" t="str">
        <f>IF($B21="","",INDEX(CuttingList!$B$3:$B$202,$B21))</f>
        <v/>
      </c>
      <c r="E21" s="4" t="str">
        <f>IF($B21="","",INDEX(CuttingList!$C$3:$C$202,$B21))</f>
        <v/>
      </c>
      <c r="F21" s="3" t="str">
        <f>IF($B21="","",INDEX(CuttingList!$E$3:$E$202,$B21))</f>
        <v/>
      </c>
      <c r="G21" s="4" t="str">
        <f t="shared" si="0"/>
        <v/>
      </c>
      <c r="H21" s="4" t="str">
        <f t="shared" si="1"/>
        <v/>
      </c>
      <c r="I21" s="4" t="str">
        <f t="shared" si="2"/>
        <v/>
      </c>
    </row>
    <row r="22" spans="1:9" x14ac:dyDescent="0.2">
      <c r="A22" s="4">
        <v>20</v>
      </c>
      <c r="B22" s="4" t="str">
        <f>IF($A22&gt;MAX(CuttingList!$I$3:$I$202),"",MATCH($A22,CuttingList!$H$3:$H$202,1))</f>
        <v/>
      </c>
      <c r="C22" s="3" t="str">
        <f>IF($B22="","",INDEX(CuttingList!$A$3:$A$202,$B22))</f>
        <v/>
      </c>
      <c r="D22" s="4" t="str">
        <f>IF($B22="","",INDEX(CuttingList!$B$3:$B$202,$B22))</f>
        <v/>
      </c>
      <c r="E22" s="4" t="str">
        <f>IF($B22="","",INDEX(CuttingList!$C$3:$C$202,$B22))</f>
        <v/>
      </c>
      <c r="F22" s="3" t="str">
        <f>IF($B22="","",INDEX(CuttingList!$E$3:$E$202,$B22))</f>
        <v/>
      </c>
      <c r="G22" s="4" t="str">
        <f t="shared" si="0"/>
        <v/>
      </c>
      <c r="H22" s="4" t="str">
        <f t="shared" si="1"/>
        <v/>
      </c>
      <c r="I22" s="4" t="str">
        <f t="shared" si="2"/>
        <v/>
      </c>
    </row>
    <row r="23" spans="1:9" x14ac:dyDescent="0.2">
      <c r="A23" s="4">
        <v>21</v>
      </c>
      <c r="B23" s="4" t="str">
        <f>IF($A23&gt;MAX(CuttingList!$I$3:$I$202),"",MATCH($A23,CuttingList!$H$3:$H$202,1))</f>
        <v/>
      </c>
      <c r="C23" s="3" t="str">
        <f>IF($B23="","",INDEX(CuttingList!$A$3:$A$202,$B23))</f>
        <v/>
      </c>
      <c r="D23" s="4" t="str">
        <f>IF($B23="","",INDEX(CuttingList!$B$3:$B$202,$B23))</f>
        <v/>
      </c>
      <c r="E23" s="4" t="str">
        <f>IF($B23="","",INDEX(CuttingList!$C$3:$C$202,$B23))</f>
        <v/>
      </c>
      <c r="F23" s="3" t="str">
        <f>IF($B23="","",INDEX(CuttingList!$E$3:$E$202,$B23))</f>
        <v/>
      </c>
      <c r="G23" s="4" t="str">
        <f t="shared" si="0"/>
        <v/>
      </c>
      <c r="H23" s="4" t="str">
        <f t="shared" si="1"/>
        <v/>
      </c>
      <c r="I23" s="4" t="str">
        <f t="shared" si="2"/>
        <v/>
      </c>
    </row>
    <row r="24" spans="1:9" x14ac:dyDescent="0.2">
      <c r="A24" s="4">
        <v>22</v>
      </c>
      <c r="B24" s="4" t="str">
        <f>IF($A24&gt;MAX(CuttingList!$I$3:$I$202),"",MATCH($A24,CuttingList!$H$3:$H$202,1))</f>
        <v/>
      </c>
      <c r="C24" s="3" t="str">
        <f>IF($B24="","",INDEX(CuttingList!$A$3:$A$202,$B24))</f>
        <v/>
      </c>
      <c r="D24" s="4" t="str">
        <f>IF($B24="","",INDEX(CuttingList!$B$3:$B$202,$B24))</f>
        <v/>
      </c>
      <c r="E24" s="4" t="str">
        <f>IF($B24="","",INDEX(CuttingList!$C$3:$C$202,$B24))</f>
        <v/>
      </c>
      <c r="F24" s="3" t="str">
        <f>IF($B24="","",INDEX(CuttingList!$E$3:$E$202,$B24))</f>
        <v/>
      </c>
      <c r="G24" s="4" t="str">
        <f t="shared" si="0"/>
        <v/>
      </c>
      <c r="H24" s="4" t="str">
        <f t="shared" si="1"/>
        <v/>
      </c>
      <c r="I24" s="4" t="str">
        <f t="shared" si="2"/>
        <v/>
      </c>
    </row>
    <row r="25" spans="1:9" x14ac:dyDescent="0.2">
      <c r="A25" s="4">
        <v>23</v>
      </c>
      <c r="B25" s="4" t="str">
        <f>IF($A25&gt;MAX(CuttingList!$I$3:$I$202),"",MATCH($A25,CuttingList!$H$3:$H$202,1))</f>
        <v/>
      </c>
      <c r="C25" s="3" t="str">
        <f>IF($B25="","",INDEX(CuttingList!$A$3:$A$202,$B25))</f>
        <v/>
      </c>
      <c r="D25" s="4" t="str">
        <f>IF($B25="","",INDEX(CuttingList!$B$3:$B$202,$B25))</f>
        <v/>
      </c>
      <c r="E25" s="4" t="str">
        <f>IF($B25="","",INDEX(CuttingList!$C$3:$C$202,$B25))</f>
        <v/>
      </c>
      <c r="F25" s="3" t="str">
        <f>IF($B25="","",INDEX(CuttingList!$E$3:$E$202,$B25))</f>
        <v/>
      </c>
      <c r="G25" s="4" t="str">
        <f t="shared" si="0"/>
        <v/>
      </c>
      <c r="H25" s="4" t="str">
        <f t="shared" si="1"/>
        <v/>
      </c>
      <c r="I25" s="4" t="str">
        <f t="shared" si="2"/>
        <v/>
      </c>
    </row>
    <row r="26" spans="1:9" x14ac:dyDescent="0.2">
      <c r="A26" s="4">
        <v>24</v>
      </c>
      <c r="B26" s="4" t="str">
        <f>IF($A26&gt;MAX(CuttingList!$I$3:$I$202),"",MATCH($A26,CuttingList!$H$3:$H$202,1))</f>
        <v/>
      </c>
      <c r="C26" s="3" t="str">
        <f>IF($B26="","",INDEX(CuttingList!$A$3:$A$202,$B26))</f>
        <v/>
      </c>
      <c r="D26" s="4" t="str">
        <f>IF($B26="","",INDEX(CuttingList!$B$3:$B$202,$B26))</f>
        <v/>
      </c>
      <c r="E26" s="4" t="str">
        <f>IF($B26="","",INDEX(CuttingList!$C$3:$C$202,$B26))</f>
        <v/>
      </c>
      <c r="F26" s="3" t="str">
        <f>IF($B26="","",INDEX(CuttingList!$E$3:$E$202,$B26))</f>
        <v/>
      </c>
      <c r="G26" s="4" t="str">
        <f t="shared" si="0"/>
        <v/>
      </c>
      <c r="H26" s="4" t="str">
        <f t="shared" si="1"/>
        <v/>
      </c>
      <c r="I26" s="4" t="str">
        <f t="shared" si="2"/>
        <v/>
      </c>
    </row>
    <row r="27" spans="1:9" x14ac:dyDescent="0.2">
      <c r="A27" s="4">
        <v>25</v>
      </c>
      <c r="B27" s="4" t="str">
        <f>IF($A27&gt;MAX(CuttingList!$I$3:$I$202),"",MATCH($A27,CuttingList!$H$3:$H$202,1))</f>
        <v/>
      </c>
      <c r="C27" s="3" t="str">
        <f>IF($B27="","",INDEX(CuttingList!$A$3:$A$202,$B27))</f>
        <v/>
      </c>
      <c r="D27" s="4" t="str">
        <f>IF($B27="","",INDEX(CuttingList!$B$3:$B$202,$B27))</f>
        <v/>
      </c>
      <c r="E27" s="4" t="str">
        <f>IF($B27="","",INDEX(CuttingList!$C$3:$C$202,$B27))</f>
        <v/>
      </c>
      <c r="F27" s="3" t="str">
        <f>IF($B27="","",INDEX(CuttingList!$E$3:$E$202,$B27))</f>
        <v/>
      </c>
      <c r="G27" s="4" t="str">
        <f t="shared" si="0"/>
        <v/>
      </c>
      <c r="H27" s="4" t="str">
        <f t="shared" si="1"/>
        <v/>
      </c>
      <c r="I27" s="4" t="str">
        <f t="shared" si="2"/>
        <v/>
      </c>
    </row>
    <row r="28" spans="1:9" x14ac:dyDescent="0.2">
      <c r="A28" s="4">
        <v>26</v>
      </c>
      <c r="B28" s="4" t="str">
        <f>IF($A28&gt;MAX(CuttingList!$I$3:$I$202),"",MATCH($A28,CuttingList!$H$3:$H$202,1))</f>
        <v/>
      </c>
      <c r="C28" s="3" t="str">
        <f>IF($B28="","",INDEX(CuttingList!$A$3:$A$202,$B28))</f>
        <v/>
      </c>
      <c r="D28" s="4" t="str">
        <f>IF($B28="","",INDEX(CuttingList!$B$3:$B$202,$B28))</f>
        <v/>
      </c>
      <c r="E28" s="4" t="str">
        <f>IF($B28="","",INDEX(CuttingList!$C$3:$C$202,$B28))</f>
        <v/>
      </c>
      <c r="F28" s="3" t="str">
        <f>IF($B28="","",INDEX(CuttingList!$E$3:$E$202,$B28))</f>
        <v/>
      </c>
      <c r="G28" s="4" t="str">
        <f t="shared" si="0"/>
        <v/>
      </c>
      <c r="H28" s="4" t="str">
        <f t="shared" si="1"/>
        <v/>
      </c>
      <c r="I28" s="4" t="str">
        <f t="shared" si="2"/>
        <v/>
      </c>
    </row>
    <row r="29" spans="1:9" x14ac:dyDescent="0.2">
      <c r="A29" s="4">
        <v>27</v>
      </c>
      <c r="B29" s="4" t="str">
        <f>IF($A29&gt;MAX(CuttingList!$I$3:$I$202),"",MATCH($A29,CuttingList!$H$3:$H$202,1))</f>
        <v/>
      </c>
      <c r="C29" s="3" t="str">
        <f>IF($B29="","",INDEX(CuttingList!$A$3:$A$202,$B29))</f>
        <v/>
      </c>
      <c r="D29" s="4" t="str">
        <f>IF($B29="","",INDEX(CuttingList!$B$3:$B$202,$B29))</f>
        <v/>
      </c>
      <c r="E29" s="4" t="str">
        <f>IF($B29="","",INDEX(CuttingList!$C$3:$C$202,$B29))</f>
        <v/>
      </c>
      <c r="F29" s="3" t="str">
        <f>IF($B29="","",INDEX(CuttingList!$E$3:$E$202,$B29))</f>
        <v/>
      </c>
      <c r="G29" s="4" t="str">
        <f t="shared" si="0"/>
        <v/>
      </c>
      <c r="H29" s="4" t="str">
        <f t="shared" si="1"/>
        <v/>
      </c>
      <c r="I29" s="4" t="str">
        <f t="shared" si="2"/>
        <v/>
      </c>
    </row>
    <row r="30" spans="1:9" x14ac:dyDescent="0.2">
      <c r="A30" s="4">
        <v>28</v>
      </c>
      <c r="B30" s="4" t="str">
        <f>IF($A30&gt;MAX(CuttingList!$I$3:$I$202),"",MATCH($A30,CuttingList!$H$3:$H$202,1))</f>
        <v/>
      </c>
      <c r="C30" s="3" t="str">
        <f>IF($B30="","",INDEX(CuttingList!$A$3:$A$202,$B30))</f>
        <v/>
      </c>
      <c r="D30" s="4" t="str">
        <f>IF($B30="","",INDEX(CuttingList!$B$3:$B$202,$B30))</f>
        <v/>
      </c>
      <c r="E30" s="4" t="str">
        <f>IF($B30="","",INDEX(CuttingList!$C$3:$C$202,$B30))</f>
        <v/>
      </c>
      <c r="F30" s="3" t="str">
        <f>IF($B30="","",INDEX(CuttingList!$E$3:$E$202,$B30))</f>
        <v/>
      </c>
      <c r="G30" s="4" t="str">
        <f t="shared" si="0"/>
        <v/>
      </c>
      <c r="H30" s="4" t="str">
        <f t="shared" si="1"/>
        <v/>
      </c>
      <c r="I30" s="4" t="str">
        <f t="shared" si="2"/>
        <v/>
      </c>
    </row>
    <row r="31" spans="1:9" x14ac:dyDescent="0.2">
      <c r="A31" s="4">
        <v>29</v>
      </c>
      <c r="B31" s="4" t="str">
        <f>IF($A31&gt;MAX(CuttingList!$I$3:$I$202),"",MATCH($A31,CuttingList!$H$3:$H$202,1))</f>
        <v/>
      </c>
      <c r="C31" s="3" t="str">
        <f>IF($B31="","",INDEX(CuttingList!$A$3:$A$202,$B31))</f>
        <v/>
      </c>
      <c r="D31" s="4" t="str">
        <f>IF($B31="","",INDEX(CuttingList!$B$3:$B$202,$B31))</f>
        <v/>
      </c>
      <c r="E31" s="4" t="str">
        <f>IF($B31="","",INDEX(CuttingList!$C$3:$C$202,$B31))</f>
        <v/>
      </c>
      <c r="F31" s="3" t="str">
        <f>IF($B31="","",INDEX(CuttingList!$E$3:$E$202,$B31))</f>
        <v/>
      </c>
      <c r="G31" s="4" t="str">
        <f t="shared" si="0"/>
        <v/>
      </c>
      <c r="H31" s="4" t="str">
        <f t="shared" si="1"/>
        <v/>
      </c>
      <c r="I31" s="4" t="str">
        <f t="shared" si="2"/>
        <v/>
      </c>
    </row>
    <row r="32" spans="1:9" x14ac:dyDescent="0.2">
      <c r="A32" s="4">
        <v>30</v>
      </c>
      <c r="B32" s="4" t="str">
        <f>IF($A32&gt;MAX(CuttingList!$I$3:$I$202),"",MATCH($A32,CuttingList!$H$3:$H$202,1))</f>
        <v/>
      </c>
      <c r="C32" s="3" t="str">
        <f>IF($B32="","",INDEX(CuttingList!$A$3:$A$202,$B32))</f>
        <v/>
      </c>
      <c r="D32" s="4" t="str">
        <f>IF($B32="","",INDEX(CuttingList!$B$3:$B$202,$B32))</f>
        <v/>
      </c>
      <c r="E32" s="4" t="str">
        <f>IF($B32="","",INDEX(CuttingList!$C$3:$C$202,$B32))</f>
        <v/>
      </c>
      <c r="F32" s="3" t="str">
        <f>IF($B32="","",INDEX(CuttingList!$E$3:$E$202,$B32))</f>
        <v/>
      </c>
      <c r="G32" s="4" t="str">
        <f t="shared" si="0"/>
        <v/>
      </c>
      <c r="H32" s="4" t="str">
        <f t="shared" si="1"/>
        <v/>
      </c>
      <c r="I32" s="4" t="str">
        <f t="shared" si="2"/>
        <v/>
      </c>
    </row>
    <row r="33" spans="1:9" x14ac:dyDescent="0.2">
      <c r="A33" s="4">
        <v>31</v>
      </c>
      <c r="B33" s="4" t="str">
        <f>IF($A33&gt;MAX(CuttingList!$I$3:$I$202),"",MATCH($A33,CuttingList!$H$3:$H$202,1))</f>
        <v/>
      </c>
      <c r="C33" s="3" t="str">
        <f>IF($B33="","",INDEX(CuttingList!$A$3:$A$202,$B33))</f>
        <v/>
      </c>
      <c r="D33" s="4" t="str">
        <f>IF($B33="","",INDEX(CuttingList!$B$3:$B$202,$B33))</f>
        <v/>
      </c>
      <c r="E33" s="4" t="str">
        <f>IF($B33="","",INDEX(CuttingList!$C$3:$C$202,$B33))</f>
        <v/>
      </c>
      <c r="F33" s="3" t="str">
        <f>IF($B33="","",INDEX(CuttingList!$E$3:$E$202,$B33))</f>
        <v/>
      </c>
      <c r="G33" s="4" t="str">
        <f t="shared" si="0"/>
        <v/>
      </c>
      <c r="H33" s="4" t="str">
        <f t="shared" si="1"/>
        <v/>
      </c>
      <c r="I33" s="4" t="str">
        <f t="shared" si="2"/>
        <v/>
      </c>
    </row>
    <row r="34" spans="1:9" x14ac:dyDescent="0.2">
      <c r="A34" s="4">
        <v>32</v>
      </c>
      <c r="B34" s="4" t="str">
        <f>IF($A34&gt;MAX(CuttingList!$I$3:$I$202),"",MATCH($A34,CuttingList!$H$3:$H$202,1))</f>
        <v/>
      </c>
      <c r="C34" s="3" t="str">
        <f>IF($B34="","",INDEX(CuttingList!$A$3:$A$202,$B34))</f>
        <v/>
      </c>
      <c r="D34" s="4" t="str">
        <f>IF($B34="","",INDEX(CuttingList!$B$3:$B$202,$B34))</f>
        <v/>
      </c>
      <c r="E34" s="4" t="str">
        <f>IF($B34="","",INDEX(CuttingList!$C$3:$C$202,$B34))</f>
        <v/>
      </c>
      <c r="F34" s="3" t="str">
        <f>IF($B34="","",INDEX(CuttingList!$E$3:$E$202,$B34))</f>
        <v/>
      </c>
      <c r="G34" s="4" t="str">
        <f t="shared" si="0"/>
        <v/>
      </c>
      <c r="H34" s="4" t="str">
        <f t="shared" si="1"/>
        <v/>
      </c>
      <c r="I34" s="4" t="str">
        <f t="shared" si="2"/>
        <v/>
      </c>
    </row>
    <row r="35" spans="1:9" x14ac:dyDescent="0.2">
      <c r="A35" s="4">
        <v>33</v>
      </c>
      <c r="B35" s="4" t="str">
        <f>IF($A35&gt;MAX(CuttingList!$I$3:$I$202),"",MATCH($A35,CuttingList!$H$3:$H$202,1))</f>
        <v/>
      </c>
      <c r="C35" s="3" t="str">
        <f>IF($B35="","",INDEX(CuttingList!$A$3:$A$202,$B35))</f>
        <v/>
      </c>
      <c r="D35" s="4" t="str">
        <f>IF($B35="","",INDEX(CuttingList!$B$3:$B$202,$B35))</f>
        <v/>
      </c>
      <c r="E35" s="4" t="str">
        <f>IF($B35="","",INDEX(CuttingList!$C$3:$C$202,$B35))</f>
        <v/>
      </c>
      <c r="F35" s="3" t="str">
        <f>IF($B35="","",INDEX(CuttingList!$E$3:$E$202,$B35))</f>
        <v/>
      </c>
      <c r="G35" s="4" t="str">
        <f t="shared" si="0"/>
        <v/>
      </c>
      <c r="H35" s="4" t="str">
        <f t="shared" si="1"/>
        <v/>
      </c>
      <c r="I35" s="4" t="str">
        <f t="shared" si="2"/>
        <v/>
      </c>
    </row>
    <row r="36" spans="1:9" x14ac:dyDescent="0.2">
      <c r="A36" s="4">
        <v>34</v>
      </c>
      <c r="B36" s="4" t="str">
        <f>IF($A36&gt;MAX(CuttingList!$I$3:$I$202),"",MATCH($A36,CuttingList!$H$3:$H$202,1))</f>
        <v/>
      </c>
      <c r="C36" s="3" t="str">
        <f>IF($B36="","",INDEX(CuttingList!$A$3:$A$202,$B36))</f>
        <v/>
      </c>
      <c r="D36" s="4" t="str">
        <f>IF($B36="","",INDEX(CuttingList!$B$3:$B$202,$B36))</f>
        <v/>
      </c>
      <c r="E36" s="4" t="str">
        <f>IF($B36="","",INDEX(CuttingList!$C$3:$C$202,$B36))</f>
        <v/>
      </c>
      <c r="F36" s="3" t="str">
        <f>IF($B36="","",INDEX(CuttingList!$E$3:$E$202,$B36))</f>
        <v/>
      </c>
      <c r="G36" s="4" t="str">
        <f t="shared" si="0"/>
        <v/>
      </c>
      <c r="H36" s="4" t="str">
        <f t="shared" si="1"/>
        <v/>
      </c>
      <c r="I36" s="4" t="str">
        <f t="shared" si="2"/>
        <v/>
      </c>
    </row>
    <row r="37" spans="1:9" x14ac:dyDescent="0.2">
      <c r="A37" s="4">
        <v>35</v>
      </c>
      <c r="B37" s="4" t="str">
        <f>IF($A37&gt;MAX(CuttingList!$I$3:$I$202),"",MATCH($A37,CuttingList!$H$3:$H$202,1))</f>
        <v/>
      </c>
      <c r="C37" s="3" t="str">
        <f>IF($B37="","",INDEX(CuttingList!$A$3:$A$202,$B37))</f>
        <v/>
      </c>
      <c r="D37" s="4" t="str">
        <f>IF($B37="","",INDEX(CuttingList!$B$3:$B$202,$B37))</f>
        <v/>
      </c>
      <c r="E37" s="4" t="str">
        <f>IF($B37="","",INDEX(CuttingList!$C$3:$C$202,$B37))</f>
        <v/>
      </c>
      <c r="F37" s="3" t="str">
        <f>IF($B37="","",INDEX(CuttingList!$E$3:$E$202,$B37))</f>
        <v/>
      </c>
      <c r="G37" s="4" t="str">
        <f t="shared" si="0"/>
        <v/>
      </c>
      <c r="H37" s="4" t="str">
        <f t="shared" si="1"/>
        <v/>
      </c>
      <c r="I37" s="4" t="str">
        <f t="shared" si="2"/>
        <v/>
      </c>
    </row>
    <row r="38" spans="1:9" x14ac:dyDescent="0.2">
      <c r="A38" s="4">
        <v>36</v>
      </c>
      <c r="B38" s="4" t="str">
        <f>IF($A38&gt;MAX(CuttingList!$I$3:$I$202),"",MATCH($A38,CuttingList!$H$3:$H$202,1))</f>
        <v/>
      </c>
      <c r="C38" s="3" t="str">
        <f>IF($B38="","",INDEX(CuttingList!$A$3:$A$202,$B38))</f>
        <v/>
      </c>
      <c r="D38" s="4" t="str">
        <f>IF($B38="","",INDEX(CuttingList!$B$3:$B$202,$B38))</f>
        <v/>
      </c>
      <c r="E38" s="4" t="str">
        <f>IF($B38="","",INDEX(CuttingList!$C$3:$C$202,$B38))</f>
        <v/>
      </c>
      <c r="F38" s="3" t="str">
        <f>IF($B38="","",INDEX(CuttingList!$E$3:$E$202,$B38))</f>
        <v/>
      </c>
      <c r="G38" s="4" t="str">
        <f t="shared" si="0"/>
        <v/>
      </c>
      <c r="H38" s="4" t="str">
        <f t="shared" si="1"/>
        <v/>
      </c>
      <c r="I38" s="4" t="str">
        <f t="shared" si="2"/>
        <v/>
      </c>
    </row>
    <row r="39" spans="1:9" x14ac:dyDescent="0.2">
      <c r="A39" s="4">
        <v>37</v>
      </c>
      <c r="B39" s="4" t="str">
        <f>IF($A39&gt;MAX(CuttingList!$I$3:$I$202),"",MATCH($A39,CuttingList!$H$3:$H$202,1))</f>
        <v/>
      </c>
      <c r="C39" s="3" t="str">
        <f>IF($B39="","",INDEX(CuttingList!$A$3:$A$202,$B39))</f>
        <v/>
      </c>
      <c r="D39" s="4" t="str">
        <f>IF($B39="","",INDEX(CuttingList!$B$3:$B$202,$B39))</f>
        <v/>
      </c>
      <c r="E39" s="4" t="str">
        <f>IF($B39="","",INDEX(CuttingList!$C$3:$C$202,$B39))</f>
        <v/>
      </c>
      <c r="F39" s="3" t="str">
        <f>IF($B39="","",INDEX(CuttingList!$E$3:$E$202,$B39))</f>
        <v/>
      </c>
      <c r="G39" s="4" t="str">
        <f t="shared" si="0"/>
        <v/>
      </c>
      <c r="H39" s="4" t="str">
        <f t="shared" si="1"/>
        <v/>
      </c>
      <c r="I39" s="4" t="str">
        <f t="shared" si="2"/>
        <v/>
      </c>
    </row>
    <row r="40" spans="1:9" x14ac:dyDescent="0.2">
      <c r="A40" s="4">
        <v>38</v>
      </c>
      <c r="B40" s="4" t="str">
        <f>IF($A40&gt;MAX(CuttingList!$I$3:$I$202),"",MATCH($A40,CuttingList!$H$3:$H$202,1))</f>
        <v/>
      </c>
      <c r="C40" s="3" t="str">
        <f>IF($B40="","",INDEX(CuttingList!$A$3:$A$202,$B40))</f>
        <v/>
      </c>
      <c r="D40" s="4" t="str">
        <f>IF($B40="","",INDEX(CuttingList!$B$3:$B$202,$B40))</f>
        <v/>
      </c>
      <c r="E40" s="4" t="str">
        <f>IF($B40="","",INDEX(CuttingList!$C$3:$C$202,$B40))</f>
        <v/>
      </c>
      <c r="F40" s="3" t="str">
        <f>IF($B40="","",INDEX(CuttingList!$E$3:$E$202,$B40))</f>
        <v/>
      </c>
      <c r="G40" s="4" t="str">
        <f t="shared" si="0"/>
        <v/>
      </c>
      <c r="H40" s="4" t="str">
        <f t="shared" si="1"/>
        <v/>
      </c>
      <c r="I40" s="4" t="str">
        <f t="shared" si="2"/>
        <v/>
      </c>
    </row>
    <row r="41" spans="1:9" x14ac:dyDescent="0.2">
      <c r="A41" s="4">
        <v>39</v>
      </c>
      <c r="B41" s="4" t="str">
        <f>IF($A41&gt;MAX(CuttingList!$I$3:$I$202),"",MATCH($A41,CuttingList!$H$3:$H$202,1))</f>
        <v/>
      </c>
      <c r="C41" s="3" t="str">
        <f>IF($B41="","",INDEX(CuttingList!$A$3:$A$202,$B41))</f>
        <v/>
      </c>
      <c r="D41" s="4" t="str">
        <f>IF($B41="","",INDEX(CuttingList!$B$3:$B$202,$B41))</f>
        <v/>
      </c>
      <c r="E41" s="4" t="str">
        <f>IF($B41="","",INDEX(CuttingList!$C$3:$C$202,$B41))</f>
        <v/>
      </c>
      <c r="F41" s="3" t="str">
        <f>IF($B41="","",INDEX(CuttingList!$E$3:$E$202,$B41))</f>
        <v/>
      </c>
      <c r="G41" s="4" t="str">
        <f t="shared" si="0"/>
        <v/>
      </c>
      <c r="H41" s="4" t="str">
        <f t="shared" si="1"/>
        <v/>
      </c>
      <c r="I41" s="4" t="str">
        <f t="shared" si="2"/>
        <v/>
      </c>
    </row>
    <row r="42" spans="1:9" x14ac:dyDescent="0.2">
      <c r="A42" s="4">
        <v>40</v>
      </c>
      <c r="B42" s="4" t="str">
        <f>IF($A42&gt;MAX(CuttingList!$I$3:$I$202),"",MATCH($A42,CuttingList!$H$3:$H$202,1))</f>
        <v/>
      </c>
      <c r="C42" s="3" t="str">
        <f>IF($B42="","",INDEX(CuttingList!$A$3:$A$202,$B42))</f>
        <v/>
      </c>
      <c r="D42" s="4" t="str">
        <f>IF($B42="","",INDEX(CuttingList!$B$3:$B$202,$B42))</f>
        <v/>
      </c>
      <c r="E42" s="4" t="str">
        <f>IF($B42="","",INDEX(CuttingList!$C$3:$C$202,$B42))</f>
        <v/>
      </c>
      <c r="F42" s="3" t="str">
        <f>IF($B42="","",INDEX(CuttingList!$E$3:$E$202,$B42))</f>
        <v/>
      </c>
      <c r="G42" s="4" t="str">
        <f t="shared" si="0"/>
        <v/>
      </c>
      <c r="H42" s="4" t="str">
        <f t="shared" si="1"/>
        <v/>
      </c>
      <c r="I42" s="4" t="str">
        <f t="shared" si="2"/>
        <v/>
      </c>
    </row>
    <row r="43" spans="1:9" x14ac:dyDescent="0.2">
      <c r="A43" s="4">
        <v>41</v>
      </c>
      <c r="B43" s="4" t="str">
        <f>IF($A43&gt;MAX(CuttingList!$I$3:$I$202),"",MATCH($A43,CuttingList!$H$3:$H$202,1))</f>
        <v/>
      </c>
      <c r="C43" s="3" t="str">
        <f>IF($B43="","",INDEX(CuttingList!$A$3:$A$202,$B43))</f>
        <v/>
      </c>
      <c r="D43" s="4" t="str">
        <f>IF($B43="","",INDEX(CuttingList!$B$3:$B$202,$B43))</f>
        <v/>
      </c>
      <c r="E43" s="4" t="str">
        <f>IF($B43="","",INDEX(CuttingList!$C$3:$C$202,$B43))</f>
        <v/>
      </c>
      <c r="F43" s="3" t="str">
        <f>IF($B43="","",INDEX(CuttingList!$E$3:$E$202,$B43))</f>
        <v/>
      </c>
      <c r="G43" s="4" t="str">
        <f t="shared" si="0"/>
        <v/>
      </c>
      <c r="H43" s="4" t="str">
        <f t="shared" si="1"/>
        <v/>
      </c>
      <c r="I43" s="4" t="str">
        <f t="shared" si="2"/>
        <v/>
      </c>
    </row>
    <row r="44" spans="1:9" x14ac:dyDescent="0.2">
      <c r="A44" s="4">
        <v>42</v>
      </c>
      <c r="B44" s="4" t="str">
        <f>IF($A44&gt;MAX(CuttingList!$I$3:$I$202),"",MATCH($A44,CuttingList!$H$3:$H$202,1))</f>
        <v/>
      </c>
      <c r="C44" s="3" t="str">
        <f>IF($B44="","",INDEX(CuttingList!$A$3:$A$202,$B44))</f>
        <v/>
      </c>
      <c r="D44" s="4" t="str">
        <f>IF($B44="","",INDEX(CuttingList!$B$3:$B$202,$B44))</f>
        <v/>
      </c>
      <c r="E44" s="4" t="str">
        <f>IF($B44="","",INDEX(CuttingList!$C$3:$C$202,$B44))</f>
        <v/>
      </c>
      <c r="F44" s="3" t="str">
        <f>IF($B44="","",INDEX(CuttingList!$E$3:$E$202,$B44))</f>
        <v/>
      </c>
      <c r="G44" s="4" t="str">
        <f t="shared" si="0"/>
        <v/>
      </c>
      <c r="H44" s="4" t="str">
        <f t="shared" si="1"/>
        <v/>
      </c>
      <c r="I44" s="4" t="str">
        <f t="shared" si="2"/>
        <v/>
      </c>
    </row>
    <row r="45" spans="1:9" x14ac:dyDescent="0.2">
      <c r="A45" s="4">
        <v>43</v>
      </c>
      <c r="B45" s="4" t="str">
        <f>IF($A45&gt;MAX(CuttingList!$I$3:$I$202),"",MATCH($A45,CuttingList!$H$3:$H$202,1))</f>
        <v/>
      </c>
      <c r="C45" s="3" t="str">
        <f>IF($B45="","",INDEX(CuttingList!$A$3:$A$202,$B45))</f>
        <v/>
      </c>
      <c r="D45" s="4" t="str">
        <f>IF($B45="","",INDEX(CuttingList!$B$3:$B$202,$B45))</f>
        <v/>
      </c>
      <c r="E45" s="4" t="str">
        <f>IF($B45="","",INDEX(CuttingList!$C$3:$C$202,$B45))</f>
        <v/>
      </c>
      <c r="F45" s="3" t="str">
        <f>IF($B45="","",INDEX(CuttingList!$E$3:$E$202,$B45))</f>
        <v/>
      </c>
      <c r="G45" s="4" t="str">
        <f t="shared" si="0"/>
        <v/>
      </c>
      <c r="H45" s="4" t="str">
        <f t="shared" si="1"/>
        <v/>
      </c>
      <c r="I45" s="4" t="str">
        <f t="shared" si="2"/>
        <v/>
      </c>
    </row>
    <row r="46" spans="1:9" x14ac:dyDescent="0.2">
      <c r="A46" s="4">
        <v>44</v>
      </c>
      <c r="B46" s="4" t="str">
        <f>IF($A46&gt;MAX(CuttingList!$I$3:$I$202),"",MATCH($A46,CuttingList!$H$3:$H$202,1))</f>
        <v/>
      </c>
      <c r="C46" s="3" t="str">
        <f>IF($B46="","",INDEX(CuttingList!$A$3:$A$202,$B46))</f>
        <v/>
      </c>
      <c r="D46" s="4" t="str">
        <f>IF($B46="","",INDEX(CuttingList!$B$3:$B$202,$B46))</f>
        <v/>
      </c>
      <c r="E46" s="4" t="str">
        <f>IF($B46="","",INDEX(CuttingList!$C$3:$C$202,$B46))</f>
        <v/>
      </c>
      <c r="F46" s="3" t="str">
        <f>IF($B46="","",INDEX(CuttingList!$E$3:$E$202,$B46))</f>
        <v/>
      </c>
      <c r="G46" s="4" t="str">
        <f t="shared" si="0"/>
        <v/>
      </c>
      <c r="H46" s="4" t="str">
        <f t="shared" si="1"/>
        <v/>
      </c>
      <c r="I46" s="4" t="str">
        <f t="shared" si="2"/>
        <v/>
      </c>
    </row>
    <row r="47" spans="1:9" x14ac:dyDescent="0.2">
      <c r="A47" s="4">
        <v>45</v>
      </c>
      <c r="B47" s="4" t="str">
        <f>IF($A47&gt;MAX(CuttingList!$I$3:$I$202),"",MATCH($A47,CuttingList!$H$3:$H$202,1))</f>
        <v/>
      </c>
      <c r="C47" s="3" t="str">
        <f>IF($B47="","",INDEX(CuttingList!$A$3:$A$202,$B47))</f>
        <v/>
      </c>
      <c r="D47" s="4" t="str">
        <f>IF($B47="","",INDEX(CuttingList!$B$3:$B$202,$B47))</f>
        <v/>
      </c>
      <c r="E47" s="4" t="str">
        <f>IF($B47="","",INDEX(CuttingList!$C$3:$C$202,$B47))</f>
        <v/>
      </c>
      <c r="F47" s="3" t="str">
        <f>IF($B47="","",INDEX(CuttingList!$E$3:$E$202,$B47))</f>
        <v/>
      </c>
      <c r="G47" s="4" t="str">
        <f t="shared" si="0"/>
        <v/>
      </c>
      <c r="H47" s="4" t="str">
        <f t="shared" si="1"/>
        <v/>
      </c>
      <c r="I47" s="4" t="str">
        <f t="shared" si="2"/>
        <v/>
      </c>
    </row>
    <row r="48" spans="1:9" x14ac:dyDescent="0.2">
      <c r="A48" s="4">
        <v>46</v>
      </c>
      <c r="B48" s="4" t="str">
        <f>IF($A48&gt;MAX(CuttingList!$I$3:$I$202),"",MATCH($A48,CuttingList!$H$3:$H$202,1))</f>
        <v/>
      </c>
      <c r="C48" s="3" t="str">
        <f>IF($B48="","",INDEX(CuttingList!$A$3:$A$202,$B48))</f>
        <v/>
      </c>
      <c r="D48" s="4" t="str">
        <f>IF($B48="","",INDEX(CuttingList!$B$3:$B$202,$B48))</f>
        <v/>
      </c>
      <c r="E48" s="4" t="str">
        <f>IF($B48="","",INDEX(CuttingList!$C$3:$C$202,$B48))</f>
        <v/>
      </c>
      <c r="F48" s="3" t="str">
        <f>IF($B48="","",INDEX(CuttingList!$E$3:$E$202,$B48))</f>
        <v/>
      </c>
      <c r="G48" s="4" t="str">
        <f t="shared" si="0"/>
        <v/>
      </c>
      <c r="H48" s="4" t="str">
        <f t="shared" si="1"/>
        <v/>
      </c>
      <c r="I48" s="4" t="str">
        <f t="shared" si="2"/>
        <v/>
      </c>
    </row>
    <row r="49" spans="1:9" x14ac:dyDescent="0.2">
      <c r="A49" s="4">
        <v>47</v>
      </c>
      <c r="B49" s="4" t="str">
        <f>IF($A49&gt;MAX(CuttingList!$I$3:$I$202),"",MATCH($A49,CuttingList!$H$3:$H$202,1))</f>
        <v/>
      </c>
      <c r="C49" s="3" t="str">
        <f>IF($B49="","",INDEX(CuttingList!$A$3:$A$202,$B49))</f>
        <v/>
      </c>
      <c r="D49" s="4" t="str">
        <f>IF($B49="","",INDEX(CuttingList!$B$3:$B$202,$B49))</f>
        <v/>
      </c>
      <c r="E49" s="4" t="str">
        <f>IF($B49="","",INDEX(CuttingList!$C$3:$C$202,$B49))</f>
        <v/>
      </c>
      <c r="F49" s="3" t="str">
        <f>IF($B49="","",INDEX(CuttingList!$E$3:$E$202,$B49))</f>
        <v/>
      </c>
      <c r="G49" s="4" t="str">
        <f t="shared" si="0"/>
        <v/>
      </c>
      <c r="H49" s="4" t="str">
        <f t="shared" si="1"/>
        <v/>
      </c>
      <c r="I49" s="4" t="str">
        <f t="shared" si="2"/>
        <v/>
      </c>
    </row>
    <row r="50" spans="1:9" x14ac:dyDescent="0.2">
      <c r="A50" s="4">
        <v>48</v>
      </c>
      <c r="B50" s="4" t="str">
        <f>IF($A50&gt;MAX(CuttingList!$I$3:$I$202),"",MATCH($A50,CuttingList!$H$3:$H$202,1))</f>
        <v/>
      </c>
      <c r="C50" s="3" t="str">
        <f>IF($B50="","",INDEX(CuttingList!$A$3:$A$202,$B50))</f>
        <v/>
      </c>
      <c r="D50" s="4" t="str">
        <f>IF($B50="","",INDEX(CuttingList!$B$3:$B$202,$B50))</f>
        <v/>
      </c>
      <c r="E50" s="4" t="str">
        <f>IF($B50="","",INDEX(CuttingList!$C$3:$C$202,$B50))</f>
        <v/>
      </c>
      <c r="F50" s="3" t="str">
        <f>IF($B50="","",INDEX(CuttingList!$E$3:$E$202,$B50))</f>
        <v/>
      </c>
      <c r="G50" s="4" t="str">
        <f t="shared" si="0"/>
        <v/>
      </c>
      <c r="H50" s="4" t="str">
        <f t="shared" si="1"/>
        <v/>
      </c>
      <c r="I50" s="4" t="str">
        <f t="shared" si="2"/>
        <v/>
      </c>
    </row>
    <row r="51" spans="1:9" x14ac:dyDescent="0.2">
      <c r="A51" s="4">
        <v>49</v>
      </c>
      <c r="B51" s="4" t="str">
        <f>IF($A51&gt;MAX(CuttingList!$I$3:$I$202),"",MATCH($A51,CuttingList!$H$3:$H$202,1))</f>
        <v/>
      </c>
      <c r="C51" s="3" t="str">
        <f>IF($B51="","",INDEX(CuttingList!$A$3:$A$202,$B51))</f>
        <v/>
      </c>
      <c r="D51" s="4" t="str">
        <f>IF($B51="","",INDEX(CuttingList!$B$3:$B$202,$B51))</f>
        <v/>
      </c>
      <c r="E51" s="4" t="str">
        <f>IF($B51="","",INDEX(CuttingList!$C$3:$C$202,$B51))</f>
        <v/>
      </c>
      <c r="F51" s="3" t="str">
        <f>IF($B51="","",INDEX(CuttingList!$E$3:$E$202,$B51))</f>
        <v/>
      </c>
      <c r="G51" s="4" t="str">
        <f t="shared" si="0"/>
        <v/>
      </c>
      <c r="H51" s="4" t="str">
        <f t="shared" si="1"/>
        <v/>
      </c>
      <c r="I51" s="4" t="str">
        <f t="shared" si="2"/>
        <v/>
      </c>
    </row>
    <row r="52" spans="1:9" x14ac:dyDescent="0.2">
      <c r="A52" s="4">
        <v>50</v>
      </c>
      <c r="B52" s="4" t="str">
        <f>IF($A52&gt;MAX(CuttingList!$I$3:$I$202),"",MATCH($A52,CuttingList!$H$3:$H$202,1))</f>
        <v/>
      </c>
      <c r="C52" s="3" t="str">
        <f>IF($B52="","",INDEX(CuttingList!$A$3:$A$202,$B52))</f>
        <v/>
      </c>
      <c r="D52" s="4" t="str">
        <f>IF($B52="","",INDEX(CuttingList!$B$3:$B$202,$B52))</f>
        <v/>
      </c>
      <c r="E52" s="4" t="str">
        <f>IF($B52="","",INDEX(CuttingList!$C$3:$C$202,$B52))</f>
        <v/>
      </c>
      <c r="F52" s="3" t="str">
        <f>IF($B52="","",INDEX(CuttingList!$E$3:$E$202,$B52))</f>
        <v/>
      </c>
      <c r="G52" s="4" t="str">
        <f t="shared" si="0"/>
        <v/>
      </c>
      <c r="H52" s="4" t="str">
        <f t="shared" si="1"/>
        <v/>
      </c>
      <c r="I52" s="4" t="str">
        <f t="shared" si="2"/>
        <v/>
      </c>
    </row>
    <row r="53" spans="1:9" x14ac:dyDescent="0.2">
      <c r="A53" s="4">
        <v>51</v>
      </c>
      <c r="B53" s="4" t="str">
        <f>IF($A53&gt;MAX(CuttingList!$I$3:$I$202),"",MATCH($A53,CuttingList!$H$3:$H$202,1))</f>
        <v/>
      </c>
      <c r="C53" s="3" t="str">
        <f>IF($B53="","",INDEX(CuttingList!$A$3:$A$202,$B53))</f>
        <v/>
      </c>
      <c r="D53" s="4" t="str">
        <f>IF($B53="","",INDEX(CuttingList!$B$3:$B$202,$B53))</f>
        <v/>
      </c>
      <c r="E53" s="4" t="str">
        <f>IF($B53="","",INDEX(CuttingList!$C$3:$C$202,$B53))</f>
        <v/>
      </c>
      <c r="F53" s="3" t="str">
        <f>IF($B53="","",INDEX(CuttingList!$E$3:$E$202,$B53))</f>
        <v/>
      </c>
      <c r="G53" s="4" t="str">
        <f t="shared" si="0"/>
        <v/>
      </c>
      <c r="H53" s="4" t="str">
        <f t="shared" si="1"/>
        <v/>
      </c>
      <c r="I53" s="4" t="str">
        <f t="shared" si="2"/>
        <v/>
      </c>
    </row>
    <row r="54" spans="1:9" x14ac:dyDescent="0.2">
      <c r="A54" s="4">
        <v>52</v>
      </c>
      <c r="B54" s="4" t="str">
        <f>IF($A54&gt;MAX(CuttingList!$I$3:$I$202),"",MATCH($A54,CuttingList!$H$3:$H$202,1))</f>
        <v/>
      </c>
      <c r="C54" s="3" t="str">
        <f>IF($B54="","",INDEX(CuttingList!$A$3:$A$202,$B54))</f>
        <v/>
      </c>
      <c r="D54" s="4" t="str">
        <f>IF($B54="","",INDEX(CuttingList!$B$3:$B$202,$B54))</f>
        <v/>
      </c>
      <c r="E54" s="4" t="str">
        <f>IF($B54="","",INDEX(CuttingList!$C$3:$C$202,$B54))</f>
        <v/>
      </c>
      <c r="F54" s="3" t="str">
        <f>IF($B54="","",INDEX(CuttingList!$E$3:$E$202,$B54))</f>
        <v/>
      </c>
      <c r="G54" s="4" t="str">
        <f t="shared" si="0"/>
        <v/>
      </c>
      <c r="H54" s="4" t="str">
        <f t="shared" si="1"/>
        <v/>
      </c>
      <c r="I54" s="4" t="str">
        <f t="shared" si="2"/>
        <v/>
      </c>
    </row>
    <row r="55" spans="1:9" x14ac:dyDescent="0.2">
      <c r="A55" s="4">
        <v>53</v>
      </c>
      <c r="B55" s="4" t="str">
        <f>IF($A55&gt;MAX(CuttingList!$I$3:$I$202),"",MATCH($A55,CuttingList!$H$3:$H$202,1))</f>
        <v/>
      </c>
      <c r="C55" s="3" t="str">
        <f>IF($B55="","",INDEX(CuttingList!$A$3:$A$202,$B55))</f>
        <v/>
      </c>
      <c r="D55" s="4" t="str">
        <f>IF($B55="","",INDEX(CuttingList!$B$3:$B$202,$B55))</f>
        <v/>
      </c>
      <c r="E55" s="4" t="str">
        <f>IF($B55="","",INDEX(CuttingList!$C$3:$C$202,$B55))</f>
        <v/>
      </c>
      <c r="F55" s="3" t="str">
        <f>IF($B55="","",INDEX(CuttingList!$E$3:$E$202,$B55))</f>
        <v/>
      </c>
      <c r="G55" s="4" t="str">
        <f t="shared" si="0"/>
        <v/>
      </c>
      <c r="H55" s="4" t="str">
        <f t="shared" si="1"/>
        <v/>
      </c>
      <c r="I55" s="4" t="str">
        <f t="shared" si="2"/>
        <v/>
      </c>
    </row>
    <row r="56" spans="1:9" x14ac:dyDescent="0.2">
      <c r="A56" s="4">
        <v>54</v>
      </c>
      <c r="B56" s="4" t="str">
        <f>IF($A56&gt;MAX(CuttingList!$I$3:$I$202),"",MATCH($A56,CuttingList!$H$3:$H$202,1))</f>
        <v/>
      </c>
      <c r="C56" s="3" t="str">
        <f>IF($B56="","",INDEX(CuttingList!$A$3:$A$202,$B56))</f>
        <v/>
      </c>
      <c r="D56" s="4" t="str">
        <f>IF($B56="","",INDEX(CuttingList!$B$3:$B$202,$B56))</f>
        <v/>
      </c>
      <c r="E56" s="4" t="str">
        <f>IF($B56="","",INDEX(CuttingList!$C$3:$C$202,$B56))</f>
        <v/>
      </c>
      <c r="F56" s="3" t="str">
        <f>IF($B56="","",INDEX(CuttingList!$E$3:$E$202,$B56))</f>
        <v/>
      </c>
      <c r="G56" s="4" t="str">
        <f t="shared" si="0"/>
        <v/>
      </c>
      <c r="H56" s="4" t="str">
        <f t="shared" si="1"/>
        <v/>
      </c>
      <c r="I56" s="4" t="str">
        <f t="shared" si="2"/>
        <v/>
      </c>
    </row>
    <row r="57" spans="1:9" x14ac:dyDescent="0.2">
      <c r="A57" s="4">
        <v>55</v>
      </c>
      <c r="B57" s="4" t="str">
        <f>IF($A57&gt;MAX(CuttingList!$I$3:$I$202),"",MATCH($A57,CuttingList!$H$3:$H$202,1))</f>
        <v/>
      </c>
      <c r="C57" s="3" t="str">
        <f>IF($B57="","",INDEX(CuttingList!$A$3:$A$202,$B57))</f>
        <v/>
      </c>
      <c r="D57" s="4" t="str">
        <f>IF($B57="","",INDEX(CuttingList!$B$3:$B$202,$B57))</f>
        <v/>
      </c>
      <c r="E57" s="4" t="str">
        <f>IF($B57="","",INDEX(CuttingList!$C$3:$C$202,$B57))</f>
        <v/>
      </c>
      <c r="F57" s="3" t="str">
        <f>IF($B57="","",INDEX(CuttingList!$E$3:$E$202,$B57))</f>
        <v/>
      </c>
      <c r="G57" s="4" t="str">
        <f t="shared" si="0"/>
        <v/>
      </c>
      <c r="H57" s="4" t="str">
        <f t="shared" si="1"/>
        <v/>
      </c>
      <c r="I57" s="4" t="str">
        <f t="shared" si="2"/>
        <v/>
      </c>
    </row>
    <row r="58" spans="1:9" x14ac:dyDescent="0.2">
      <c r="A58" s="4">
        <v>56</v>
      </c>
      <c r="B58" s="4" t="str">
        <f>IF($A58&gt;MAX(CuttingList!$I$3:$I$202),"",MATCH($A58,CuttingList!$H$3:$H$202,1))</f>
        <v/>
      </c>
      <c r="C58" s="3" t="str">
        <f>IF($B58="","",INDEX(CuttingList!$A$3:$A$202,$B58))</f>
        <v/>
      </c>
      <c r="D58" s="4" t="str">
        <f>IF($B58="","",INDEX(CuttingList!$B$3:$B$202,$B58))</f>
        <v/>
      </c>
      <c r="E58" s="4" t="str">
        <f>IF($B58="","",INDEX(CuttingList!$C$3:$C$202,$B58))</f>
        <v/>
      </c>
      <c r="F58" s="3" t="str">
        <f>IF($B58="","",INDEX(CuttingList!$E$3:$E$202,$B58))</f>
        <v/>
      </c>
      <c r="G58" s="4" t="str">
        <f t="shared" si="0"/>
        <v/>
      </c>
      <c r="H58" s="4" t="str">
        <f t="shared" si="1"/>
        <v/>
      </c>
      <c r="I58" s="4" t="str">
        <f t="shared" si="2"/>
        <v/>
      </c>
    </row>
    <row r="59" spans="1:9" x14ac:dyDescent="0.2">
      <c r="A59" s="4">
        <v>57</v>
      </c>
      <c r="B59" s="4" t="str">
        <f>IF($A59&gt;MAX(CuttingList!$I$3:$I$202),"",MATCH($A59,CuttingList!$H$3:$H$202,1))</f>
        <v/>
      </c>
      <c r="C59" s="3" t="str">
        <f>IF($B59="","",INDEX(CuttingList!$A$3:$A$202,$B59))</f>
        <v/>
      </c>
      <c r="D59" s="4" t="str">
        <f>IF($B59="","",INDEX(CuttingList!$B$3:$B$202,$B59))</f>
        <v/>
      </c>
      <c r="E59" s="4" t="str">
        <f>IF($B59="","",INDEX(CuttingList!$C$3:$C$202,$B59))</f>
        <v/>
      </c>
      <c r="F59" s="3" t="str">
        <f>IF($B59="","",INDEX(CuttingList!$E$3:$E$202,$B59))</f>
        <v/>
      </c>
      <c r="G59" s="4" t="str">
        <f t="shared" si="0"/>
        <v/>
      </c>
      <c r="H59" s="4" t="str">
        <f t="shared" si="1"/>
        <v/>
      </c>
      <c r="I59" s="4" t="str">
        <f t="shared" si="2"/>
        <v/>
      </c>
    </row>
    <row r="60" spans="1:9" x14ac:dyDescent="0.2">
      <c r="A60" s="4">
        <v>58</v>
      </c>
      <c r="B60" s="4" t="str">
        <f>IF($A60&gt;MAX(CuttingList!$I$3:$I$202),"",MATCH($A60,CuttingList!$H$3:$H$202,1))</f>
        <v/>
      </c>
      <c r="C60" s="3" t="str">
        <f>IF($B60="","",INDEX(CuttingList!$A$3:$A$202,$B60))</f>
        <v/>
      </c>
      <c r="D60" s="4" t="str">
        <f>IF($B60="","",INDEX(CuttingList!$B$3:$B$202,$B60))</f>
        <v/>
      </c>
      <c r="E60" s="4" t="str">
        <f>IF($B60="","",INDEX(CuttingList!$C$3:$C$202,$B60))</f>
        <v/>
      </c>
      <c r="F60" s="3" t="str">
        <f>IF($B60="","",INDEX(CuttingList!$E$3:$E$202,$B60))</f>
        <v/>
      </c>
      <c r="G60" s="4" t="str">
        <f t="shared" si="0"/>
        <v/>
      </c>
      <c r="H60" s="4" t="str">
        <f t="shared" si="1"/>
        <v/>
      </c>
      <c r="I60" s="4" t="str">
        <f t="shared" si="2"/>
        <v/>
      </c>
    </row>
    <row r="61" spans="1:9" x14ac:dyDescent="0.2">
      <c r="A61" s="4">
        <v>59</v>
      </c>
      <c r="B61" s="4" t="str">
        <f>IF($A61&gt;MAX(CuttingList!$I$3:$I$202),"",MATCH($A61,CuttingList!$H$3:$H$202,1))</f>
        <v/>
      </c>
      <c r="C61" s="3" t="str">
        <f>IF($B61="","",INDEX(CuttingList!$A$3:$A$202,$B61))</f>
        <v/>
      </c>
      <c r="D61" s="4" t="str">
        <f>IF($B61="","",INDEX(CuttingList!$B$3:$B$202,$B61))</f>
        <v/>
      </c>
      <c r="E61" s="4" t="str">
        <f>IF($B61="","",INDEX(CuttingList!$C$3:$C$202,$B61))</f>
        <v/>
      </c>
      <c r="F61" s="3" t="str">
        <f>IF($B61="","",INDEX(CuttingList!$E$3:$E$202,$B61))</f>
        <v/>
      </c>
      <c r="G61" s="4" t="str">
        <f t="shared" si="0"/>
        <v/>
      </c>
      <c r="H61" s="4" t="str">
        <f t="shared" si="1"/>
        <v/>
      </c>
      <c r="I61" s="4" t="str">
        <f t="shared" si="2"/>
        <v/>
      </c>
    </row>
    <row r="62" spans="1:9" x14ac:dyDescent="0.2">
      <c r="A62" s="4">
        <v>60</v>
      </c>
      <c r="B62" s="4" t="str">
        <f>IF($A62&gt;MAX(CuttingList!$I$3:$I$202),"",MATCH($A62,CuttingList!$H$3:$H$202,1))</f>
        <v/>
      </c>
      <c r="C62" s="3" t="str">
        <f>IF($B62="","",INDEX(CuttingList!$A$3:$A$202,$B62))</f>
        <v/>
      </c>
      <c r="D62" s="4" t="str">
        <f>IF($B62="","",INDEX(CuttingList!$B$3:$B$202,$B62))</f>
        <v/>
      </c>
      <c r="E62" s="4" t="str">
        <f>IF($B62="","",INDEX(CuttingList!$C$3:$C$202,$B62))</f>
        <v/>
      </c>
      <c r="F62" s="3" t="str">
        <f>IF($B62="","",INDEX(CuttingList!$E$3:$E$202,$B62))</f>
        <v/>
      </c>
      <c r="G62" s="4" t="str">
        <f t="shared" si="0"/>
        <v/>
      </c>
      <c r="H62" s="4" t="str">
        <f t="shared" si="1"/>
        <v/>
      </c>
      <c r="I62" s="4" t="str">
        <f t="shared" si="2"/>
        <v/>
      </c>
    </row>
    <row r="63" spans="1:9" x14ac:dyDescent="0.2">
      <c r="A63" s="4">
        <v>61</v>
      </c>
      <c r="B63" s="4" t="str">
        <f>IF($A63&gt;MAX(CuttingList!$I$3:$I$202),"",MATCH($A63,CuttingList!$H$3:$H$202,1))</f>
        <v/>
      </c>
      <c r="C63" s="3" t="str">
        <f>IF($B63="","",INDEX(CuttingList!$A$3:$A$202,$B63))</f>
        <v/>
      </c>
      <c r="D63" s="4" t="str">
        <f>IF($B63="","",INDEX(CuttingList!$B$3:$B$202,$B63))</f>
        <v/>
      </c>
      <c r="E63" s="4" t="str">
        <f>IF($B63="","",INDEX(CuttingList!$C$3:$C$202,$B63))</f>
        <v/>
      </c>
      <c r="F63" s="3" t="str">
        <f>IF($B63="","",INDEX(CuttingList!$E$3:$E$202,$B63))</f>
        <v/>
      </c>
      <c r="G63" s="4" t="str">
        <f t="shared" si="0"/>
        <v/>
      </c>
      <c r="H63" s="4" t="str">
        <f t="shared" si="1"/>
        <v/>
      </c>
      <c r="I63" s="4" t="str">
        <f t="shared" si="2"/>
        <v/>
      </c>
    </row>
    <row r="64" spans="1:9" x14ac:dyDescent="0.2">
      <c r="A64" s="4">
        <v>62</v>
      </c>
      <c r="B64" s="4" t="str">
        <f>IF($A64&gt;MAX(CuttingList!$I$3:$I$202),"",MATCH($A64,CuttingList!$H$3:$H$202,1))</f>
        <v/>
      </c>
      <c r="C64" s="3" t="str">
        <f>IF($B64="","",INDEX(CuttingList!$A$3:$A$202,$B64))</f>
        <v/>
      </c>
      <c r="D64" s="4" t="str">
        <f>IF($B64="","",INDEX(CuttingList!$B$3:$B$202,$B64))</f>
        <v/>
      </c>
      <c r="E64" s="4" t="str">
        <f>IF($B64="","",INDEX(CuttingList!$C$3:$C$202,$B64))</f>
        <v/>
      </c>
      <c r="F64" s="3" t="str">
        <f>IF($B64="","",INDEX(CuttingList!$E$3:$E$202,$B64))</f>
        <v/>
      </c>
      <c r="G64" s="4" t="str">
        <f t="shared" si="0"/>
        <v/>
      </c>
      <c r="H64" s="4" t="str">
        <f t="shared" si="1"/>
        <v/>
      </c>
      <c r="I64" s="4" t="str">
        <f t="shared" si="2"/>
        <v/>
      </c>
    </row>
    <row r="65" spans="1:9" x14ac:dyDescent="0.2">
      <c r="A65" s="4">
        <v>63</v>
      </c>
      <c r="B65" s="4" t="str">
        <f>IF($A65&gt;MAX(CuttingList!$I$3:$I$202),"",MATCH($A65,CuttingList!$H$3:$H$202,1))</f>
        <v/>
      </c>
      <c r="C65" s="3" t="str">
        <f>IF($B65="","",INDEX(CuttingList!$A$3:$A$202,$B65))</f>
        <v/>
      </c>
      <c r="D65" s="4" t="str">
        <f>IF($B65="","",INDEX(CuttingList!$B$3:$B$202,$B65))</f>
        <v/>
      </c>
      <c r="E65" s="4" t="str">
        <f>IF($B65="","",INDEX(CuttingList!$C$3:$C$202,$B65))</f>
        <v/>
      </c>
      <c r="F65" s="3" t="str">
        <f>IF($B65="","",INDEX(CuttingList!$E$3:$E$202,$B65))</f>
        <v/>
      </c>
      <c r="G65" s="4" t="str">
        <f t="shared" si="0"/>
        <v/>
      </c>
      <c r="H65" s="4" t="str">
        <f t="shared" si="1"/>
        <v/>
      </c>
      <c r="I65" s="4" t="str">
        <f t="shared" si="2"/>
        <v/>
      </c>
    </row>
    <row r="66" spans="1:9" x14ac:dyDescent="0.2">
      <c r="A66" s="4">
        <v>64</v>
      </c>
      <c r="B66" s="4" t="str">
        <f>IF($A66&gt;MAX(CuttingList!$I$3:$I$202),"",MATCH($A66,CuttingList!$H$3:$H$202,1))</f>
        <v/>
      </c>
      <c r="C66" s="3" t="str">
        <f>IF($B66="","",INDEX(CuttingList!$A$3:$A$202,$B66))</f>
        <v/>
      </c>
      <c r="D66" s="4" t="str">
        <f>IF($B66="","",INDEX(CuttingList!$B$3:$B$202,$B66))</f>
        <v/>
      </c>
      <c r="E66" s="4" t="str">
        <f>IF($B66="","",INDEX(CuttingList!$C$3:$C$202,$B66))</f>
        <v/>
      </c>
      <c r="F66" s="3" t="str">
        <f>IF($B66="","",INDEX(CuttingList!$E$3:$E$202,$B66))</f>
        <v/>
      </c>
      <c r="G66" s="4" t="str">
        <f t="shared" si="0"/>
        <v/>
      </c>
      <c r="H66" s="4" t="str">
        <f t="shared" si="1"/>
        <v/>
      </c>
      <c r="I66" s="4" t="str">
        <f t="shared" si="2"/>
        <v/>
      </c>
    </row>
    <row r="67" spans="1:9" x14ac:dyDescent="0.2">
      <c r="A67" s="4">
        <v>65</v>
      </c>
      <c r="B67" s="4" t="str">
        <f>IF($A67&gt;MAX(CuttingList!$I$3:$I$202),"",MATCH($A67,CuttingList!$H$3:$H$202,1))</f>
        <v/>
      </c>
      <c r="C67" s="3" t="str">
        <f>IF($B67="","",INDEX(CuttingList!$A$3:$A$202,$B67))</f>
        <v/>
      </c>
      <c r="D67" s="4" t="str">
        <f>IF($B67="","",INDEX(CuttingList!$B$3:$B$202,$B67))</f>
        <v/>
      </c>
      <c r="E67" s="4" t="str">
        <f>IF($B67="","",INDEX(CuttingList!$C$3:$C$202,$B67))</f>
        <v/>
      </c>
      <c r="F67" s="3" t="str">
        <f>IF($B67="","",INDEX(CuttingList!$E$3:$E$202,$B67))</f>
        <v/>
      </c>
      <c r="G67" s="4" t="str">
        <f t="shared" ref="G67:G130" si="3">IF(OR($D67="",$E67=""),"",($D67*$E67)/1000000)</f>
        <v/>
      </c>
      <c r="H67" s="4" t="str">
        <f t="shared" ref="H67:H130" si="4">IF(OR($D67="",$E67=""),"",MAX($D67,$E67))</f>
        <v/>
      </c>
      <c r="I67" s="4" t="str">
        <f t="shared" ref="I67:I130" si="5">IF($E67="","",$E67)</f>
        <v/>
      </c>
    </row>
    <row r="68" spans="1:9" x14ac:dyDescent="0.2">
      <c r="A68" s="4">
        <v>66</v>
      </c>
      <c r="B68" s="4" t="str">
        <f>IF($A68&gt;MAX(CuttingList!$I$3:$I$202),"",MATCH($A68,CuttingList!$H$3:$H$202,1))</f>
        <v/>
      </c>
      <c r="C68" s="3" t="str">
        <f>IF($B68="","",INDEX(CuttingList!$A$3:$A$202,$B68))</f>
        <v/>
      </c>
      <c r="D68" s="4" t="str">
        <f>IF($B68="","",INDEX(CuttingList!$B$3:$B$202,$B68))</f>
        <v/>
      </c>
      <c r="E68" s="4" t="str">
        <f>IF($B68="","",INDEX(CuttingList!$C$3:$C$202,$B68))</f>
        <v/>
      </c>
      <c r="F68" s="3" t="str">
        <f>IF($B68="","",INDEX(CuttingList!$E$3:$E$202,$B68))</f>
        <v/>
      </c>
      <c r="G68" s="4" t="str">
        <f t="shared" si="3"/>
        <v/>
      </c>
      <c r="H68" s="4" t="str">
        <f t="shared" si="4"/>
        <v/>
      </c>
      <c r="I68" s="4" t="str">
        <f t="shared" si="5"/>
        <v/>
      </c>
    </row>
    <row r="69" spans="1:9" x14ac:dyDescent="0.2">
      <c r="A69" s="4">
        <v>67</v>
      </c>
      <c r="B69" s="4" t="str">
        <f>IF($A69&gt;MAX(CuttingList!$I$3:$I$202),"",MATCH($A69,CuttingList!$H$3:$H$202,1))</f>
        <v/>
      </c>
      <c r="C69" s="3" t="str">
        <f>IF($B69="","",INDEX(CuttingList!$A$3:$A$202,$B69))</f>
        <v/>
      </c>
      <c r="D69" s="4" t="str">
        <f>IF($B69="","",INDEX(CuttingList!$B$3:$B$202,$B69))</f>
        <v/>
      </c>
      <c r="E69" s="4" t="str">
        <f>IF($B69="","",INDEX(CuttingList!$C$3:$C$202,$B69))</f>
        <v/>
      </c>
      <c r="F69" s="3" t="str">
        <f>IF($B69="","",INDEX(CuttingList!$E$3:$E$202,$B69))</f>
        <v/>
      </c>
      <c r="G69" s="4" t="str">
        <f t="shared" si="3"/>
        <v/>
      </c>
      <c r="H69" s="4" t="str">
        <f t="shared" si="4"/>
        <v/>
      </c>
      <c r="I69" s="4" t="str">
        <f t="shared" si="5"/>
        <v/>
      </c>
    </row>
    <row r="70" spans="1:9" x14ac:dyDescent="0.2">
      <c r="A70" s="4">
        <v>68</v>
      </c>
      <c r="B70" s="4" t="str">
        <f>IF($A70&gt;MAX(CuttingList!$I$3:$I$202),"",MATCH($A70,CuttingList!$H$3:$H$202,1))</f>
        <v/>
      </c>
      <c r="C70" s="3" t="str">
        <f>IF($B70="","",INDEX(CuttingList!$A$3:$A$202,$B70))</f>
        <v/>
      </c>
      <c r="D70" s="4" t="str">
        <f>IF($B70="","",INDEX(CuttingList!$B$3:$B$202,$B70))</f>
        <v/>
      </c>
      <c r="E70" s="4" t="str">
        <f>IF($B70="","",INDEX(CuttingList!$C$3:$C$202,$B70))</f>
        <v/>
      </c>
      <c r="F70" s="3" t="str">
        <f>IF($B70="","",INDEX(CuttingList!$E$3:$E$202,$B70))</f>
        <v/>
      </c>
      <c r="G70" s="4" t="str">
        <f t="shared" si="3"/>
        <v/>
      </c>
      <c r="H70" s="4" t="str">
        <f t="shared" si="4"/>
        <v/>
      </c>
      <c r="I70" s="4" t="str">
        <f t="shared" si="5"/>
        <v/>
      </c>
    </row>
    <row r="71" spans="1:9" x14ac:dyDescent="0.2">
      <c r="A71" s="4">
        <v>69</v>
      </c>
      <c r="B71" s="4" t="str">
        <f>IF($A71&gt;MAX(CuttingList!$I$3:$I$202),"",MATCH($A71,CuttingList!$H$3:$H$202,1))</f>
        <v/>
      </c>
      <c r="C71" s="3" t="str">
        <f>IF($B71="","",INDEX(CuttingList!$A$3:$A$202,$B71))</f>
        <v/>
      </c>
      <c r="D71" s="4" t="str">
        <f>IF($B71="","",INDEX(CuttingList!$B$3:$B$202,$B71))</f>
        <v/>
      </c>
      <c r="E71" s="4" t="str">
        <f>IF($B71="","",INDEX(CuttingList!$C$3:$C$202,$B71))</f>
        <v/>
      </c>
      <c r="F71" s="3" t="str">
        <f>IF($B71="","",INDEX(CuttingList!$E$3:$E$202,$B71))</f>
        <v/>
      </c>
      <c r="G71" s="4" t="str">
        <f t="shared" si="3"/>
        <v/>
      </c>
      <c r="H71" s="4" t="str">
        <f t="shared" si="4"/>
        <v/>
      </c>
      <c r="I71" s="4" t="str">
        <f t="shared" si="5"/>
        <v/>
      </c>
    </row>
    <row r="72" spans="1:9" x14ac:dyDescent="0.2">
      <c r="A72" s="4">
        <v>70</v>
      </c>
      <c r="B72" s="4" t="str">
        <f>IF($A72&gt;MAX(CuttingList!$I$3:$I$202),"",MATCH($A72,CuttingList!$H$3:$H$202,1))</f>
        <v/>
      </c>
      <c r="C72" s="3" t="str">
        <f>IF($B72="","",INDEX(CuttingList!$A$3:$A$202,$B72))</f>
        <v/>
      </c>
      <c r="D72" s="4" t="str">
        <f>IF($B72="","",INDEX(CuttingList!$B$3:$B$202,$B72))</f>
        <v/>
      </c>
      <c r="E72" s="4" t="str">
        <f>IF($B72="","",INDEX(CuttingList!$C$3:$C$202,$B72))</f>
        <v/>
      </c>
      <c r="F72" s="3" t="str">
        <f>IF($B72="","",INDEX(CuttingList!$E$3:$E$202,$B72))</f>
        <v/>
      </c>
      <c r="G72" s="4" t="str">
        <f t="shared" si="3"/>
        <v/>
      </c>
      <c r="H72" s="4" t="str">
        <f t="shared" si="4"/>
        <v/>
      </c>
      <c r="I72" s="4" t="str">
        <f t="shared" si="5"/>
        <v/>
      </c>
    </row>
    <row r="73" spans="1:9" x14ac:dyDescent="0.2">
      <c r="A73" s="4">
        <v>71</v>
      </c>
      <c r="B73" s="4" t="str">
        <f>IF($A73&gt;MAX(CuttingList!$I$3:$I$202),"",MATCH($A73,CuttingList!$H$3:$H$202,1))</f>
        <v/>
      </c>
      <c r="C73" s="3" t="str">
        <f>IF($B73="","",INDEX(CuttingList!$A$3:$A$202,$B73))</f>
        <v/>
      </c>
      <c r="D73" s="4" t="str">
        <f>IF($B73="","",INDEX(CuttingList!$B$3:$B$202,$B73))</f>
        <v/>
      </c>
      <c r="E73" s="4" t="str">
        <f>IF($B73="","",INDEX(CuttingList!$C$3:$C$202,$B73))</f>
        <v/>
      </c>
      <c r="F73" s="3" t="str">
        <f>IF($B73="","",INDEX(CuttingList!$E$3:$E$202,$B73))</f>
        <v/>
      </c>
      <c r="G73" s="4" t="str">
        <f t="shared" si="3"/>
        <v/>
      </c>
      <c r="H73" s="4" t="str">
        <f t="shared" si="4"/>
        <v/>
      </c>
      <c r="I73" s="4" t="str">
        <f t="shared" si="5"/>
        <v/>
      </c>
    </row>
    <row r="74" spans="1:9" x14ac:dyDescent="0.2">
      <c r="A74" s="4">
        <v>72</v>
      </c>
      <c r="B74" s="4" t="str">
        <f>IF($A74&gt;MAX(CuttingList!$I$3:$I$202),"",MATCH($A74,CuttingList!$H$3:$H$202,1))</f>
        <v/>
      </c>
      <c r="C74" s="3" t="str">
        <f>IF($B74="","",INDEX(CuttingList!$A$3:$A$202,$B74))</f>
        <v/>
      </c>
      <c r="D74" s="4" t="str">
        <f>IF($B74="","",INDEX(CuttingList!$B$3:$B$202,$B74))</f>
        <v/>
      </c>
      <c r="E74" s="4" t="str">
        <f>IF($B74="","",INDEX(CuttingList!$C$3:$C$202,$B74))</f>
        <v/>
      </c>
      <c r="F74" s="3" t="str">
        <f>IF($B74="","",INDEX(CuttingList!$E$3:$E$202,$B74))</f>
        <v/>
      </c>
      <c r="G74" s="4" t="str">
        <f t="shared" si="3"/>
        <v/>
      </c>
      <c r="H74" s="4" t="str">
        <f t="shared" si="4"/>
        <v/>
      </c>
      <c r="I74" s="4" t="str">
        <f t="shared" si="5"/>
        <v/>
      </c>
    </row>
    <row r="75" spans="1:9" x14ac:dyDescent="0.2">
      <c r="A75" s="4">
        <v>73</v>
      </c>
      <c r="B75" s="4" t="str">
        <f>IF($A75&gt;MAX(CuttingList!$I$3:$I$202),"",MATCH($A75,CuttingList!$H$3:$H$202,1))</f>
        <v/>
      </c>
      <c r="C75" s="3" t="str">
        <f>IF($B75="","",INDEX(CuttingList!$A$3:$A$202,$B75))</f>
        <v/>
      </c>
      <c r="D75" s="4" t="str">
        <f>IF($B75="","",INDEX(CuttingList!$B$3:$B$202,$B75))</f>
        <v/>
      </c>
      <c r="E75" s="4" t="str">
        <f>IF($B75="","",INDEX(CuttingList!$C$3:$C$202,$B75))</f>
        <v/>
      </c>
      <c r="F75" s="3" t="str">
        <f>IF($B75="","",INDEX(CuttingList!$E$3:$E$202,$B75))</f>
        <v/>
      </c>
      <c r="G75" s="4" t="str">
        <f t="shared" si="3"/>
        <v/>
      </c>
      <c r="H75" s="4" t="str">
        <f t="shared" si="4"/>
        <v/>
      </c>
      <c r="I75" s="4" t="str">
        <f t="shared" si="5"/>
        <v/>
      </c>
    </row>
    <row r="76" spans="1:9" x14ac:dyDescent="0.2">
      <c r="A76" s="4">
        <v>74</v>
      </c>
      <c r="B76" s="4" t="str">
        <f>IF($A76&gt;MAX(CuttingList!$I$3:$I$202),"",MATCH($A76,CuttingList!$H$3:$H$202,1))</f>
        <v/>
      </c>
      <c r="C76" s="3" t="str">
        <f>IF($B76="","",INDEX(CuttingList!$A$3:$A$202,$B76))</f>
        <v/>
      </c>
      <c r="D76" s="4" t="str">
        <f>IF($B76="","",INDEX(CuttingList!$B$3:$B$202,$B76))</f>
        <v/>
      </c>
      <c r="E76" s="4" t="str">
        <f>IF($B76="","",INDEX(CuttingList!$C$3:$C$202,$B76))</f>
        <v/>
      </c>
      <c r="F76" s="3" t="str">
        <f>IF($B76="","",INDEX(CuttingList!$E$3:$E$202,$B76))</f>
        <v/>
      </c>
      <c r="G76" s="4" t="str">
        <f t="shared" si="3"/>
        <v/>
      </c>
      <c r="H76" s="4" t="str">
        <f t="shared" si="4"/>
        <v/>
      </c>
      <c r="I76" s="4" t="str">
        <f t="shared" si="5"/>
        <v/>
      </c>
    </row>
    <row r="77" spans="1:9" x14ac:dyDescent="0.2">
      <c r="A77" s="4">
        <v>75</v>
      </c>
      <c r="B77" s="4" t="str">
        <f>IF($A77&gt;MAX(CuttingList!$I$3:$I$202),"",MATCH($A77,CuttingList!$H$3:$H$202,1))</f>
        <v/>
      </c>
      <c r="C77" s="3" t="str">
        <f>IF($B77="","",INDEX(CuttingList!$A$3:$A$202,$B77))</f>
        <v/>
      </c>
      <c r="D77" s="4" t="str">
        <f>IF($B77="","",INDEX(CuttingList!$B$3:$B$202,$B77))</f>
        <v/>
      </c>
      <c r="E77" s="4" t="str">
        <f>IF($B77="","",INDEX(CuttingList!$C$3:$C$202,$B77))</f>
        <v/>
      </c>
      <c r="F77" s="3" t="str">
        <f>IF($B77="","",INDEX(CuttingList!$E$3:$E$202,$B77))</f>
        <v/>
      </c>
      <c r="G77" s="4" t="str">
        <f t="shared" si="3"/>
        <v/>
      </c>
      <c r="H77" s="4" t="str">
        <f t="shared" si="4"/>
        <v/>
      </c>
      <c r="I77" s="4" t="str">
        <f t="shared" si="5"/>
        <v/>
      </c>
    </row>
    <row r="78" spans="1:9" x14ac:dyDescent="0.2">
      <c r="A78" s="4">
        <v>76</v>
      </c>
      <c r="B78" s="4" t="str">
        <f>IF($A78&gt;MAX(CuttingList!$I$3:$I$202),"",MATCH($A78,CuttingList!$H$3:$H$202,1))</f>
        <v/>
      </c>
      <c r="C78" s="3" t="str">
        <f>IF($B78="","",INDEX(CuttingList!$A$3:$A$202,$B78))</f>
        <v/>
      </c>
      <c r="D78" s="4" t="str">
        <f>IF($B78="","",INDEX(CuttingList!$B$3:$B$202,$B78))</f>
        <v/>
      </c>
      <c r="E78" s="4" t="str">
        <f>IF($B78="","",INDEX(CuttingList!$C$3:$C$202,$B78))</f>
        <v/>
      </c>
      <c r="F78" s="3" t="str">
        <f>IF($B78="","",INDEX(CuttingList!$E$3:$E$202,$B78))</f>
        <v/>
      </c>
      <c r="G78" s="4" t="str">
        <f t="shared" si="3"/>
        <v/>
      </c>
      <c r="H78" s="4" t="str">
        <f t="shared" si="4"/>
        <v/>
      </c>
      <c r="I78" s="4" t="str">
        <f t="shared" si="5"/>
        <v/>
      </c>
    </row>
    <row r="79" spans="1:9" x14ac:dyDescent="0.2">
      <c r="A79" s="4">
        <v>77</v>
      </c>
      <c r="B79" s="4" t="str">
        <f>IF($A79&gt;MAX(CuttingList!$I$3:$I$202),"",MATCH($A79,CuttingList!$H$3:$H$202,1))</f>
        <v/>
      </c>
      <c r="C79" s="3" t="str">
        <f>IF($B79="","",INDEX(CuttingList!$A$3:$A$202,$B79))</f>
        <v/>
      </c>
      <c r="D79" s="4" t="str">
        <f>IF($B79="","",INDEX(CuttingList!$B$3:$B$202,$B79))</f>
        <v/>
      </c>
      <c r="E79" s="4" t="str">
        <f>IF($B79="","",INDEX(CuttingList!$C$3:$C$202,$B79))</f>
        <v/>
      </c>
      <c r="F79" s="3" t="str">
        <f>IF($B79="","",INDEX(CuttingList!$E$3:$E$202,$B79))</f>
        <v/>
      </c>
      <c r="G79" s="4" t="str">
        <f t="shared" si="3"/>
        <v/>
      </c>
      <c r="H79" s="4" t="str">
        <f t="shared" si="4"/>
        <v/>
      </c>
      <c r="I79" s="4" t="str">
        <f t="shared" si="5"/>
        <v/>
      </c>
    </row>
    <row r="80" spans="1:9" x14ac:dyDescent="0.2">
      <c r="A80" s="4">
        <v>78</v>
      </c>
      <c r="B80" s="4" t="str">
        <f>IF($A80&gt;MAX(CuttingList!$I$3:$I$202),"",MATCH($A80,CuttingList!$H$3:$H$202,1))</f>
        <v/>
      </c>
      <c r="C80" s="3" t="str">
        <f>IF($B80="","",INDEX(CuttingList!$A$3:$A$202,$B80))</f>
        <v/>
      </c>
      <c r="D80" s="4" t="str">
        <f>IF($B80="","",INDEX(CuttingList!$B$3:$B$202,$B80))</f>
        <v/>
      </c>
      <c r="E80" s="4" t="str">
        <f>IF($B80="","",INDEX(CuttingList!$C$3:$C$202,$B80))</f>
        <v/>
      </c>
      <c r="F80" s="3" t="str">
        <f>IF($B80="","",INDEX(CuttingList!$E$3:$E$202,$B80))</f>
        <v/>
      </c>
      <c r="G80" s="4" t="str">
        <f t="shared" si="3"/>
        <v/>
      </c>
      <c r="H80" s="4" t="str">
        <f t="shared" si="4"/>
        <v/>
      </c>
      <c r="I80" s="4" t="str">
        <f t="shared" si="5"/>
        <v/>
      </c>
    </row>
    <row r="81" spans="1:9" x14ac:dyDescent="0.2">
      <c r="A81" s="4">
        <v>79</v>
      </c>
      <c r="B81" s="4" t="str">
        <f>IF($A81&gt;MAX(CuttingList!$I$3:$I$202),"",MATCH($A81,CuttingList!$H$3:$H$202,1))</f>
        <v/>
      </c>
      <c r="C81" s="3" t="str">
        <f>IF($B81="","",INDEX(CuttingList!$A$3:$A$202,$B81))</f>
        <v/>
      </c>
      <c r="D81" s="4" t="str">
        <f>IF($B81="","",INDEX(CuttingList!$B$3:$B$202,$B81))</f>
        <v/>
      </c>
      <c r="E81" s="4" t="str">
        <f>IF($B81="","",INDEX(CuttingList!$C$3:$C$202,$B81))</f>
        <v/>
      </c>
      <c r="F81" s="3" t="str">
        <f>IF($B81="","",INDEX(CuttingList!$E$3:$E$202,$B81))</f>
        <v/>
      </c>
      <c r="G81" s="4" t="str">
        <f t="shared" si="3"/>
        <v/>
      </c>
      <c r="H81" s="4" t="str">
        <f t="shared" si="4"/>
        <v/>
      </c>
      <c r="I81" s="4" t="str">
        <f t="shared" si="5"/>
        <v/>
      </c>
    </row>
    <row r="82" spans="1:9" x14ac:dyDescent="0.2">
      <c r="A82" s="4">
        <v>80</v>
      </c>
      <c r="B82" s="4" t="str">
        <f>IF($A82&gt;MAX(CuttingList!$I$3:$I$202),"",MATCH($A82,CuttingList!$H$3:$H$202,1))</f>
        <v/>
      </c>
      <c r="C82" s="3" t="str">
        <f>IF($B82="","",INDEX(CuttingList!$A$3:$A$202,$B82))</f>
        <v/>
      </c>
      <c r="D82" s="4" t="str">
        <f>IF($B82="","",INDEX(CuttingList!$B$3:$B$202,$B82))</f>
        <v/>
      </c>
      <c r="E82" s="4" t="str">
        <f>IF($B82="","",INDEX(CuttingList!$C$3:$C$202,$B82))</f>
        <v/>
      </c>
      <c r="F82" s="3" t="str">
        <f>IF($B82="","",INDEX(CuttingList!$E$3:$E$202,$B82))</f>
        <v/>
      </c>
      <c r="G82" s="4" t="str">
        <f t="shared" si="3"/>
        <v/>
      </c>
      <c r="H82" s="4" t="str">
        <f t="shared" si="4"/>
        <v/>
      </c>
      <c r="I82" s="4" t="str">
        <f t="shared" si="5"/>
        <v/>
      </c>
    </row>
    <row r="83" spans="1:9" x14ac:dyDescent="0.2">
      <c r="A83" s="4">
        <v>81</v>
      </c>
      <c r="B83" s="4" t="str">
        <f>IF($A83&gt;MAX(CuttingList!$I$3:$I$202),"",MATCH($A83,CuttingList!$H$3:$H$202,1))</f>
        <v/>
      </c>
      <c r="C83" s="3" t="str">
        <f>IF($B83="","",INDEX(CuttingList!$A$3:$A$202,$B83))</f>
        <v/>
      </c>
      <c r="D83" s="4" t="str">
        <f>IF($B83="","",INDEX(CuttingList!$B$3:$B$202,$B83))</f>
        <v/>
      </c>
      <c r="E83" s="4" t="str">
        <f>IF($B83="","",INDEX(CuttingList!$C$3:$C$202,$B83))</f>
        <v/>
      </c>
      <c r="F83" s="3" t="str">
        <f>IF($B83="","",INDEX(CuttingList!$E$3:$E$202,$B83))</f>
        <v/>
      </c>
      <c r="G83" s="4" t="str">
        <f t="shared" si="3"/>
        <v/>
      </c>
      <c r="H83" s="4" t="str">
        <f t="shared" si="4"/>
        <v/>
      </c>
      <c r="I83" s="4" t="str">
        <f t="shared" si="5"/>
        <v/>
      </c>
    </row>
    <row r="84" spans="1:9" x14ac:dyDescent="0.2">
      <c r="A84" s="4">
        <v>82</v>
      </c>
      <c r="B84" s="4" t="str">
        <f>IF($A84&gt;MAX(CuttingList!$I$3:$I$202),"",MATCH($A84,CuttingList!$H$3:$H$202,1))</f>
        <v/>
      </c>
      <c r="C84" s="3" t="str">
        <f>IF($B84="","",INDEX(CuttingList!$A$3:$A$202,$B84))</f>
        <v/>
      </c>
      <c r="D84" s="4" t="str">
        <f>IF($B84="","",INDEX(CuttingList!$B$3:$B$202,$B84))</f>
        <v/>
      </c>
      <c r="E84" s="4" t="str">
        <f>IF($B84="","",INDEX(CuttingList!$C$3:$C$202,$B84))</f>
        <v/>
      </c>
      <c r="F84" s="3" t="str">
        <f>IF($B84="","",INDEX(CuttingList!$E$3:$E$202,$B84))</f>
        <v/>
      </c>
      <c r="G84" s="4" t="str">
        <f t="shared" si="3"/>
        <v/>
      </c>
      <c r="H84" s="4" t="str">
        <f t="shared" si="4"/>
        <v/>
      </c>
      <c r="I84" s="4" t="str">
        <f t="shared" si="5"/>
        <v/>
      </c>
    </row>
    <row r="85" spans="1:9" x14ac:dyDescent="0.2">
      <c r="A85" s="4">
        <v>83</v>
      </c>
      <c r="B85" s="4" t="str">
        <f>IF($A85&gt;MAX(CuttingList!$I$3:$I$202),"",MATCH($A85,CuttingList!$H$3:$H$202,1))</f>
        <v/>
      </c>
      <c r="C85" s="3" t="str">
        <f>IF($B85="","",INDEX(CuttingList!$A$3:$A$202,$B85))</f>
        <v/>
      </c>
      <c r="D85" s="4" t="str">
        <f>IF($B85="","",INDEX(CuttingList!$B$3:$B$202,$B85))</f>
        <v/>
      </c>
      <c r="E85" s="4" t="str">
        <f>IF($B85="","",INDEX(CuttingList!$C$3:$C$202,$B85))</f>
        <v/>
      </c>
      <c r="F85" s="3" t="str">
        <f>IF($B85="","",INDEX(CuttingList!$E$3:$E$202,$B85))</f>
        <v/>
      </c>
      <c r="G85" s="4" t="str">
        <f t="shared" si="3"/>
        <v/>
      </c>
      <c r="H85" s="4" t="str">
        <f t="shared" si="4"/>
        <v/>
      </c>
      <c r="I85" s="4" t="str">
        <f t="shared" si="5"/>
        <v/>
      </c>
    </row>
    <row r="86" spans="1:9" x14ac:dyDescent="0.2">
      <c r="A86" s="4">
        <v>84</v>
      </c>
      <c r="B86" s="4" t="str">
        <f>IF($A86&gt;MAX(CuttingList!$I$3:$I$202),"",MATCH($A86,CuttingList!$H$3:$H$202,1))</f>
        <v/>
      </c>
      <c r="C86" s="3" t="str">
        <f>IF($B86="","",INDEX(CuttingList!$A$3:$A$202,$B86))</f>
        <v/>
      </c>
      <c r="D86" s="4" t="str">
        <f>IF($B86="","",INDEX(CuttingList!$B$3:$B$202,$B86))</f>
        <v/>
      </c>
      <c r="E86" s="4" t="str">
        <f>IF($B86="","",INDEX(CuttingList!$C$3:$C$202,$B86))</f>
        <v/>
      </c>
      <c r="F86" s="3" t="str">
        <f>IF($B86="","",INDEX(CuttingList!$E$3:$E$202,$B86))</f>
        <v/>
      </c>
      <c r="G86" s="4" t="str">
        <f t="shared" si="3"/>
        <v/>
      </c>
      <c r="H86" s="4" t="str">
        <f t="shared" si="4"/>
        <v/>
      </c>
      <c r="I86" s="4" t="str">
        <f t="shared" si="5"/>
        <v/>
      </c>
    </row>
    <row r="87" spans="1:9" x14ac:dyDescent="0.2">
      <c r="A87" s="4">
        <v>85</v>
      </c>
      <c r="B87" s="4" t="str">
        <f>IF($A87&gt;MAX(CuttingList!$I$3:$I$202),"",MATCH($A87,CuttingList!$H$3:$H$202,1))</f>
        <v/>
      </c>
      <c r="C87" s="3" t="str">
        <f>IF($B87="","",INDEX(CuttingList!$A$3:$A$202,$B87))</f>
        <v/>
      </c>
      <c r="D87" s="4" t="str">
        <f>IF($B87="","",INDEX(CuttingList!$B$3:$B$202,$B87))</f>
        <v/>
      </c>
      <c r="E87" s="4" t="str">
        <f>IF($B87="","",INDEX(CuttingList!$C$3:$C$202,$B87))</f>
        <v/>
      </c>
      <c r="F87" s="3" t="str">
        <f>IF($B87="","",INDEX(CuttingList!$E$3:$E$202,$B87))</f>
        <v/>
      </c>
      <c r="G87" s="4" t="str">
        <f t="shared" si="3"/>
        <v/>
      </c>
      <c r="H87" s="4" t="str">
        <f t="shared" si="4"/>
        <v/>
      </c>
      <c r="I87" s="4" t="str">
        <f t="shared" si="5"/>
        <v/>
      </c>
    </row>
    <row r="88" spans="1:9" x14ac:dyDescent="0.2">
      <c r="A88" s="4">
        <v>86</v>
      </c>
      <c r="B88" s="4" t="str">
        <f>IF($A88&gt;MAX(CuttingList!$I$3:$I$202),"",MATCH($A88,CuttingList!$H$3:$H$202,1))</f>
        <v/>
      </c>
      <c r="C88" s="3" t="str">
        <f>IF($B88="","",INDEX(CuttingList!$A$3:$A$202,$B88))</f>
        <v/>
      </c>
      <c r="D88" s="4" t="str">
        <f>IF($B88="","",INDEX(CuttingList!$B$3:$B$202,$B88))</f>
        <v/>
      </c>
      <c r="E88" s="4" t="str">
        <f>IF($B88="","",INDEX(CuttingList!$C$3:$C$202,$B88))</f>
        <v/>
      </c>
      <c r="F88" s="3" t="str">
        <f>IF($B88="","",INDEX(CuttingList!$E$3:$E$202,$B88))</f>
        <v/>
      </c>
      <c r="G88" s="4" t="str">
        <f t="shared" si="3"/>
        <v/>
      </c>
      <c r="H88" s="4" t="str">
        <f t="shared" si="4"/>
        <v/>
      </c>
      <c r="I88" s="4" t="str">
        <f t="shared" si="5"/>
        <v/>
      </c>
    </row>
    <row r="89" spans="1:9" x14ac:dyDescent="0.2">
      <c r="A89" s="4">
        <v>87</v>
      </c>
      <c r="B89" s="4" t="str">
        <f>IF($A89&gt;MAX(CuttingList!$I$3:$I$202),"",MATCH($A89,CuttingList!$H$3:$H$202,1))</f>
        <v/>
      </c>
      <c r="C89" s="3" t="str">
        <f>IF($B89="","",INDEX(CuttingList!$A$3:$A$202,$B89))</f>
        <v/>
      </c>
      <c r="D89" s="4" t="str">
        <f>IF($B89="","",INDEX(CuttingList!$B$3:$B$202,$B89))</f>
        <v/>
      </c>
      <c r="E89" s="4" t="str">
        <f>IF($B89="","",INDEX(CuttingList!$C$3:$C$202,$B89))</f>
        <v/>
      </c>
      <c r="F89" s="3" t="str">
        <f>IF($B89="","",INDEX(CuttingList!$E$3:$E$202,$B89))</f>
        <v/>
      </c>
      <c r="G89" s="4" t="str">
        <f t="shared" si="3"/>
        <v/>
      </c>
      <c r="H89" s="4" t="str">
        <f t="shared" si="4"/>
        <v/>
      </c>
      <c r="I89" s="4" t="str">
        <f t="shared" si="5"/>
        <v/>
      </c>
    </row>
    <row r="90" spans="1:9" x14ac:dyDescent="0.2">
      <c r="A90" s="4">
        <v>88</v>
      </c>
      <c r="B90" s="4" t="str">
        <f>IF($A90&gt;MAX(CuttingList!$I$3:$I$202),"",MATCH($A90,CuttingList!$H$3:$H$202,1))</f>
        <v/>
      </c>
      <c r="C90" s="3" t="str">
        <f>IF($B90="","",INDEX(CuttingList!$A$3:$A$202,$B90))</f>
        <v/>
      </c>
      <c r="D90" s="4" t="str">
        <f>IF($B90="","",INDEX(CuttingList!$B$3:$B$202,$B90))</f>
        <v/>
      </c>
      <c r="E90" s="4" t="str">
        <f>IF($B90="","",INDEX(CuttingList!$C$3:$C$202,$B90))</f>
        <v/>
      </c>
      <c r="F90" s="3" t="str">
        <f>IF($B90="","",INDEX(CuttingList!$E$3:$E$202,$B90))</f>
        <v/>
      </c>
      <c r="G90" s="4" t="str">
        <f t="shared" si="3"/>
        <v/>
      </c>
      <c r="H90" s="4" t="str">
        <f t="shared" si="4"/>
        <v/>
      </c>
      <c r="I90" s="4" t="str">
        <f t="shared" si="5"/>
        <v/>
      </c>
    </row>
    <row r="91" spans="1:9" x14ac:dyDescent="0.2">
      <c r="A91" s="4">
        <v>89</v>
      </c>
      <c r="B91" s="4" t="str">
        <f>IF($A91&gt;MAX(CuttingList!$I$3:$I$202),"",MATCH($A91,CuttingList!$H$3:$H$202,1))</f>
        <v/>
      </c>
      <c r="C91" s="3" t="str">
        <f>IF($B91="","",INDEX(CuttingList!$A$3:$A$202,$B91))</f>
        <v/>
      </c>
      <c r="D91" s="4" t="str">
        <f>IF($B91="","",INDEX(CuttingList!$B$3:$B$202,$B91))</f>
        <v/>
      </c>
      <c r="E91" s="4" t="str">
        <f>IF($B91="","",INDEX(CuttingList!$C$3:$C$202,$B91))</f>
        <v/>
      </c>
      <c r="F91" s="3" t="str">
        <f>IF($B91="","",INDEX(CuttingList!$E$3:$E$202,$B91))</f>
        <v/>
      </c>
      <c r="G91" s="4" t="str">
        <f t="shared" si="3"/>
        <v/>
      </c>
      <c r="H91" s="4" t="str">
        <f t="shared" si="4"/>
        <v/>
      </c>
      <c r="I91" s="4" t="str">
        <f t="shared" si="5"/>
        <v/>
      </c>
    </row>
    <row r="92" spans="1:9" x14ac:dyDescent="0.2">
      <c r="A92" s="4">
        <v>90</v>
      </c>
      <c r="B92" s="4" t="str">
        <f>IF($A92&gt;MAX(CuttingList!$I$3:$I$202),"",MATCH($A92,CuttingList!$H$3:$H$202,1))</f>
        <v/>
      </c>
      <c r="C92" s="3" t="str">
        <f>IF($B92="","",INDEX(CuttingList!$A$3:$A$202,$B92))</f>
        <v/>
      </c>
      <c r="D92" s="4" t="str">
        <f>IF($B92="","",INDEX(CuttingList!$B$3:$B$202,$B92))</f>
        <v/>
      </c>
      <c r="E92" s="4" t="str">
        <f>IF($B92="","",INDEX(CuttingList!$C$3:$C$202,$B92))</f>
        <v/>
      </c>
      <c r="F92" s="3" t="str">
        <f>IF($B92="","",INDEX(CuttingList!$E$3:$E$202,$B92))</f>
        <v/>
      </c>
      <c r="G92" s="4" t="str">
        <f t="shared" si="3"/>
        <v/>
      </c>
      <c r="H92" s="4" t="str">
        <f t="shared" si="4"/>
        <v/>
      </c>
      <c r="I92" s="4" t="str">
        <f t="shared" si="5"/>
        <v/>
      </c>
    </row>
    <row r="93" spans="1:9" x14ac:dyDescent="0.2">
      <c r="A93" s="4">
        <v>91</v>
      </c>
      <c r="B93" s="4" t="str">
        <f>IF($A93&gt;MAX(CuttingList!$I$3:$I$202),"",MATCH($A93,CuttingList!$H$3:$H$202,1))</f>
        <v/>
      </c>
      <c r="C93" s="3" t="str">
        <f>IF($B93="","",INDEX(CuttingList!$A$3:$A$202,$B93))</f>
        <v/>
      </c>
      <c r="D93" s="4" t="str">
        <f>IF($B93="","",INDEX(CuttingList!$B$3:$B$202,$B93))</f>
        <v/>
      </c>
      <c r="E93" s="4" t="str">
        <f>IF($B93="","",INDEX(CuttingList!$C$3:$C$202,$B93))</f>
        <v/>
      </c>
      <c r="F93" s="3" t="str">
        <f>IF($B93="","",INDEX(CuttingList!$E$3:$E$202,$B93))</f>
        <v/>
      </c>
      <c r="G93" s="4" t="str">
        <f t="shared" si="3"/>
        <v/>
      </c>
      <c r="H93" s="4" t="str">
        <f t="shared" si="4"/>
        <v/>
      </c>
      <c r="I93" s="4" t="str">
        <f t="shared" si="5"/>
        <v/>
      </c>
    </row>
    <row r="94" spans="1:9" x14ac:dyDescent="0.2">
      <c r="A94" s="4">
        <v>92</v>
      </c>
      <c r="B94" s="4" t="str">
        <f>IF($A94&gt;MAX(CuttingList!$I$3:$I$202),"",MATCH($A94,CuttingList!$H$3:$H$202,1))</f>
        <v/>
      </c>
      <c r="C94" s="3" t="str">
        <f>IF($B94="","",INDEX(CuttingList!$A$3:$A$202,$B94))</f>
        <v/>
      </c>
      <c r="D94" s="4" t="str">
        <f>IF($B94="","",INDEX(CuttingList!$B$3:$B$202,$B94))</f>
        <v/>
      </c>
      <c r="E94" s="4" t="str">
        <f>IF($B94="","",INDEX(CuttingList!$C$3:$C$202,$B94))</f>
        <v/>
      </c>
      <c r="F94" s="3" t="str">
        <f>IF($B94="","",INDEX(CuttingList!$E$3:$E$202,$B94))</f>
        <v/>
      </c>
      <c r="G94" s="4" t="str">
        <f t="shared" si="3"/>
        <v/>
      </c>
      <c r="H94" s="4" t="str">
        <f t="shared" si="4"/>
        <v/>
      </c>
      <c r="I94" s="4" t="str">
        <f t="shared" si="5"/>
        <v/>
      </c>
    </row>
    <row r="95" spans="1:9" x14ac:dyDescent="0.2">
      <c r="A95" s="4">
        <v>93</v>
      </c>
      <c r="B95" s="4" t="str">
        <f>IF($A95&gt;MAX(CuttingList!$I$3:$I$202),"",MATCH($A95,CuttingList!$H$3:$H$202,1))</f>
        <v/>
      </c>
      <c r="C95" s="3" t="str">
        <f>IF($B95="","",INDEX(CuttingList!$A$3:$A$202,$B95))</f>
        <v/>
      </c>
      <c r="D95" s="4" t="str">
        <f>IF($B95="","",INDEX(CuttingList!$B$3:$B$202,$B95))</f>
        <v/>
      </c>
      <c r="E95" s="4" t="str">
        <f>IF($B95="","",INDEX(CuttingList!$C$3:$C$202,$B95))</f>
        <v/>
      </c>
      <c r="F95" s="3" t="str">
        <f>IF($B95="","",INDEX(CuttingList!$E$3:$E$202,$B95))</f>
        <v/>
      </c>
      <c r="G95" s="4" t="str">
        <f t="shared" si="3"/>
        <v/>
      </c>
      <c r="H95" s="4" t="str">
        <f t="shared" si="4"/>
        <v/>
      </c>
      <c r="I95" s="4" t="str">
        <f t="shared" si="5"/>
        <v/>
      </c>
    </row>
    <row r="96" spans="1:9" x14ac:dyDescent="0.2">
      <c r="A96" s="4">
        <v>94</v>
      </c>
      <c r="B96" s="4" t="str">
        <f>IF($A96&gt;MAX(CuttingList!$I$3:$I$202),"",MATCH($A96,CuttingList!$H$3:$H$202,1))</f>
        <v/>
      </c>
      <c r="C96" s="3" t="str">
        <f>IF($B96="","",INDEX(CuttingList!$A$3:$A$202,$B96))</f>
        <v/>
      </c>
      <c r="D96" s="4" t="str">
        <f>IF($B96="","",INDEX(CuttingList!$B$3:$B$202,$B96))</f>
        <v/>
      </c>
      <c r="E96" s="4" t="str">
        <f>IF($B96="","",INDEX(CuttingList!$C$3:$C$202,$B96))</f>
        <v/>
      </c>
      <c r="F96" s="3" t="str">
        <f>IF($B96="","",INDEX(CuttingList!$E$3:$E$202,$B96))</f>
        <v/>
      </c>
      <c r="G96" s="4" t="str">
        <f t="shared" si="3"/>
        <v/>
      </c>
      <c r="H96" s="4" t="str">
        <f t="shared" si="4"/>
        <v/>
      </c>
      <c r="I96" s="4" t="str">
        <f t="shared" si="5"/>
        <v/>
      </c>
    </row>
    <row r="97" spans="1:9" x14ac:dyDescent="0.2">
      <c r="A97" s="4">
        <v>95</v>
      </c>
      <c r="B97" s="4" t="str">
        <f>IF($A97&gt;MAX(CuttingList!$I$3:$I$202),"",MATCH($A97,CuttingList!$H$3:$H$202,1))</f>
        <v/>
      </c>
      <c r="C97" s="3" t="str">
        <f>IF($B97="","",INDEX(CuttingList!$A$3:$A$202,$B97))</f>
        <v/>
      </c>
      <c r="D97" s="4" t="str">
        <f>IF($B97="","",INDEX(CuttingList!$B$3:$B$202,$B97))</f>
        <v/>
      </c>
      <c r="E97" s="4" t="str">
        <f>IF($B97="","",INDEX(CuttingList!$C$3:$C$202,$B97))</f>
        <v/>
      </c>
      <c r="F97" s="3" t="str">
        <f>IF($B97="","",INDEX(CuttingList!$E$3:$E$202,$B97))</f>
        <v/>
      </c>
      <c r="G97" s="4" t="str">
        <f t="shared" si="3"/>
        <v/>
      </c>
      <c r="H97" s="4" t="str">
        <f t="shared" si="4"/>
        <v/>
      </c>
      <c r="I97" s="4" t="str">
        <f t="shared" si="5"/>
        <v/>
      </c>
    </row>
    <row r="98" spans="1:9" x14ac:dyDescent="0.2">
      <c r="A98" s="4">
        <v>96</v>
      </c>
      <c r="B98" s="4" t="str">
        <f>IF($A98&gt;MAX(CuttingList!$I$3:$I$202),"",MATCH($A98,CuttingList!$H$3:$H$202,1))</f>
        <v/>
      </c>
      <c r="C98" s="3" t="str">
        <f>IF($B98="","",INDEX(CuttingList!$A$3:$A$202,$B98))</f>
        <v/>
      </c>
      <c r="D98" s="4" t="str">
        <f>IF($B98="","",INDEX(CuttingList!$B$3:$B$202,$B98))</f>
        <v/>
      </c>
      <c r="E98" s="4" t="str">
        <f>IF($B98="","",INDEX(CuttingList!$C$3:$C$202,$B98))</f>
        <v/>
      </c>
      <c r="F98" s="3" t="str">
        <f>IF($B98="","",INDEX(CuttingList!$E$3:$E$202,$B98))</f>
        <v/>
      </c>
      <c r="G98" s="4" t="str">
        <f t="shared" si="3"/>
        <v/>
      </c>
      <c r="H98" s="4" t="str">
        <f t="shared" si="4"/>
        <v/>
      </c>
      <c r="I98" s="4" t="str">
        <f t="shared" si="5"/>
        <v/>
      </c>
    </row>
    <row r="99" spans="1:9" x14ac:dyDescent="0.2">
      <c r="A99" s="4">
        <v>97</v>
      </c>
      <c r="B99" s="4" t="str">
        <f>IF($A99&gt;MAX(CuttingList!$I$3:$I$202),"",MATCH($A99,CuttingList!$H$3:$H$202,1))</f>
        <v/>
      </c>
      <c r="C99" s="3" t="str">
        <f>IF($B99="","",INDEX(CuttingList!$A$3:$A$202,$B99))</f>
        <v/>
      </c>
      <c r="D99" s="4" t="str">
        <f>IF($B99="","",INDEX(CuttingList!$B$3:$B$202,$B99))</f>
        <v/>
      </c>
      <c r="E99" s="4" t="str">
        <f>IF($B99="","",INDEX(CuttingList!$C$3:$C$202,$B99))</f>
        <v/>
      </c>
      <c r="F99" s="3" t="str">
        <f>IF($B99="","",INDEX(CuttingList!$E$3:$E$202,$B99))</f>
        <v/>
      </c>
      <c r="G99" s="4" t="str">
        <f t="shared" si="3"/>
        <v/>
      </c>
      <c r="H99" s="4" t="str">
        <f t="shared" si="4"/>
        <v/>
      </c>
      <c r="I99" s="4" t="str">
        <f t="shared" si="5"/>
        <v/>
      </c>
    </row>
    <row r="100" spans="1:9" x14ac:dyDescent="0.2">
      <c r="A100" s="4">
        <v>98</v>
      </c>
      <c r="B100" s="4" t="str">
        <f>IF($A100&gt;MAX(CuttingList!$I$3:$I$202),"",MATCH($A100,CuttingList!$H$3:$H$202,1))</f>
        <v/>
      </c>
      <c r="C100" s="3" t="str">
        <f>IF($B100="","",INDEX(CuttingList!$A$3:$A$202,$B100))</f>
        <v/>
      </c>
      <c r="D100" s="4" t="str">
        <f>IF($B100="","",INDEX(CuttingList!$B$3:$B$202,$B100))</f>
        <v/>
      </c>
      <c r="E100" s="4" t="str">
        <f>IF($B100="","",INDEX(CuttingList!$C$3:$C$202,$B100))</f>
        <v/>
      </c>
      <c r="F100" s="3" t="str">
        <f>IF($B100="","",INDEX(CuttingList!$E$3:$E$202,$B100))</f>
        <v/>
      </c>
      <c r="G100" s="4" t="str">
        <f t="shared" si="3"/>
        <v/>
      </c>
      <c r="H100" s="4" t="str">
        <f t="shared" si="4"/>
        <v/>
      </c>
      <c r="I100" s="4" t="str">
        <f t="shared" si="5"/>
        <v/>
      </c>
    </row>
    <row r="101" spans="1:9" x14ac:dyDescent="0.2">
      <c r="A101" s="4">
        <v>99</v>
      </c>
      <c r="B101" s="4" t="str">
        <f>IF($A101&gt;MAX(CuttingList!$I$3:$I$202),"",MATCH($A101,CuttingList!$H$3:$H$202,1))</f>
        <v/>
      </c>
      <c r="C101" s="3" t="str">
        <f>IF($B101="","",INDEX(CuttingList!$A$3:$A$202,$B101))</f>
        <v/>
      </c>
      <c r="D101" s="4" t="str">
        <f>IF($B101="","",INDEX(CuttingList!$B$3:$B$202,$B101))</f>
        <v/>
      </c>
      <c r="E101" s="4" t="str">
        <f>IF($B101="","",INDEX(CuttingList!$C$3:$C$202,$B101))</f>
        <v/>
      </c>
      <c r="F101" s="3" t="str">
        <f>IF($B101="","",INDEX(CuttingList!$E$3:$E$202,$B101))</f>
        <v/>
      </c>
      <c r="G101" s="4" t="str">
        <f t="shared" si="3"/>
        <v/>
      </c>
      <c r="H101" s="4" t="str">
        <f t="shared" si="4"/>
        <v/>
      </c>
      <c r="I101" s="4" t="str">
        <f t="shared" si="5"/>
        <v/>
      </c>
    </row>
    <row r="102" spans="1:9" x14ac:dyDescent="0.2">
      <c r="A102" s="4">
        <v>100</v>
      </c>
      <c r="B102" s="4" t="str">
        <f>IF($A102&gt;MAX(CuttingList!$I$3:$I$202),"",MATCH($A102,CuttingList!$H$3:$H$202,1))</f>
        <v/>
      </c>
      <c r="C102" s="3" t="str">
        <f>IF($B102="","",INDEX(CuttingList!$A$3:$A$202,$B102))</f>
        <v/>
      </c>
      <c r="D102" s="4" t="str">
        <f>IF($B102="","",INDEX(CuttingList!$B$3:$B$202,$B102))</f>
        <v/>
      </c>
      <c r="E102" s="4" t="str">
        <f>IF($B102="","",INDEX(CuttingList!$C$3:$C$202,$B102))</f>
        <v/>
      </c>
      <c r="F102" s="3" t="str">
        <f>IF($B102="","",INDEX(CuttingList!$E$3:$E$202,$B102))</f>
        <v/>
      </c>
      <c r="G102" s="4" t="str">
        <f t="shared" si="3"/>
        <v/>
      </c>
      <c r="H102" s="4" t="str">
        <f t="shared" si="4"/>
        <v/>
      </c>
      <c r="I102" s="4" t="str">
        <f t="shared" si="5"/>
        <v/>
      </c>
    </row>
    <row r="103" spans="1:9" x14ac:dyDescent="0.2">
      <c r="A103" s="4">
        <v>101</v>
      </c>
      <c r="B103" s="4" t="str">
        <f>IF($A103&gt;MAX(CuttingList!$I$3:$I$202),"",MATCH($A103,CuttingList!$H$3:$H$202,1))</f>
        <v/>
      </c>
      <c r="C103" s="3" t="str">
        <f>IF($B103="","",INDEX(CuttingList!$A$3:$A$202,$B103))</f>
        <v/>
      </c>
      <c r="D103" s="4" t="str">
        <f>IF($B103="","",INDEX(CuttingList!$B$3:$B$202,$B103))</f>
        <v/>
      </c>
      <c r="E103" s="4" t="str">
        <f>IF($B103="","",INDEX(CuttingList!$C$3:$C$202,$B103))</f>
        <v/>
      </c>
      <c r="F103" s="3" t="str">
        <f>IF($B103="","",INDEX(CuttingList!$E$3:$E$202,$B103))</f>
        <v/>
      </c>
      <c r="G103" s="4" t="str">
        <f t="shared" si="3"/>
        <v/>
      </c>
      <c r="H103" s="4" t="str">
        <f t="shared" si="4"/>
        <v/>
      </c>
      <c r="I103" s="4" t="str">
        <f t="shared" si="5"/>
        <v/>
      </c>
    </row>
    <row r="104" spans="1:9" x14ac:dyDescent="0.2">
      <c r="A104" s="4">
        <v>102</v>
      </c>
      <c r="B104" s="4" t="str">
        <f>IF($A104&gt;MAX(CuttingList!$I$3:$I$202),"",MATCH($A104,CuttingList!$H$3:$H$202,1))</f>
        <v/>
      </c>
      <c r="C104" s="3" t="str">
        <f>IF($B104="","",INDEX(CuttingList!$A$3:$A$202,$B104))</f>
        <v/>
      </c>
      <c r="D104" s="4" t="str">
        <f>IF($B104="","",INDEX(CuttingList!$B$3:$B$202,$B104))</f>
        <v/>
      </c>
      <c r="E104" s="4" t="str">
        <f>IF($B104="","",INDEX(CuttingList!$C$3:$C$202,$B104))</f>
        <v/>
      </c>
      <c r="F104" s="3" t="str">
        <f>IF($B104="","",INDEX(CuttingList!$E$3:$E$202,$B104))</f>
        <v/>
      </c>
      <c r="G104" s="4" t="str">
        <f t="shared" si="3"/>
        <v/>
      </c>
      <c r="H104" s="4" t="str">
        <f t="shared" si="4"/>
        <v/>
      </c>
      <c r="I104" s="4" t="str">
        <f t="shared" si="5"/>
        <v/>
      </c>
    </row>
    <row r="105" spans="1:9" x14ac:dyDescent="0.2">
      <c r="A105" s="4">
        <v>103</v>
      </c>
      <c r="B105" s="4" t="str">
        <f>IF($A105&gt;MAX(CuttingList!$I$3:$I$202),"",MATCH($A105,CuttingList!$H$3:$H$202,1))</f>
        <v/>
      </c>
      <c r="C105" s="3" t="str">
        <f>IF($B105="","",INDEX(CuttingList!$A$3:$A$202,$B105))</f>
        <v/>
      </c>
      <c r="D105" s="4" t="str">
        <f>IF($B105="","",INDEX(CuttingList!$B$3:$B$202,$B105))</f>
        <v/>
      </c>
      <c r="E105" s="4" t="str">
        <f>IF($B105="","",INDEX(CuttingList!$C$3:$C$202,$B105))</f>
        <v/>
      </c>
      <c r="F105" s="3" t="str">
        <f>IF($B105="","",INDEX(CuttingList!$E$3:$E$202,$B105))</f>
        <v/>
      </c>
      <c r="G105" s="4" t="str">
        <f t="shared" si="3"/>
        <v/>
      </c>
      <c r="H105" s="4" t="str">
        <f t="shared" si="4"/>
        <v/>
      </c>
      <c r="I105" s="4" t="str">
        <f t="shared" si="5"/>
        <v/>
      </c>
    </row>
    <row r="106" spans="1:9" x14ac:dyDescent="0.2">
      <c r="A106" s="4">
        <v>104</v>
      </c>
      <c r="B106" s="4" t="str">
        <f>IF($A106&gt;MAX(CuttingList!$I$3:$I$202),"",MATCH($A106,CuttingList!$H$3:$H$202,1))</f>
        <v/>
      </c>
      <c r="C106" s="3" t="str">
        <f>IF($B106="","",INDEX(CuttingList!$A$3:$A$202,$B106))</f>
        <v/>
      </c>
      <c r="D106" s="4" t="str">
        <f>IF($B106="","",INDEX(CuttingList!$B$3:$B$202,$B106))</f>
        <v/>
      </c>
      <c r="E106" s="4" t="str">
        <f>IF($B106="","",INDEX(CuttingList!$C$3:$C$202,$B106))</f>
        <v/>
      </c>
      <c r="F106" s="3" t="str">
        <f>IF($B106="","",INDEX(CuttingList!$E$3:$E$202,$B106))</f>
        <v/>
      </c>
      <c r="G106" s="4" t="str">
        <f t="shared" si="3"/>
        <v/>
      </c>
      <c r="H106" s="4" t="str">
        <f t="shared" si="4"/>
        <v/>
      </c>
      <c r="I106" s="4" t="str">
        <f t="shared" si="5"/>
        <v/>
      </c>
    </row>
    <row r="107" spans="1:9" x14ac:dyDescent="0.2">
      <c r="A107" s="4">
        <v>105</v>
      </c>
      <c r="B107" s="4" t="str">
        <f>IF($A107&gt;MAX(CuttingList!$I$3:$I$202),"",MATCH($A107,CuttingList!$H$3:$H$202,1))</f>
        <v/>
      </c>
      <c r="C107" s="3" t="str">
        <f>IF($B107="","",INDEX(CuttingList!$A$3:$A$202,$B107))</f>
        <v/>
      </c>
      <c r="D107" s="4" t="str">
        <f>IF($B107="","",INDEX(CuttingList!$B$3:$B$202,$B107))</f>
        <v/>
      </c>
      <c r="E107" s="4" t="str">
        <f>IF($B107="","",INDEX(CuttingList!$C$3:$C$202,$B107))</f>
        <v/>
      </c>
      <c r="F107" s="3" t="str">
        <f>IF($B107="","",INDEX(CuttingList!$E$3:$E$202,$B107))</f>
        <v/>
      </c>
      <c r="G107" s="4" t="str">
        <f t="shared" si="3"/>
        <v/>
      </c>
      <c r="H107" s="4" t="str">
        <f t="shared" si="4"/>
        <v/>
      </c>
      <c r="I107" s="4" t="str">
        <f t="shared" si="5"/>
        <v/>
      </c>
    </row>
    <row r="108" spans="1:9" x14ac:dyDescent="0.2">
      <c r="A108" s="4">
        <v>106</v>
      </c>
      <c r="B108" s="4" t="str">
        <f>IF($A108&gt;MAX(CuttingList!$I$3:$I$202),"",MATCH($A108,CuttingList!$H$3:$H$202,1))</f>
        <v/>
      </c>
      <c r="C108" s="3" t="str">
        <f>IF($B108="","",INDEX(CuttingList!$A$3:$A$202,$B108))</f>
        <v/>
      </c>
      <c r="D108" s="4" t="str">
        <f>IF($B108="","",INDEX(CuttingList!$B$3:$B$202,$B108))</f>
        <v/>
      </c>
      <c r="E108" s="4" t="str">
        <f>IF($B108="","",INDEX(CuttingList!$C$3:$C$202,$B108))</f>
        <v/>
      </c>
      <c r="F108" s="3" t="str">
        <f>IF($B108="","",INDEX(CuttingList!$E$3:$E$202,$B108))</f>
        <v/>
      </c>
      <c r="G108" s="4" t="str">
        <f t="shared" si="3"/>
        <v/>
      </c>
      <c r="H108" s="4" t="str">
        <f t="shared" si="4"/>
        <v/>
      </c>
      <c r="I108" s="4" t="str">
        <f t="shared" si="5"/>
        <v/>
      </c>
    </row>
    <row r="109" spans="1:9" x14ac:dyDescent="0.2">
      <c r="A109" s="4">
        <v>107</v>
      </c>
      <c r="B109" s="4" t="str">
        <f>IF($A109&gt;MAX(CuttingList!$I$3:$I$202),"",MATCH($A109,CuttingList!$H$3:$H$202,1))</f>
        <v/>
      </c>
      <c r="C109" s="3" t="str">
        <f>IF($B109="","",INDEX(CuttingList!$A$3:$A$202,$B109))</f>
        <v/>
      </c>
      <c r="D109" s="4" t="str">
        <f>IF($B109="","",INDEX(CuttingList!$B$3:$B$202,$B109))</f>
        <v/>
      </c>
      <c r="E109" s="4" t="str">
        <f>IF($B109="","",INDEX(CuttingList!$C$3:$C$202,$B109))</f>
        <v/>
      </c>
      <c r="F109" s="3" t="str">
        <f>IF($B109="","",INDEX(CuttingList!$E$3:$E$202,$B109))</f>
        <v/>
      </c>
      <c r="G109" s="4" t="str">
        <f t="shared" si="3"/>
        <v/>
      </c>
      <c r="H109" s="4" t="str">
        <f t="shared" si="4"/>
        <v/>
      </c>
      <c r="I109" s="4" t="str">
        <f t="shared" si="5"/>
        <v/>
      </c>
    </row>
    <row r="110" spans="1:9" x14ac:dyDescent="0.2">
      <c r="A110" s="4">
        <v>108</v>
      </c>
      <c r="B110" s="4" t="str">
        <f>IF($A110&gt;MAX(CuttingList!$I$3:$I$202),"",MATCH($A110,CuttingList!$H$3:$H$202,1))</f>
        <v/>
      </c>
      <c r="C110" s="3" t="str">
        <f>IF($B110="","",INDEX(CuttingList!$A$3:$A$202,$B110))</f>
        <v/>
      </c>
      <c r="D110" s="4" t="str">
        <f>IF($B110="","",INDEX(CuttingList!$B$3:$B$202,$B110))</f>
        <v/>
      </c>
      <c r="E110" s="4" t="str">
        <f>IF($B110="","",INDEX(CuttingList!$C$3:$C$202,$B110))</f>
        <v/>
      </c>
      <c r="F110" s="3" t="str">
        <f>IF($B110="","",INDEX(CuttingList!$E$3:$E$202,$B110))</f>
        <v/>
      </c>
      <c r="G110" s="4" t="str">
        <f t="shared" si="3"/>
        <v/>
      </c>
      <c r="H110" s="4" t="str">
        <f t="shared" si="4"/>
        <v/>
      </c>
      <c r="I110" s="4" t="str">
        <f t="shared" si="5"/>
        <v/>
      </c>
    </row>
    <row r="111" spans="1:9" x14ac:dyDescent="0.2">
      <c r="A111" s="4">
        <v>109</v>
      </c>
      <c r="B111" s="4" t="str">
        <f>IF($A111&gt;MAX(CuttingList!$I$3:$I$202),"",MATCH($A111,CuttingList!$H$3:$H$202,1))</f>
        <v/>
      </c>
      <c r="C111" s="3" t="str">
        <f>IF($B111="","",INDEX(CuttingList!$A$3:$A$202,$B111))</f>
        <v/>
      </c>
      <c r="D111" s="4" t="str">
        <f>IF($B111="","",INDEX(CuttingList!$B$3:$B$202,$B111))</f>
        <v/>
      </c>
      <c r="E111" s="4" t="str">
        <f>IF($B111="","",INDEX(CuttingList!$C$3:$C$202,$B111))</f>
        <v/>
      </c>
      <c r="F111" s="3" t="str">
        <f>IF($B111="","",INDEX(CuttingList!$E$3:$E$202,$B111))</f>
        <v/>
      </c>
      <c r="G111" s="4" t="str">
        <f t="shared" si="3"/>
        <v/>
      </c>
      <c r="H111" s="4" t="str">
        <f t="shared" si="4"/>
        <v/>
      </c>
      <c r="I111" s="4" t="str">
        <f t="shared" si="5"/>
        <v/>
      </c>
    </row>
    <row r="112" spans="1:9" x14ac:dyDescent="0.2">
      <c r="A112" s="4">
        <v>110</v>
      </c>
      <c r="B112" s="4" t="str">
        <f>IF($A112&gt;MAX(CuttingList!$I$3:$I$202),"",MATCH($A112,CuttingList!$H$3:$H$202,1))</f>
        <v/>
      </c>
      <c r="C112" s="3" t="str">
        <f>IF($B112="","",INDEX(CuttingList!$A$3:$A$202,$B112))</f>
        <v/>
      </c>
      <c r="D112" s="4" t="str">
        <f>IF($B112="","",INDEX(CuttingList!$B$3:$B$202,$B112))</f>
        <v/>
      </c>
      <c r="E112" s="4" t="str">
        <f>IF($B112="","",INDEX(CuttingList!$C$3:$C$202,$B112))</f>
        <v/>
      </c>
      <c r="F112" s="3" t="str">
        <f>IF($B112="","",INDEX(CuttingList!$E$3:$E$202,$B112))</f>
        <v/>
      </c>
      <c r="G112" s="4" t="str">
        <f t="shared" si="3"/>
        <v/>
      </c>
      <c r="H112" s="4" t="str">
        <f t="shared" si="4"/>
        <v/>
      </c>
      <c r="I112" s="4" t="str">
        <f t="shared" si="5"/>
        <v/>
      </c>
    </row>
    <row r="113" spans="1:9" x14ac:dyDescent="0.2">
      <c r="A113" s="4">
        <v>111</v>
      </c>
      <c r="B113" s="4" t="str">
        <f>IF($A113&gt;MAX(CuttingList!$I$3:$I$202),"",MATCH($A113,CuttingList!$H$3:$H$202,1))</f>
        <v/>
      </c>
      <c r="C113" s="3" t="str">
        <f>IF($B113="","",INDEX(CuttingList!$A$3:$A$202,$B113))</f>
        <v/>
      </c>
      <c r="D113" s="4" t="str">
        <f>IF($B113="","",INDEX(CuttingList!$B$3:$B$202,$B113))</f>
        <v/>
      </c>
      <c r="E113" s="4" t="str">
        <f>IF($B113="","",INDEX(CuttingList!$C$3:$C$202,$B113))</f>
        <v/>
      </c>
      <c r="F113" s="3" t="str">
        <f>IF($B113="","",INDEX(CuttingList!$E$3:$E$202,$B113))</f>
        <v/>
      </c>
      <c r="G113" s="4" t="str">
        <f t="shared" si="3"/>
        <v/>
      </c>
      <c r="H113" s="4" t="str">
        <f t="shared" si="4"/>
        <v/>
      </c>
      <c r="I113" s="4" t="str">
        <f t="shared" si="5"/>
        <v/>
      </c>
    </row>
    <row r="114" spans="1:9" x14ac:dyDescent="0.2">
      <c r="A114" s="4">
        <v>112</v>
      </c>
      <c r="B114" s="4" t="str">
        <f>IF($A114&gt;MAX(CuttingList!$I$3:$I$202),"",MATCH($A114,CuttingList!$H$3:$H$202,1))</f>
        <v/>
      </c>
      <c r="C114" s="3" t="str">
        <f>IF($B114="","",INDEX(CuttingList!$A$3:$A$202,$B114))</f>
        <v/>
      </c>
      <c r="D114" s="4" t="str">
        <f>IF($B114="","",INDEX(CuttingList!$B$3:$B$202,$B114))</f>
        <v/>
      </c>
      <c r="E114" s="4" t="str">
        <f>IF($B114="","",INDEX(CuttingList!$C$3:$C$202,$B114))</f>
        <v/>
      </c>
      <c r="F114" s="3" t="str">
        <f>IF($B114="","",INDEX(CuttingList!$E$3:$E$202,$B114))</f>
        <v/>
      </c>
      <c r="G114" s="4" t="str">
        <f t="shared" si="3"/>
        <v/>
      </c>
      <c r="H114" s="4" t="str">
        <f t="shared" si="4"/>
        <v/>
      </c>
      <c r="I114" s="4" t="str">
        <f t="shared" si="5"/>
        <v/>
      </c>
    </row>
    <row r="115" spans="1:9" x14ac:dyDescent="0.2">
      <c r="A115" s="4">
        <v>113</v>
      </c>
      <c r="B115" s="4" t="str">
        <f>IF($A115&gt;MAX(CuttingList!$I$3:$I$202),"",MATCH($A115,CuttingList!$H$3:$H$202,1))</f>
        <v/>
      </c>
      <c r="C115" s="3" t="str">
        <f>IF($B115="","",INDEX(CuttingList!$A$3:$A$202,$B115))</f>
        <v/>
      </c>
      <c r="D115" s="4" t="str">
        <f>IF($B115="","",INDEX(CuttingList!$B$3:$B$202,$B115))</f>
        <v/>
      </c>
      <c r="E115" s="4" t="str">
        <f>IF($B115="","",INDEX(CuttingList!$C$3:$C$202,$B115))</f>
        <v/>
      </c>
      <c r="F115" s="3" t="str">
        <f>IF($B115="","",INDEX(CuttingList!$E$3:$E$202,$B115))</f>
        <v/>
      </c>
      <c r="G115" s="4" t="str">
        <f t="shared" si="3"/>
        <v/>
      </c>
      <c r="H115" s="4" t="str">
        <f t="shared" si="4"/>
        <v/>
      </c>
      <c r="I115" s="4" t="str">
        <f t="shared" si="5"/>
        <v/>
      </c>
    </row>
    <row r="116" spans="1:9" x14ac:dyDescent="0.2">
      <c r="A116" s="4">
        <v>114</v>
      </c>
      <c r="B116" s="4" t="str">
        <f>IF($A116&gt;MAX(CuttingList!$I$3:$I$202),"",MATCH($A116,CuttingList!$H$3:$H$202,1))</f>
        <v/>
      </c>
      <c r="C116" s="3" t="str">
        <f>IF($B116="","",INDEX(CuttingList!$A$3:$A$202,$B116))</f>
        <v/>
      </c>
      <c r="D116" s="4" t="str">
        <f>IF($B116="","",INDEX(CuttingList!$B$3:$B$202,$B116))</f>
        <v/>
      </c>
      <c r="E116" s="4" t="str">
        <f>IF($B116="","",INDEX(CuttingList!$C$3:$C$202,$B116))</f>
        <v/>
      </c>
      <c r="F116" s="3" t="str">
        <f>IF($B116="","",INDEX(CuttingList!$E$3:$E$202,$B116))</f>
        <v/>
      </c>
      <c r="G116" s="4" t="str">
        <f t="shared" si="3"/>
        <v/>
      </c>
      <c r="H116" s="4" t="str">
        <f t="shared" si="4"/>
        <v/>
      </c>
      <c r="I116" s="4" t="str">
        <f t="shared" si="5"/>
        <v/>
      </c>
    </row>
    <row r="117" spans="1:9" x14ac:dyDescent="0.2">
      <c r="A117" s="4">
        <v>115</v>
      </c>
      <c r="B117" s="4" t="str">
        <f>IF($A117&gt;MAX(CuttingList!$I$3:$I$202),"",MATCH($A117,CuttingList!$H$3:$H$202,1))</f>
        <v/>
      </c>
      <c r="C117" s="3" t="str">
        <f>IF($B117="","",INDEX(CuttingList!$A$3:$A$202,$B117))</f>
        <v/>
      </c>
      <c r="D117" s="4" t="str">
        <f>IF($B117="","",INDEX(CuttingList!$B$3:$B$202,$B117))</f>
        <v/>
      </c>
      <c r="E117" s="4" t="str">
        <f>IF($B117="","",INDEX(CuttingList!$C$3:$C$202,$B117))</f>
        <v/>
      </c>
      <c r="F117" s="3" t="str">
        <f>IF($B117="","",INDEX(CuttingList!$E$3:$E$202,$B117))</f>
        <v/>
      </c>
      <c r="G117" s="4" t="str">
        <f t="shared" si="3"/>
        <v/>
      </c>
      <c r="H117" s="4" t="str">
        <f t="shared" si="4"/>
        <v/>
      </c>
      <c r="I117" s="4" t="str">
        <f t="shared" si="5"/>
        <v/>
      </c>
    </row>
    <row r="118" spans="1:9" x14ac:dyDescent="0.2">
      <c r="A118" s="4">
        <v>116</v>
      </c>
      <c r="B118" s="4" t="str">
        <f>IF($A118&gt;MAX(CuttingList!$I$3:$I$202),"",MATCH($A118,CuttingList!$H$3:$H$202,1))</f>
        <v/>
      </c>
      <c r="C118" s="3" t="str">
        <f>IF($B118="","",INDEX(CuttingList!$A$3:$A$202,$B118))</f>
        <v/>
      </c>
      <c r="D118" s="4" t="str">
        <f>IF($B118="","",INDEX(CuttingList!$B$3:$B$202,$B118))</f>
        <v/>
      </c>
      <c r="E118" s="4" t="str">
        <f>IF($B118="","",INDEX(CuttingList!$C$3:$C$202,$B118))</f>
        <v/>
      </c>
      <c r="F118" s="3" t="str">
        <f>IF($B118="","",INDEX(CuttingList!$E$3:$E$202,$B118))</f>
        <v/>
      </c>
      <c r="G118" s="4" t="str">
        <f t="shared" si="3"/>
        <v/>
      </c>
      <c r="H118" s="4" t="str">
        <f t="shared" si="4"/>
        <v/>
      </c>
      <c r="I118" s="4" t="str">
        <f t="shared" si="5"/>
        <v/>
      </c>
    </row>
    <row r="119" spans="1:9" x14ac:dyDescent="0.2">
      <c r="A119" s="4">
        <v>117</v>
      </c>
      <c r="B119" s="4" t="str">
        <f>IF($A119&gt;MAX(CuttingList!$I$3:$I$202),"",MATCH($A119,CuttingList!$H$3:$H$202,1))</f>
        <v/>
      </c>
      <c r="C119" s="3" t="str">
        <f>IF($B119="","",INDEX(CuttingList!$A$3:$A$202,$B119))</f>
        <v/>
      </c>
      <c r="D119" s="4" t="str">
        <f>IF($B119="","",INDEX(CuttingList!$B$3:$B$202,$B119))</f>
        <v/>
      </c>
      <c r="E119" s="4" t="str">
        <f>IF($B119="","",INDEX(CuttingList!$C$3:$C$202,$B119))</f>
        <v/>
      </c>
      <c r="F119" s="3" t="str">
        <f>IF($B119="","",INDEX(CuttingList!$E$3:$E$202,$B119))</f>
        <v/>
      </c>
      <c r="G119" s="4" t="str">
        <f t="shared" si="3"/>
        <v/>
      </c>
      <c r="H119" s="4" t="str">
        <f t="shared" si="4"/>
        <v/>
      </c>
      <c r="I119" s="4" t="str">
        <f t="shared" si="5"/>
        <v/>
      </c>
    </row>
    <row r="120" spans="1:9" x14ac:dyDescent="0.2">
      <c r="A120" s="4">
        <v>118</v>
      </c>
      <c r="B120" s="4" t="str">
        <f>IF($A120&gt;MAX(CuttingList!$I$3:$I$202),"",MATCH($A120,CuttingList!$H$3:$H$202,1))</f>
        <v/>
      </c>
      <c r="C120" s="3" t="str">
        <f>IF($B120="","",INDEX(CuttingList!$A$3:$A$202,$B120))</f>
        <v/>
      </c>
      <c r="D120" s="4" t="str">
        <f>IF($B120="","",INDEX(CuttingList!$B$3:$B$202,$B120))</f>
        <v/>
      </c>
      <c r="E120" s="4" t="str">
        <f>IF($B120="","",INDEX(CuttingList!$C$3:$C$202,$B120))</f>
        <v/>
      </c>
      <c r="F120" s="3" t="str">
        <f>IF($B120="","",INDEX(CuttingList!$E$3:$E$202,$B120))</f>
        <v/>
      </c>
      <c r="G120" s="4" t="str">
        <f t="shared" si="3"/>
        <v/>
      </c>
      <c r="H120" s="4" t="str">
        <f t="shared" si="4"/>
        <v/>
      </c>
      <c r="I120" s="4" t="str">
        <f t="shared" si="5"/>
        <v/>
      </c>
    </row>
    <row r="121" spans="1:9" x14ac:dyDescent="0.2">
      <c r="A121" s="4">
        <v>119</v>
      </c>
      <c r="B121" s="4" t="str">
        <f>IF($A121&gt;MAX(CuttingList!$I$3:$I$202),"",MATCH($A121,CuttingList!$H$3:$H$202,1))</f>
        <v/>
      </c>
      <c r="C121" s="3" t="str">
        <f>IF($B121="","",INDEX(CuttingList!$A$3:$A$202,$B121))</f>
        <v/>
      </c>
      <c r="D121" s="4" t="str">
        <f>IF($B121="","",INDEX(CuttingList!$B$3:$B$202,$B121))</f>
        <v/>
      </c>
      <c r="E121" s="4" t="str">
        <f>IF($B121="","",INDEX(CuttingList!$C$3:$C$202,$B121))</f>
        <v/>
      </c>
      <c r="F121" s="3" t="str">
        <f>IF($B121="","",INDEX(CuttingList!$E$3:$E$202,$B121))</f>
        <v/>
      </c>
      <c r="G121" s="4" t="str">
        <f t="shared" si="3"/>
        <v/>
      </c>
      <c r="H121" s="4" t="str">
        <f t="shared" si="4"/>
        <v/>
      </c>
      <c r="I121" s="4" t="str">
        <f t="shared" si="5"/>
        <v/>
      </c>
    </row>
    <row r="122" spans="1:9" x14ac:dyDescent="0.2">
      <c r="A122" s="4">
        <v>120</v>
      </c>
      <c r="B122" s="4" t="str">
        <f>IF($A122&gt;MAX(CuttingList!$I$3:$I$202),"",MATCH($A122,CuttingList!$H$3:$H$202,1))</f>
        <v/>
      </c>
      <c r="C122" s="3" t="str">
        <f>IF($B122="","",INDEX(CuttingList!$A$3:$A$202,$B122))</f>
        <v/>
      </c>
      <c r="D122" s="4" t="str">
        <f>IF($B122="","",INDEX(CuttingList!$B$3:$B$202,$B122))</f>
        <v/>
      </c>
      <c r="E122" s="4" t="str">
        <f>IF($B122="","",INDEX(CuttingList!$C$3:$C$202,$B122))</f>
        <v/>
      </c>
      <c r="F122" s="3" t="str">
        <f>IF($B122="","",INDEX(CuttingList!$E$3:$E$202,$B122))</f>
        <v/>
      </c>
      <c r="G122" s="4" t="str">
        <f t="shared" si="3"/>
        <v/>
      </c>
      <c r="H122" s="4" t="str">
        <f t="shared" si="4"/>
        <v/>
      </c>
      <c r="I122" s="4" t="str">
        <f t="shared" si="5"/>
        <v/>
      </c>
    </row>
    <row r="123" spans="1:9" x14ac:dyDescent="0.2">
      <c r="A123" s="4">
        <v>121</v>
      </c>
      <c r="B123" s="4" t="str">
        <f>IF($A123&gt;MAX(CuttingList!$I$3:$I$202),"",MATCH($A123,CuttingList!$H$3:$H$202,1))</f>
        <v/>
      </c>
      <c r="C123" s="3" t="str">
        <f>IF($B123="","",INDEX(CuttingList!$A$3:$A$202,$B123))</f>
        <v/>
      </c>
      <c r="D123" s="4" t="str">
        <f>IF($B123="","",INDEX(CuttingList!$B$3:$B$202,$B123))</f>
        <v/>
      </c>
      <c r="E123" s="4" t="str">
        <f>IF($B123="","",INDEX(CuttingList!$C$3:$C$202,$B123))</f>
        <v/>
      </c>
      <c r="F123" s="3" t="str">
        <f>IF($B123="","",INDEX(CuttingList!$E$3:$E$202,$B123))</f>
        <v/>
      </c>
      <c r="G123" s="4" t="str">
        <f t="shared" si="3"/>
        <v/>
      </c>
      <c r="H123" s="4" t="str">
        <f t="shared" si="4"/>
        <v/>
      </c>
      <c r="I123" s="4" t="str">
        <f t="shared" si="5"/>
        <v/>
      </c>
    </row>
    <row r="124" spans="1:9" x14ac:dyDescent="0.2">
      <c r="A124" s="4">
        <v>122</v>
      </c>
      <c r="B124" s="4" t="str">
        <f>IF($A124&gt;MAX(CuttingList!$I$3:$I$202),"",MATCH($A124,CuttingList!$H$3:$H$202,1))</f>
        <v/>
      </c>
      <c r="C124" s="3" t="str">
        <f>IF($B124="","",INDEX(CuttingList!$A$3:$A$202,$B124))</f>
        <v/>
      </c>
      <c r="D124" s="4" t="str">
        <f>IF($B124="","",INDEX(CuttingList!$B$3:$B$202,$B124))</f>
        <v/>
      </c>
      <c r="E124" s="4" t="str">
        <f>IF($B124="","",INDEX(CuttingList!$C$3:$C$202,$B124))</f>
        <v/>
      </c>
      <c r="F124" s="3" t="str">
        <f>IF($B124="","",INDEX(CuttingList!$E$3:$E$202,$B124))</f>
        <v/>
      </c>
      <c r="G124" s="4" t="str">
        <f t="shared" si="3"/>
        <v/>
      </c>
      <c r="H124" s="4" t="str">
        <f t="shared" si="4"/>
        <v/>
      </c>
      <c r="I124" s="4" t="str">
        <f t="shared" si="5"/>
        <v/>
      </c>
    </row>
    <row r="125" spans="1:9" x14ac:dyDescent="0.2">
      <c r="A125" s="4">
        <v>123</v>
      </c>
      <c r="B125" s="4" t="str">
        <f>IF($A125&gt;MAX(CuttingList!$I$3:$I$202),"",MATCH($A125,CuttingList!$H$3:$H$202,1))</f>
        <v/>
      </c>
      <c r="C125" s="3" t="str">
        <f>IF($B125="","",INDEX(CuttingList!$A$3:$A$202,$B125))</f>
        <v/>
      </c>
      <c r="D125" s="4" t="str">
        <f>IF($B125="","",INDEX(CuttingList!$B$3:$B$202,$B125))</f>
        <v/>
      </c>
      <c r="E125" s="4" t="str">
        <f>IF($B125="","",INDEX(CuttingList!$C$3:$C$202,$B125))</f>
        <v/>
      </c>
      <c r="F125" s="3" t="str">
        <f>IF($B125="","",INDEX(CuttingList!$E$3:$E$202,$B125))</f>
        <v/>
      </c>
      <c r="G125" s="4" t="str">
        <f t="shared" si="3"/>
        <v/>
      </c>
      <c r="H125" s="4" t="str">
        <f t="shared" si="4"/>
        <v/>
      </c>
      <c r="I125" s="4" t="str">
        <f t="shared" si="5"/>
        <v/>
      </c>
    </row>
    <row r="126" spans="1:9" x14ac:dyDescent="0.2">
      <c r="A126" s="4">
        <v>124</v>
      </c>
      <c r="B126" s="4" t="str">
        <f>IF($A126&gt;MAX(CuttingList!$I$3:$I$202),"",MATCH($A126,CuttingList!$H$3:$H$202,1))</f>
        <v/>
      </c>
      <c r="C126" s="3" t="str">
        <f>IF($B126="","",INDEX(CuttingList!$A$3:$A$202,$B126))</f>
        <v/>
      </c>
      <c r="D126" s="4" t="str">
        <f>IF($B126="","",INDEX(CuttingList!$B$3:$B$202,$B126))</f>
        <v/>
      </c>
      <c r="E126" s="4" t="str">
        <f>IF($B126="","",INDEX(CuttingList!$C$3:$C$202,$B126))</f>
        <v/>
      </c>
      <c r="F126" s="3" t="str">
        <f>IF($B126="","",INDEX(CuttingList!$E$3:$E$202,$B126))</f>
        <v/>
      </c>
      <c r="G126" s="4" t="str">
        <f t="shared" si="3"/>
        <v/>
      </c>
      <c r="H126" s="4" t="str">
        <f t="shared" si="4"/>
        <v/>
      </c>
      <c r="I126" s="4" t="str">
        <f t="shared" si="5"/>
        <v/>
      </c>
    </row>
    <row r="127" spans="1:9" x14ac:dyDescent="0.2">
      <c r="A127" s="4">
        <v>125</v>
      </c>
      <c r="B127" s="4" t="str">
        <f>IF($A127&gt;MAX(CuttingList!$I$3:$I$202),"",MATCH($A127,CuttingList!$H$3:$H$202,1))</f>
        <v/>
      </c>
      <c r="C127" s="3" t="str">
        <f>IF($B127="","",INDEX(CuttingList!$A$3:$A$202,$B127))</f>
        <v/>
      </c>
      <c r="D127" s="4" t="str">
        <f>IF($B127="","",INDEX(CuttingList!$B$3:$B$202,$B127))</f>
        <v/>
      </c>
      <c r="E127" s="4" t="str">
        <f>IF($B127="","",INDEX(CuttingList!$C$3:$C$202,$B127))</f>
        <v/>
      </c>
      <c r="F127" s="3" t="str">
        <f>IF($B127="","",INDEX(CuttingList!$E$3:$E$202,$B127))</f>
        <v/>
      </c>
      <c r="G127" s="4" t="str">
        <f t="shared" si="3"/>
        <v/>
      </c>
      <c r="H127" s="4" t="str">
        <f t="shared" si="4"/>
        <v/>
      </c>
      <c r="I127" s="4" t="str">
        <f t="shared" si="5"/>
        <v/>
      </c>
    </row>
    <row r="128" spans="1:9" x14ac:dyDescent="0.2">
      <c r="A128" s="4">
        <v>126</v>
      </c>
      <c r="B128" s="4" t="str">
        <f>IF($A128&gt;MAX(CuttingList!$I$3:$I$202),"",MATCH($A128,CuttingList!$H$3:$H$202,1))</f>
        <v/>
      </c>
      <c r="C128" s="3" t="str">
        <f>IF($B128="","",INDEX(CuttingList!$A$3:$A$202,$B128))</f>
        <v/>
      </c>
      <c r="D128" s="4" t="str">
        <f>IF($B128="","",INDEX(CuttingList!$B$3:$B$202,$B128))</f>
        <v/>
      </c>
      <c r="E128" s="4" t="str">
        <f>IF($B128="","",INDEX(CuttingList!$C$3:$C$202,$B128))</f>
        <v/>
      </c>
      <c r="F128" s="3" t="str">
        <f>IF($B128="","",INDEX(CuttingList!$E$3:$E$202,$B128))</f>
        <v/>
      </c>
      <c r="G128" s="4" t="str">
        <f t="shared" si="3"/>
        <v/>
      </c>
      <c r="H128" s="4" t="str">
        <f t="shared" si="4"/>
        <v/>
      </c>
      <c r="I128" s="4" t="str">
        <f t="shared" si="5"/>
        <v/>
      </c>
    </row>
    <row r="129" spans="1:9" x14ac:dyDescent="0.2">
      <c r="A129" s="4">
        <v>127</v>
      </c>
      <c r="B129" s="4" t="str">
        <f>IF($A129&gt;MAX(CuttingList!$I$3:$I$202),"",MATCH($A129,CuttingList!$H$3:$H$202,1))</f>
        <v/>
      </c>
      <c r="C129" s="3" t="str">
        <f>IF($B129="","",INDEX(CuttingList!$A$3:$A$202,$B129))</f>
        <v/>
      </c>
      <c r="D129" s="4" t="str">
        <f>IF($B129="","",INDEX(CuttingList!$B$3:$B$202,$B129))</f>
        <v/>
      </c>
      <c r="E129" s="4" t="str">
        <f>IF($B129="","",INDEX(CuttingList!$C$3:$C$202,$B129))</f>
        <v/>
      </c>
      <c r="F129" s="3" t="str">
        <f>IF($B129="","",INDEX(CuttingList!$E$3:$E$202,$B129))</f>
        <v/>
      </c>
      <c r="G129" s="4" t="str">
        <f t="shared" si="3"/>
        <v/>
      </c>
      <c r="H129" s="4" t="str">
        <f t="shared" si="4"/>
        <v/>
      </c>
      <c r="I129" s="4" t="str">
        <f t="shared" si="5"/>
        <v/>
      </c>
    </row>
    <row r="130" spans="1:9" x14ac:dyDescent="0.2">
      <c r="A130" s="4">
        <v>128</v>
      </c>
      <c r="B130" s="4" t="str">
        <f>IF($A130&gt;MAX(CuttingList!$I$3:$I$202),"",MATCH($A130,CuttingList!$H$3:$H$202,1))</f>
        <v/>
      </c>
      <c r="C130" s="3" t="str">
        <f>IF($B130="","",INDEX(CuttingList!$A$3:$A$202,$B130))</f>
        <v/>
      </c>
      <c r="D130" s="4" t="str">
        <f>IF($B130="","",INDEX(CuttingList!$B$3:$B$202,$B130))</f>
        <v/>
      </c>
      <c r="E130" s="4" t="str">
        <f>IF($B130="","",INDEX(CuttingList!$C$3:$C$202,$B130))</f>
        <v/>
      </c>
      <c r="F130" s="3" t="str">
        <f>IF($B130="","",INDEX(CuttingList!$E$3:$E$202,$B130))</f>
        <v/>
      </c>
      <c r="G130" s="4" t="str">
        <f t="shared" si="3"/>
        <v/>
      </c>
      <c r="H130" s="4" t="str">
        <f t="shared" si="4"/>
        <v/>
      </c>
      <c r="I130" s="4" t="str">
        <f t="shared" si="5"/>
        <v/>
      </c>
    </row>
    <row r="131" spans="1:9" x14ac:dyDescent="0.2">
      <c r="A131" s="4">
        <v>129</v>
      </c>
      <c r="B131" s="4" t="str">
        <f>IF($A131&gt;MAX(CuttingList!$I$3:$I$202),"",MATCH($A131,CuttingList!$H$3:$H$202,1))</f>
        <v/>
      </c>
      <c r="C131" s="3" t="str">
        <f>IF($B131="","",INDEX(CuttingList!$A$3:$A$202,$B131))</f>
        <v/>
      </c>
      <c r="D131" s="4" t="str">
        <f>IF($B131="","",INDEX(CuttingList!$B$3:$B$202,$B131))</f>
        <v/>
      </c>
      <c r="E131" s="4" t="str">
        <f>IF($B131="","",INDEX(CuttingList!$C$3:$C$202,$B131))</f>
        <v/>
      </c>
      <c r="F131" s="3" t="str">
        <f>IF($B131="","",INDEX(CuttingList!$E$3:$E$202,$B131))</f>
        <v/>
      </c>
      <c r="G131" s="4" t="str">
        <f t="shared" ref="G131:G194" si="6">IF(OR($D131="",$E131=""),"",($D131*$E131)/1000000)</f>
        <v/>
      </c>
      <c r="H131" s="4" t="str">
        <f t="shared" ref="H131:H194" si="7">IF(OR($D131="",$E131=""),"",MAX($D131,$E131))</f>
        <v/>
      </c>
      <c r="I131" s="4" t="str">
        <f t="shared" ref="I131:I194" si="8">IF($E131="","",$E131)</f>
        <v/>
      </c>
    </row>
    <row r="132" spans="1:9" x14ac:dyDescent="0.2">
      <c r="A132" s="4">
        <v>130</v>
      </c>
      <c r="B132" s="4" t="str">
        <f>IF($A132&gt;MAX(CuttingList!$I$3:$I$202),"",MATCH($A132,CuttingList!$H$3:$H$202,1))</f>
        <v/>
      </c>
      <c r="C132" s="3" t="str">
        <f>IF($B132="","",INDEX(CuttingList!$A$3:$A$202,$B132))</f>
        <v/>
      </c>
      <c r="D132" s="4" t="str">
        <f>IF($B132="","",INDEX(CuttingList!$B$3:$B$202,$B132))</f>
        <v/>
      </c>
      <c r="E132" s="4" t="str">
        <f>IF($B132="","",INDEX(CuttingList!$C$3:$C$202,$B132))</f>
        <v/>
      </c>
      <c r="F132" s="3" t="str">
        <f>IF($B132="","",INDEX(CuttingList!$E$3:$E$202,$B132))</f>
        <v/>
      </c>
      <c r="G132" s="4" t="str">
        <f t="shared" si="6"/>
        <v/>
      </c>
      <c r="H132" s="4" t="str">
        <f t="shared" si="7"/>
        <v/>
      </c>
      <c r="I132" s="4" t="str">
        <f t="shared" si="8"/>
        <v/>
      </c>
    </row>
    <row r="133" spans="1:9" x14ac:dyDescent="0.2">
      <c r="A133" s="4">
        <v>131</v>
      </c>
      <c r="B133" s="4" t="str">
        <f>IF($A133&gt;MAX(CuttingList!$I$3:$I$202),"",MATCH($A133,CuttingList!$H$3:$H$202,1))</f>
        <v/>
      </c>
      <c r="C133" s="3" t="str">
        <f>IF($B133="","",INDEX(CuttingList!$A$3:$A$202,$B133))</f>
        <v/>
      </c>
      <c r="D133" s="4" t="str">
        <f>IF($B133="","",INDEX(CuttingList!$B$3:$B$202,$B133))</f>
        <v/>
      </c>
      <c r="E133" s="4" t="str">
        <f>IF($B133="","",INDEX(CuttingList!$C$3:$C$202,$B133))</f>
        <v/>
      </c>
      <c r="F133" s="3" t="str">
        <f>IF($B133="","",INDEX(CuttingList!$E$3:$E$202,$B133))</f>
        <v/>
      </c>
      <c r="G133" s="4" t="str">
        <f t="shared" si="6"/>
        <v/>
      </c>
      <c r="H133" s="4" t="str">
        <f t="shared" si="7"/>
        <v/>
      </c>
      <c r="I133" s="4" t="str">
        <f t="shared" si="8"/>
        <v/>
      </c>
    </row>
    <row r="134" spans="1:9" x14ac:dyDescent="0.2">
      <c r="A134" s="4">
        <v>132</v>
      </c>
      <c r="B134" s="4" t="str">
        <f>IF($A134&gt;MAX(CuttingList!$I$3:$I$202),"",MATCH($A134,CuttingList!$H$3:$H$202,1))</f>
        <v/>
      </c>
      <c r="C134" s="3" t="str">
        <f>IF($B134="","",INDEX(CuttingList!$A$3:$A$202,$B134))</f>
        <v/>
      </c>
      <c r="D134" s="4" t="str">
        <f>IF($B134="","",INDEX(CuttingList!$B$3:$B$202,$B134))</f>
        <v/>
      </c>
      <c r="E134" s="4" t="str">
        <f>IF($B134="","",INDEX(CuttingList!$C$3:$C$202,$B134))</f>
        <v/>
      </c>
      <c r="F134" s="3" t="str">
        <f>IF($B134="","",INDEX(CuttingList!$E$3:$E$202,$B134))</f>
        <v/>
      </c>
      <c r="G134" s="4" t="str">
        <f t="shared" si="6"/>
        <v/>
      </c>
      <c r="H134" s="4" t="str">
        <f t="shared" si="7"/>
        <v/>
      </c>
      <c r="I134" s="4" t="str">
        <f t="shared" si="8"/>
        <v/>
      </c>
    </row>
    <row r="135" spans="1:9" x14ac:dyDescent="0.2">
      <c r="A135" s="4">
        <v>133</v>
      </c>
      <c r="B135" s="4" t="str">
        <f>IF($A135&gt;MAX(CuttingList!$I$3:$I$202),"",MATCH($A135,CuttingList!$H$3:$H$202,1))</f>
        <v/>
      </c>
      <c r="C135" s="3" t="str">
        <f>IF($B135="","",INDEX(CuttingList!$A$3:$A$202,$B135))</f>
        <v/>
      </c>
      <c r="D135" s="4" t="str">
        <f>IF($B135="","",INDEX(CuttingList!$B$3:$B$202,$B135))</f>
        <v/>
      </c>
      <c r="E135" s="4" t="str">
        <f>IF($B135="","",INDEX(CuttingList!$C$3:$C$202,$B135))</f>
        <v/>
      </c>
      <c r="F135" s="3" t="str">
        <f>IF($B135="","",INDEX(CuttingList!$E$3:$E$202,$B135))</f>
        <v/>
      </c>
      <c r="G135" s="4" t="str">
        <f t="shared" si="6"/>
        <v/>
      </c>
      <c r="H135" s="4" t="str">
        <f t="shared" si="7"/>
        <v/>
      </c>
      <c r="I135" s="4" t="str">
        <f t="shared" si="8"/>
        <v/>
      </c>
    </row>
    <row r="136" spans="1:9" x14ac:dyDescent="0.2">
      <c r="A136" s="4">
        <v>134</v>
      </c>
      <c r="B136" s="4" t="str">
        <f>IF($A136&gt;MAX(CuttingList!$I$3:$I$202),"",MATCH($A136,CuttingList!$H$3:$H$202,1))</f>
        <v/>
      </c>
      <c r="C136" s="3" t="str">
        <f>IF($B136="","",INDEX(CuttingList!$A$3:$A$202,$B136))</f>
        <v/>
      </c>
      <c r="D136" s="4" t="str">
        <f>IF($B136="","",INDEX(CuttingList!$B$3:$B$202,$B136))</f>
        <v/>
      </c>
      <c r="E136" s="4" t="str">
        <f>IF($B136="","",INDEX(CuttingList!$C$3:$C$202,$B136))</f>
        <v/>
      </c>
      <c r="F136" s="3" t="str">
        <f>IF($B136="","",INDEX(CuttingList!$E$3:$E$202,$B136))</f>
        <v/>
      </c>
      <c r="G136" s="4" t="str">
        <f t="shared" si="6"/>
        <v/>
      </c>
      <c r="H136" s="4" t="str">
        <f t="shared" si="7"/>
        <v/>
      </c>
      <c r="I136" s="4" t="str">
        <f t="shared" si="8"/>
        <v/>
      </c>
    </row>
    <row r="137" spans="1:9" x14ac:dyDescent="0.2">
      <c r="A137" s="4">
        <v>135</v>
      </c>
      <c r="B137" s="4" t="str">
        <f>IF($A137&gt;MAX(CuttingList!$I$3:$I$202),"",MATCH($A137,CuttingList!$H$3:$H$202,1))</f>
        <v/>
      </c>
      <c r="C137" s="3" t="str">
        <f>IF($B137="","",INDEX(CuttingList!$A$3:$A$202,$B137))</f>
        <v/>
      </c>
      <c r="D137" s="4" t="str">
        <f>IF($B137="","",INDEX(CuttingList!$B$3:$B$202,$B137))</f>
        <v/>
      </c>
      <c r="E137" s="4" t="str">
        <f>IF($B137="","",INDEX(CuttingList!$C$3:$C$202,$B137))</f>
        <v/>
      </c>
      <c r="F137" s="3" t="str">
        <f>IF($B137="","",INDEX(CuttingList!$E$3:$E$202,$B137))</f>
        <v/>
      </c>
      <c r="G137" s="4" t="str">
        <f t="shared" si="6"/>
        <v/>
      </c>
      <c r="H137" s="4" t="str">
        <f t="shared" si="7"/>
        <v/>
      </c>
      <c r="I137" s="4" t="str">
        <f t="shared" si="8"/>
        <v/>
      </c>
    </row>
    <row r="138" spans="1:9" x14ac:dyDescent="0.2">
      <c r="A138" s="4">
        <v>136</v>
      </c>
      <c r="B138" s="4" t="str">
        <f>IF($A138&gt;MAX(CuttingList!$I$3:$I$202),"",MATCH($A138,CuttingList!$H$3:$H$202,1))</f>
        <v/>
      </c>
      <c r="C138" s="3" t="str">
        <f>IF($B138="","",INDEX(CuttingList!$A$3:$A$202,$B138))</f>
        <v/>
      </c>
      <c r="D138" s="4" t="str">
        <f>IF($B138="","",INDEX(CuttingList!$B$3:$B$202,$B138))</f>
        <v/>
      </c>
      <c r="E138" s="4" t="str">
        <f>IF($B138="","",INDEX(CuttingList!$C$3:$C$202,$B138))</f>
        <v/>
      </c>
      <c r="F138" s="3" t="str">
        <f>IF($B138="","",INDEX(CuttingList!$E$3:$E$202,$B138))</f>
        <v/>
      </c>
      <c r="G138" s="4" t="str">
        <f t="shared" si="6"/>
        <v/>
      </c>
      <c r="H138" s="4" t="str">
        <f t="shared" si="7"/>
        <v/>
      </c>
      <c r="I138" s="4" t="str">
        <f t="shared" si="8"/>
        <v/>
      </c>
    </row>
    <row r="139" spans="1:9" x14ac:dyDescent="0.2">
      <c r="A139" s="4">
        <v>137</v>
      </c>
      <c r="B139" s="4" t="str">
        <f>IF($A139&gt;MAX(CuttingList!$I$3:$I$202),"",MATCH($A139,CuttingList!$H$3:$H$202,1))</f>
        <v/>
      </c>
      <c r="C139" s="3" t="str">
        <f>IF($B139="","",INDEX(CuttingList!$A$3:$A$202,$B139))</f>
        <v/>
      </c>
      <c r="D139" s="4" t="str">
        <f>IF($B139="","",INDEX(CuttingList!$B$3:$B$202,$B139))</f>
        <v/>
      </c>
      <c r="E139" s="4" t="str">
        <f>IF($B139="","",INDEX(CuttingList!$C$3:$C$202,$B139))</f>
        <v/>
      </c>
      <c r="F139" s="3" t="str">
        <f>IF($B139="","",INDEX(CuttingList!$E$3:$E$202,$B139))</f>
        <v/>
      </c>
      <c r="G139" s="4" t="str">
        <f t="shared" si="6"/>
        <v/>
      </c>
      <c r="H139" s="4" t="str">
        <f t="shared" si="7"/>
        <v/>
      </c>
      <c r="I139" s="4" t="str">
        <f t="shared" si="8"/>
        <v/>
      </c>
    </row>
    <row r="140" spans="1:9" x14ac:dyDescent="0.2">
      <c r="A140" s="4">
        <v>138</v>
      </c>
      <c r="B140" s="4" t="str">
        <f>IF($A140&gt;MAX(CuttingList!$I$3:$I$202),"",MATCH($A140,CuttingList!$H$3:$H$202,1))</f>
        <v/>
      </c>
      <c r="C140" s="3" t="str">
        <f>IF($B140="","",INDEX(CuttingList!$A$3:$A$202,$B140))</f>
        <v/>
      </c>
      <c r="D140" s="4" t="str">
        <f>IF($B140="","",INDEX(CuttingList!$B$3:$B$202,$B140))</f>
        <v/>
      </c>
      <c r="E140" s="4" t="str">
        <f>IF($B140="","",INDEX(CuttingList!$C$3:$C$202,$B140))</f>
        <v/>
      </c>
      <c r="F140" s="3" t="str">
        <f>IF($B140="","",INDEX(CuttingList!$E$3:$E$202,$B140))</f>
        <v/>
      </c>
      <c r="G140" s="4" t="str">
        <f t="shared" si="6"/>
        <v/>
      </c>
      <c r="H140" s="4" t="str">
        <f t="shared" si="7"/>
        <v/>
      </c>
      <c r="I140" s="4" t="str">
        <f t="shared" si="8"/>
        <v/>
      </c>
    </row>
    <row r="141" spans="1:9" x14ac:dyDescent="0.2">
      <c r="A141" s="4">
        <v>139</v>
      </c>
      <c r="B141" s="4" t="str">
        <f>IF($A141&gt;MAX(CuttingList!$I$3:$I$202),"",MATCH($A141,CuttingList!$H$3:$H$202,1))</f>
        <v/>
      </c>
      <c r="C141" s="3" t="str">
        <f>IF($B141="","",INDEX(CuttingList!$A$3:$A$202,$B141))</f>
        <v/>
      </c>
      <c r="D141" s="4" t="str">
        <f>IF($B141="","",INDEX(CuttingList!$B$3:$B$202,$B141))</f>
        <v/>
      </c>
      <c r="E141" s="4" t="str">
        <f>IF($B141="","",INDEX(CuttingList!$C$3:$C$202,$B141))</f>
        <v/>
      </c>
      <c r="F141" s="3" t="str">
        <f>IF($B141="","",INDEX(CuttingList!$E$3:$E$202,$B141))</f>
        <v/>
      </c>
      <c r="G141" s="4" t="str">
        <f t="shared" si="6"/>
        <v/>
      </c>
      <c r="H141" s="4" t="str">
        <f t="shared" si="7"/>
        <v/>
      </c>
      <c r="I141" s="4" t="str">
        <f t="shared" si="8"/>
        <v/>
      </c>
    </row>
    <row r="142" spans="1:9" x14ac:dyDescent="0.2">
      <c r="A142" s="4">
        <v>140</v>
      </c>
      <c r="B142" s="4" t="str">
        <f>IF($A142&gt;MAX(CuttingList!$I$3:$I$202),"",MATCH($A142,CuttingList!$H$3:$H$202,1))</f>
        <v/>
      </c>
      <c r="C142" s="3" t="str">
        <f>IF($B142="","",INDEX(CuttingList!$A$3:$A$202,$B142))</f>
        <v/>
      </c>
      <c r="D142" s="4" t="str">
        <f>IF($B142="","",INDEX(CuttingList!$B$3:$B$202,$B142))</f>
        <v/>
      </c>
      <c r="E142" s="4" t="str">
        <f>IF($B142="","",INDEX(CuttingList!$C$3:$C$202,$B142))</f>
        <v/>
      </c>
      <c r="F142" s="3" t="str">
        <f>IF($B142="","",INDEX(CuttingList!$E$3:$E$202,$B142))</f>
        <v/>
      </c>
      <c r="G142" s="4" t="str">
        <f t="shared" si="6"/>
        <v/>
      </c>
      <c r="H142" s="4" t="str">
        <f t="shared" si="7"/>
        <v/>
      </c>
      <c r="I142" s="4" t="str">
        <f t="shared" si="8"/>
        <v/>
      </c>
    </row>
    <row r="143" spans="1:9" x14ac:dyDescent="0.2">
      <c r="A143" s="4">
        <v>141</v>
      </c>
      <c r="B143" s="4" t="str">
        <f>IF($A143&gt;MAX(CuttingList!$I$3:$I$202),"",MATCH($A143,CuttingList!$H$3:$H$202,1))</f>
        <v/>
      </c>
      <c r="C143" s="3" t="str">
        <f>IF($B143="","",INDEX(CuttingList!$A$3:$A$202,$B143))</f>
        <v/>
      </c>
      <c r="D143" s="4" t="str">
        <f>IF($B143="","",INDEX(CuttingList!$B$3:$B$202,$B143))</f>
        <v/>
      </c>
      <c r="E143" s="4" t="str">
        <f>IF($B143="","",INDEX(CuttingList!$C$3:$C$202,$B143))</f>
        <v/>
      </c>
      <c r="F143" s="3" t="str">
        <f>IF($B143="","",INDEX(CuttingList!$E$3:$E$202,$B143))</f>
        <v/>
      </c>
      <c r="G143" s="4" t="str">
        <f t="shared" si="6"/>
        <v/>
      </c>
      <c r="H143" s="4" t="str">
        <f t="shared" si="7"/>
        <v/>
      </c>
      <c r="I143" s="4" t="str">
        <f t="shared" si="8"/>
        <v/>
      </c>
    </row>
    <row r="144" spans="1:9" x14ac:dyDescent="0.2">
      <c r="A144" s="4">
        <v>142</v>
      </c>
      <c r="B144" s="4" t="str">
        <f>IF($A144&gt;MAX(CuttingList!$I$3:$I$202),"",MATCH($A144,CuttingList!$H$3:$H$202,1))</f>
        <v/>
      </c>
      <c r="C144" s="3" t="str">
        <f>IF($B144="","",INDEX(CuttingList!$A$3:$A$202,$B144))</f>
        <v/>
      </c>
      <c r="D144" s="4" t="str">
        <f>IF($B144="","",INDEX(CuttingList!$B$3:$B$202,$B144))</f>
        <v/>
      </c>
      <c r="E144" s="4" t="str">
        <f>IF($B144="","",INDEX(CuttingList!$C$3:$C$202,$B144))</f>
        <v/>
      </c>
      <c r="F144" s="3" t="str">
        <f>IF($B144="","",INDEX(CuttingList!$E$3:$E$202,$B144))</f>
        <v/>
      </c>
      <c r="G144" s="4" t="str">
        <f t="shared" si="6"/>
        <v/>
      </c>
      <c r="H144" s="4" t="str">
        <f t="shared" si="7"/>
        <v/>
      </c>
      <c r="I144" s="4" t="str">
        <f t="shared" si="8"/>
        <v/>
      </c>
    </row>
    <row r="145" spans="1:9" x14ac:dyDescent="0.2">
      <c r="A145" s="4">
        <v>143</v>
      </c>
      <c r="B145" s="4" t="str">
        <f>IF($A145&gt;MAX(CuttingList!$I$3:$I$202),"",MATCH($A145,CuttingList!$H$3:$H$202,1))</f>
        <v/>
      </c>
      <c r="C145" s="3" t="str">
        <f>IF($B145="","",INDEX(CuttingList!$A$3:$A$202,$B145))</f>
        <v/>
      </c>
      <c r="D145" s="4" t="str">
        <f>IF($B145="","",INDEX(CuttingList!$B$3:$B$202,$B145))</f>
        <v/>
      </c>
      <c r="E145" s="4" t="str">
        <f>IF($B145="","",INDEX(CuttingList!$C$3:$C$202,$B145))</f>
        <v/>
      </c>
      <c r="F145" s="3" t="str">
        <f>IF($B145="","",INDEX(CuttingList!$E$3:$E$202,$B145))</f>
        <v/>
      </c>
      <c r="G145" s="4" t="str">
        <f t="shared" si="6"/>
        <v/>
      </c>
      <c r="H145" s="4" t="str">
        <f t="shared" si="7"/>
        <v/>
      </c>
      <c r="I145" s="4" t="str">
        <f t="shared" si="8"/>
        <v/>
      </c>
    </row>
    <row r="146" spans="1:9" x14ac:dyDescent="0.2">
      <c r="A146" s="4">
        <v>144</v>
      </c>
      <c r="B146" s="4" t="str">
        <f>IF($A146&gt;MAX(CuttingList!$I$3:$I$202),"",MATCH($A146,CuttingList!$H$3:$H$202,1))</f>
        <v/>
      </c>
      <c r="C146" s="3" t="str">
        <f>IF($B146="","",INDEX(CuttingList!$A$3:$A$202,$B146))</f>
        <v/>
      </c>
      <c r="D146" s="4" t="str">
        <f>IF($B146="","",INDEX(CuttingList!$B$3:$B$202,$B146))</f>
        <v/>
      </c>
      <c r="E146" s="4" t="str">
        <f>IF($B146="","",INDEX(CuttingList!$C$3:$C$202,$B146))</f>
        <v/>
      </c>
      <c r="F146" s="3" t="str">
        <f>IF($B146="","",INDEX(CuttingList!$E$3:$E$202,$B146))</f>
        <v/>
      </c>
      <c r="G146" s="4" t="str">
        <f t="shared" si="6"/>
        <v/>
      </c>
      <c r="H146" s="4" t="str">
        <f t="shared" si="7"/>
        <v/>
      </c>
      <c r="I146" s="4" t="str">
        <f t="shared" si="8"/>
        <v/>
      </c>
    </row>
    <row r="147" spans="1:9" x14ac:dyDescent="0.2">
      <c r="A147" s="4">
        <v>145</v>
      </c>
      <c r="B147" s="4" t="str">
        <f>IF($A147&gt;MAX(CuttingList!$I$3:$I$202),"",MATCH($A147,CuttingList!$H$3:$H$202,1))</f>
        <v/>
      </c>
      <c r="C147" s="3" t="str">
        <f>IF($B147="","",INDEX(CuttingList!$A$3:$A$202,$B147))</f>
        <v/>
      </c>
      <c r="D147" s="4" t="str">
        <f>IF($B147="","",INDEX(CuttingList!$B$3:$B$202,$B147))</f>
        <v/>
      </c>
      <c r="E147" s="4" t="str">
        <f>IF($B147="","",INDEX(CuttingList!$C$3:$C$202,$B147))</f>
        <v/>
      </c>
      <c r="F147" s="3" t="str">
        <f>IF($B147="","",INDEX(CuttingList!$E$3:$E$202,$B147))</f>
        <v/>
      </c>
      <c r="G147" s="4" t="str">
        <f t="shared" si="6"/>
        <v/>
      </c>
      <c r="H147" s="4" t="str">
        <f t="shared" si="7"/>
        <v/>
      </c>
      <c r="I147" s="4" t="str">
        <f t="shared" si="8"/>
        <v/>
      </c>
    </row>
    <row r="148" spans="1:9" x14ac:dyDescent="0.2">
      <c r="A148" s="4">
        <v>146</v>
      </c>
      <c r="B148" s="4" t="str">
        <f>IF($A148&gt;MAX(CuttingList!$I$3:$I$202),"",MATCH($A148,CuttingList!$H$3:$H$202,1))</f>
        <v/>
      </c>
      <c r="C148" s="3" t="str">
        <f>IF($B148="","",INDEX(CuttingList!$A$3:$A$202,$B148))</f>
        <v/>
      </c>
      <c r="D148" s="4" t="str">
        <f>IF($B148="","",INDEX(CuttingList!$B$3:$B$202,$B148))</f>
        <v/>
      </c>
      <c r="E148" s="4" t="str">
        <f>IF($B148="","",INDEX(CuttingList!$C$3:$C$202,$B148))</f>
        <v/>
      </c>
      <c r="F148" s="3" t="str">
        <f>IF($B148="","",INDEX(CuttingList!$E$3:$E$202,$B148))</f>
        <v/>
      </c>
      <c r="G148" s="4" t="str">
        <f t="shared" si="6"/>
        <v/>
      </c>
      <c r="H148" s="4" t="str">
        <f t="shared" si="7"/>
        <v/>
      </c>
      <c r="I148" s="4" t="str">
        <f t="shared" si="8"/>
        <v/>
      </c>
    </row>
    <row r="149" spans="1:9" x14ac:dyDescent="0.2">
      <c r="A149" s="4">
        <v>147</v>
      </c>
      <c r="B149" s="4" t="str">
        <f>IF($A149&gt;MAX(CuttingList!$I$3:$I$202),"",MATCH($A149,CuttingList!$H$3:$H$202,1))</f>
        <v/>
      </c>
      <c r="C149" s="3" t="str">
        <f>IF($B149="","",INDEX(CuttingList!$A$3:$A$202,$B149))</f>
        <v/>
      </c>
      <c r="D149" s="4" t="str">
        <f>IF($B149="","",INDEX(CuttingList!$B$3:$B$202,$B149))</f>
        <v/>
      </c>
      <c r="E149" s="4" t="str">
        <f>IF($B149="","",INDEX(CuttingList!$C$3:$C$202,$B149))</f>
        <v/>
      </c>
      <c r="F149" s="3" t="str">
        <f>IF($B149="","",INDEX(CuttingList!$E$3:$E$202,$B149))</f>
        <v/>
      </c>
      <c r="G149" s="4" t="str">
        <f t="shared" si="6"/>
        <v/>
      </c>
      <c r="H149" s="4" t="str">
        <f t="shared" si="7"/>
        <v/>
      </c>
      <c r="I149" s="4" t="str">
        <f t="shared" si="8"/>
        <v/>
      </c>
    </row>
    <row r="150" spans="1:9" x14ac:dyDescent="0.2">
      <c r="A150" s="4">
        <v>148</v>
      </c>
      <c r="B150" s="4" t="str">
        <f>IF($A150&gt;MAX(CuttingList!$I$3:$I$202),"",MATCH($A150,CuttingList!$H$3:$H$202,1))</f>
        <v/>
      </c>
      <c r="C150" s="3" t="str">
        <f>IF($B150="","",INDEX(CuttingList!$A$3:$A$202,$B150))</f>
        <v/>
      </c>
      <c r="D150" s="4" t="str">
        <f>IF($B150="","",INDEX(CuttingList!$B$3:$B$202,$B150))</f>
        <v/>
      </c>
      <c r="E150" s="4" t="str">
        <f>IF($B150="","",INDEX(CuttingList!$C$3:$C$202,$B150))</f>
        <v/>
      </c>
      <c r="F150" s="3" t="str">
        <f>IF($B150="","",INDEX(CuttingList!$E$3:$E$202,$B150))</f>
        <v/>
      </c>
      <c r="G150" s="4" t="str">
        <f t="shared" si="6"/>
        <v/>
      </c>
      <c r="H150" s="4" t="str">
        <f t="shared" si="7"/>
        <v/>
      </c>
      <c r="I150" s="4" t="str">
        <f t="shared" si="8"/>
        <v/>
      </c>
    </row>
    <row r="151" spans="1:9" x14ac:dyDescent="0.2">
      <c r="A151" s="4">
        <v>149</v>
      </c>
      <c r="B151" s="4" t="str">
        <f>IF($A151&gt;MAX(CuttingList!$I$3:$I$202),"",MATCH($A151,CuttingList!$H$3:$H$202,1))</f>
        <v/>
      </c>
      <c r="C151" s="3" t="str">
        <f>IF($B151="","",INDEX(CuttingList!$A$3:$A$202,$B151))</f>
        <v/>
      </c>
      <c r="D151" s="4" t="str">
        <f>IF($B151="","",INDEX(CuttingList!$B$3:$B$202,$B151))</f>
        <v/>
      </c>
      <c r="E151" s="4" t="str">
        <f>IF($B151="","",INDEX(CuttingList!$C$3:$C$202,$B151))</f>
        <v/>
      </c>
      <c r="F151" s="3" t="str">
        <f>IF($B151="","",INDEX(CuttingList!$E$3:$E$202,$B151))</f>
        <v/>
      </c>
      <c r="G151" s="4" t="str">
        <f t="shared" si="6"/>
        <v/>
      </c>
      <c r="H151" s="4" t="str">
        <f t="shared" si="7"/>
        <v/>
      </c>
      <c r="I151" s="4" t="str">
        <f t="shared" si="8"/>
        <v/>
      </c>
    </row>
    <row r="152" spans="1:9" x14ac:dyDescent="0.2">
      <c r="A152" s="4">
        <v>150</v>
      </c>
      <c r="B152" s="4" t="str">
        <f>IF($A152&gt;MAX(CuttingList!$I$3:$I$202),"",MATCH($A152,CuttingList!$H$3:$H$202,1))</f>
        <v/>
      </c>
      <c r="C152" s="3" t="str">
        <f>IF($B152="","",INDEX(CuttingList!$A$3:$A$202,$B152))</f>
        <v/>
      </c>
      <c r="D152" s="4" t="str">
        <f>IF($B152="","",INDEX(CuttingList!$B$3:$B$202,$B152))</f>
        <v/>
      </c>
      <c r="E152" s="4" t="str">
        <f>IF($B152="","",INDEX(CuttingList!$C$3:$C$202,$B152))</f>
        <v/>
      </c>
      <c r="F152" s="3" t="str">
        <f>IF($B152="","",INDEX(CuttingList!$E$3:$E$202,$B152))</f>
        <v/>
      </c>
      <c r="G152" s="4" t="str">
        <f t="shared" si="6"/>
        <v/>
      </c>
      <c r="H152" s="4" t="str">
        <f t="shared" si="7"/>
        <v/>
      </c>
      <c r="I152" s="4" t="str">
        <f t="shared" si="8"/>
        <v/>
      </c>
    </row>
    <row r="153" spans="1:9" x14ac:dyDescent="0.2">
      <c r="A153" s="4">
        <v>151</v>
      </c>
      <c r="B153" s="4" t="str">
        <f>IF($A153&gt;MAX(CuttingList!$I$3:$I$202),"",MATCH($A153,CuttingList!$H$3:$H$202,1))</f>
        <v/>
      </c>
      <c r="C153" s="3" t="str">
        <f>IF($B153="","",INDEX(CuttingList!$A$3:$A$202,$B153))</f>
        <v/>
      </c>
      <c r="D153" s="4" t="str">
        <f>IF($B153="","",INDEX(CuttingList!$B$3:$B$202,$B153))</f>
        <v/>
      </c>
      <c r="E153" s="4" t="str">
        <f>IF($B153="","",INDEX(CuttingList!$C$3:$C$202,$B153))</f>
        <v/>
      </c>
      <c r="F153" s="3" t="str">
        <f>IF($B153="","",INDEX(CuttingList!$E$3:$E$202,$B153))</f>
        <v/>
      </c>
      <c r="G153" s="4" t="str">
        <f t="shared" si="6"/>
        <v/>
      </c>
      <c r="H153" s="4" t="str">
        <f t="shared" si="7"/>
        <v/>
      </c>
      <c r="I153" s="4" t="str">
        <f t="shared" si="8"/>
        <v/>
      </c>
    </row>
    <row r="154" spans="1:9" x14ac:dyDescent="0.2">
      <c r="A154" s="4">
        <v>152</v>
      </c>
      <c r="B154" s="4" t="str">
        <f>IF($A154&gt;MAX(CuttingList!$I$3:$I$202),"",MATCH($A154,CuttingList!$H$3:$H$202,1))</f>
        <v/>
      </c>
      <c r="C154" s="3" t="str">
        <f>IF($B154="","",INDEX(CuttingList!$A$3:$A$202,$B154))</f>
        <v/>
      </c>
      <c r="D154" s="4" t="str">
        <f>IF($B154="","",INDEX(CuttingList!$B$3:$B$202,$B154))</f>
        <v/>
      </c>
      <c r="E154" s="4" t="str">
        <f>IF($B154="","",INDEX(CuttingList!$C$3:$C$202,$B154))</f>
        <v/>
      </c>
      <c r="F154" s="3" t="str">
        <f>IF($B154="","",INDEX(CuttingList!$E$3:$E$202,$B154))</f>
        <v/>
      </c>
      <c r="G154" s="4" t="str">
        <f t="shared" si="6"/>
        <v/>
      </c>
      <c r="H154" s="4" t="str">
        <f t="shared" si="7"/>
        <v/>
      </c>
      <c r="I154" s="4" t="str">
        <f t="shared" si="8"/>
        <v/>
      </c>
    </row>
    <row r="155" spans="1:9" x14ac:dyDescent="0.2">
      <c r="A155" s="4">
        <v>153</v>
      </c>
      <c r="B155" s="4" t="str">
        <f>IF($A155&gt;MAX(CuttingList!$I$3:$I$202),"",MATCH($A155,CuttingList!$H$3:$H$202,1))</f>
        <v/>
      </c>
      <c r="C155" s="3" t="str">
        <f>IF($B155="","",INDEX(CuttingList!$A$3:$A$202,$B155))</f>
        <v/>
      </c>
      <c r="D155" s="4" t="str">
        <f>IF($B155="","",INDEX(CuttingList!$B$3:$B$202,$B155))</f>
        <v/>
      </c>
      <c r="E155" s="4" t="str">
        <f>IF($B155="","",INDEX(CuttingList!$C$3:$C$202,$B155))</f>
        <v/>
      </c>
      <c r="F155" s="3" t="str">
        <f>IF($B155="","",INDEX(CuttingList!$E$3:$E$202,$B155))</f>
        <v/>
      </c>
      <c r="G155" s="4" t="str">
        <f t="shared" si="6"/>
        <v/>
      </c>
      <c r="H155" s="4" t="str">
        <f t="shared" si="7"/>
        <v/>
      </c>
      <c r="I155" s="4" t="str">
        <f t="shared" si="8"/>
        <v/>
      </c>
    </row>
    <row r="156" spans="1:9" x14ac:dyDescent="0.2">
      <c r="A156" s="4">
        <v>154</v>
      </c>
      <c r="B156" s="4" t="str">
        <f>IF($A156&gt;MAX(CuttingList!$I$3:$I$202),"",MATCH($A156,CuttingList!$H$3:$H$202,1))</f>
        <v/>
      </c>
      <c r="C156" s="3" t="str">
        <f>IF($B156="","",INDEX(CuttingList!$A$3:$A$202,$B156))</f>
        <v/>
      </c>
      <c r="D156" s="4" t="str">
        <f>IF($B156="","",INDEX(CuttingList!$B$3:$B$202,$B156))</f>
        <v/>
      </c>
      <c r="E156" s="4" t="str">
        <f>IF($B156="","",INDEX(CuttingList!$C$3:$C$202,$B156))</f>
        <v/>
      </c>
      <c r="F156" s="3" t="str">
        <f>IF($B156="","",INDEX(CuttingList!$E$3:$E$202,$B156))</f>
        <v/>
      </c>
      <c r="G156" s="4" t="str">
        <f t="shared" si="6"/>
        <v/>
      </c>
      <c r="H156" s="4" t="str">
        <f t="shared" si="7"/>
        <v/>
      </c>
      <c r="I156" s="4" t="str">
        <f t="shared" si="8"/>
        <v/>
      </c>
    </row>
    <row r="157" spans="1:9" x14ac:dyDescent="0.2">
      <c r="A157" s="4">
        <v>155</v>
      </c>
      <c r="B157" s="4" t="str">
        <f>IF($A157&gt;MAX(CuttingList!$I$3:$I$202),"",MATCH($A157,CuttingList!$H$3:$H$202,1))</f>
        <v/>
      </c>
      <c r="C157" s="3" t="str">
        <f>IF($B157="","",INDEX(CuttingList!$A$3:$A$202,$B157))</f>
        <v/>
      </c>
      <c r="D157" s="4" t="str">
        <f>IF($B157="","",INDEX(CuttingList!$B$3:$B$202,$B157))</f>
        <v/>
      </c>
      <c r="E157" s="4" t="str">
        <f>IF($B157="","",INDEX(CuttingList!$C$3:$C$202,$B157))</f>
        <v/>
      </c>
      <c r="F157" s="3" t="str">
        <f>IF($B157="","",INDEX(CuttingList!$E$3:$E$202,$B157))</f>
        <v/>
      </c>
      <c r="G157" s="4" t="str">
        <f t="shared" si="6"/>
        <v/>
      </c>
      <c r="H157" s="4" t="str">
        <f t="shared" si="7"/>
        <v/>
      </c>
      <c r="I157" s="4" t="str">
        <f t="shared" si="8"/>
        <v/>
      </c>
    </row>
    <row r="158" spans="1:9" x14ac:dyDescent="0.2">
      <c r="A158" s="4">
        <v>156</v>
      </c>
      <c r="B158" s="4" t="str">
        <f>IF($A158&gt;MAX(CuttingList!$I$3:$I$202),"",MATCH($A158,CuttingList!$H$3:$H$202,1))</f>
        <v/>
      </c>
      <c r="C158" s="3" t="str">
        <f>IF($B158="","",INDEX(CuttingList!$A$3:$A$202,$B158))</f>
        <v/>
      </c>
      <c r="D158" s="4" t="str">
        <f>IF($B158="","",INDEX(CuttingList!$B$3:$B$202,$B158))</f>
        <v/>
      </c>
      <c r="E158" s="4" t="str">
        <f>IF($B158="","",INDEX(CuttingList!$C$3:$C$202,$B158))</f>
        <v/>
      </c>
      <c r="F158" s="3" t="str">
        <f>IF($B158="","",INDEX(CuttingList!$E$3:$E$202,$B158))</f>
        <v/>
      </c>
      <c r="G158" s="4" t="str">
        <f t="shared" si="6"/>
        <v/>
      </c>
      <c r="H158" s="4" t="str">
        <f t="shared" si="7"/>
        <v/>
      </c>
      <c r="I158" s="4" t="str">
        <f t="shared" si="8"/>
        <v/>
      </c>
    </row>
    <row r="159" spans="1:9" x14ac:dyDescent="0.2">
      <c r="A159" s="4">
        <v>157</v>
      </c>
      <c r="B159" s="4" t="str">
        <f>IF($A159&gt;MAX(CuttingList!$I$3:$I$202),"",MATCH($A159,CuttingList!$H$3:$H$202,1))</f>
        <v/>
      </c>
      <c r="C159" s="3" t="str">
        <f>IF($B159="","",INDEX(CuttingList!$A$3:$A$202,$B159))</f>
        <v/>
      </c>
      <c r="D159" s="4" t="str">
        <f>IF($B159="","",INDEX(CuttingList!$B$3:$B$202,$B159))</f>
        <v/>
      </c>
      <c r="E159" s="4" t="str">
        <f>IF($B159="","",INDEX(CuttingList!$C$3:$C$202,$B159))</f>
        <v/>
      </c>
      <c r="F159" s="3" t="str">
        <f>IF($B159="","",INDEX(CuttingList!$E$3:$E$202,$B159))</f>
        <v/>
      </c>
      <c r="G159" s="4" t="str">
        <f t="shared" si="6"/>
        <v/>
      </c>
      <c r="H159" s="4" t="str">
        <f t="shared" si="7"/>
        <v/>
      </c>
      <c r="I159" s="4" t="str">
        <f t="shared" si="8"/>
        <v/>
      </c>
    </row>
    <row r="160" spans="1:9" x14ac:dyDescent="0.2">
      <c r="A160" s="4">
        <v>158</v>
      </c>
      <c r="B160" s="4" t="str">
        <f>IF($A160&gt;MAX(CuttingList!$I$3:$I$202),"",MATCH($A160,CuttingList!$H$3:$H$202,1))</f>
        <v/>
      </c>
      <c r="C160" s="3" t="str">
        <f>IF($B160="","",INDEX(CuttingList!$A$3:$A$202,$B160))</f>
        <v/>
      </c>
      <c r="D160" s="4" t="str">
        <f>IF($B160="","",INDEX(CuttingList!$B$3:$B$202,$B160))</f>
        <v/>
      </c>
      <c r="E160" s="4" t="str">
        <f>IF($B160="","",INDEX(CuttingList!$C$3:$C$202,$B160))</f>
        <v/>
      </c>
      <c r="F160" s="3" t="str">
        <f>IF($B160="","",INDEX(CuttingList!$E$3:$E$202,$B160))</f>
        <v/>
      </c>
      <c r="G160" s="4" t="str">
        <f t="shared" si="6"/>
        <v/>
      </c>
      <c r="H160" s="4" t="str">
        <f t="shared" si="7"/>
        <v/>
      </c>
      <c r="I160" s="4" t="str">
        <f t="shared" si="8"/>
        <v/>
      </c>
    </row>
    <row r="161" spans="1:9" x14ac:dyDescent="0.2">
      <c r="A161" s="4">
        <v>159</v>
      </c>
      <c r="B161" s="4" t="str">
        <f>IF($A161&gt;MAX(CuttingList!$I$3:$I$202),"",MATCH($A161,CuttingList!$H$3:$H$202,1))</f>
        <v/>
      </c>
      <c r="C161" s="3" t="str">
        <f>IF($B161="","",INDEX(CuttingList!$A$3:$A$202,$B161))</f>
        <v/>
      </c>
      <c r="D161" s="4" t="str">
        <f>IF($B161="","",INDEX(CuttingList!$B$3:$B$202,$B161))</f>
        <v/>
      </c>
      <c r="E161" s="4" t="str">
        <f>IF($B161="","",INDEX(CuttingList!$C$3:$C$202,$B161))</f>
        <v/>
      </c>
      <c r="F161" s="3" t="str">
        <f>IF($B161="","",INDEX(CuttingList!$E$3:$E$202,$B161))</f>
        <v/>
      </c>
      <c r="G161" s="4" t="str">
        <f t="shared" si="6"/>
        <v/>
      </c>
      <c r="H161" s="4" t="str">
        <f t="shared" si="7"/>
        <v/>
      </c>
      <c r="I161" s="4" t="str">
        <f t="shared" si="8"/>
        <v/>
      </c>
    </row>
    <row r="162" spans="1:9" x14ac:dyDescent="0.2">
      <c r="A162" s="4">
        <v>160</v>
      </c>
      <c r="B162" s="4" t="str">
        <f>IF($A162&gt;MAX(CuttingList!$I$3:$I$202),"",MATCH($A162,CuttingList!$H$3:$H$202,1))</f>
        <v/>
      </c>
      <c r="C162" s="3" t="str">
        <f>IF($B162="","",INDEX(CuttingList!$A$3:$A$202,$B162))</f>
        <v/>
      </c>
      <c r="D162" s="4" t="str">
        <f>IF($B162="","",INDEX(CuttingList!$B$3:$B$202,$B162))</f>
        <v/>
      </c>
      <c r="E162" s="4" t="str">
        <f>IF($B162="","",INDEX(CuttingList!$C$3:$C$202,$B162))</f>
        <v/>
      </c>
      <c r="F162" s="3" t="str">
        <f>IF($B162="","",INDEX(CuttingList!$E$3:$E$202,$B162))</f>
        <v/>
      </c>
      <c r="G162" s="4" t="str">
        <f t="shared" si="6"/>
        <v/>
      </c>
      <c r="H162" s="4" t="str">
        <f t="shared" si="7"/>
        <v/>
      </c>
      <c r="I162" s="4" t="str">
        <f t="shared" si="8"/>
        <v/>
      </c>
    </row>
    <row r="163" spans="1:9" x14ac:dyDescent="0.2">
      <c r="A163" s="4">
        <v>161</v>
      </c>
      <c r="B163" s="4" t="str">
        <f>IF($A163&gt;MAX(CuttingList!$I$3:$I$202),"",MATCH($A163,CuttingList!$H$3:$H$202,1))</f>
        <v/>
      </c>
      <c r="C163" s="3" t="str">
        <f>IF($B163="","",INDEX(CuttingList!$A$3:$A$202,$B163))</f>
        <v/>
      </c>
      <c r="D163" s="4" t="str">
        <f>IF($B163="","",INDEX(CuttingList!$B$3:$B$202,$B163))</f>
        <v/>
      </c>
      <c r="E163" s="4" t="str">
        <f>IF($B163="","",INDEX(CuttingList!$C$3:$C$202,$B163))</f>
        <v/>
      </c>
      <c r="F163" s="3" t="str">
        <f>IF($B163="","",INDEX(CuttingList!$E$3:$E$202,$B163))</f>
        <v/>
      </c>
      <c r="G163" s="4" t="str">
        <f t="shared" si="6"/>
        <v/>
      </c>
      <c r="H163" s="4" t="str">
        <f t="shared" si="7"/>
        <v/>
      </c>
      <c r="I163" s="4" t="str">
        <f t="shared" si="8"/>
        <v/>
      </c>
    </row>
    <row r="164" spans="1:9" x14ac:dyDescent="0.2">
      <c r="A164" s="4">
        <v>162</v>
      </c>
      <c r="B164" s="4" t="str">
        <f>IF($A164&gt;MAX(CuttingList!$I$3:$I$202),"",MATCH($A164,CuttingList!$H$3:$H$202,1))</f>
        <v/>
      </c>
      <c r="C164" s="3" t="str">
        <f>IF($B164="","",INDEX(CuttingList!$A$3:$A$202,$B164))</f>
        <v/>
      </c>
      <c r="D164" s="4" t="str">
        <f>IF($B164="","",INDEX(CuttingList!$B$3:$B$202,$B164))</f>
        <v/>
      </c>
      <c r="E164" s="4" t="str">
        <f>IF($B164="","",INDEX(CuttingList!$C$3:$C$202,$B164))</f>
        <v/>
      </c>
      <c r="F164" s="3" t="str">
        <f>IF($B164="","",INDEX(CuttingList!$E$3:$E$202,$B164))</f>
        <v/>
      </c>
      <c r="G164" s="4" t="str">
        <f t="shared" si="6"/>
        <v/>
      </c>
      <c r="H164" s="4" t="str">
        <f t="shared" si="7"/>
        <v/>
      </c>
      <c r="I164" s="4" t="str">
        <f t="shared" si="8"/>
        <v/>
      </c>
    </row>
    <row r="165" spans="1:9" x14ac:dyDescent="0.2">
      <c r="A165" s="4">
        <v>163</v>
      </c>
      <c r="B165" s="4" t="str">
        <f>IF($A165&gt;MAX(CuttingList!$I$3:$I$202),"",MATCH($A165,CuttingList!$H$3:$H$202,1))</f>
        <v/>
      </c>
      <c r="C165" s="3" t="str">
        <f>IF($B165="","",INDEX(CuttingList!$A$3:$A$202,$B165))</f>
        <v/>
      </c>
      <c r="D165" s="4" t="str">
        <f>IF($B165="","",INDEX(CuttingList!$B$3:$B$202,$B165))</f>
        <v/>
      </c>
      <c r="E165" s="4" t="str">
        <f>IF($B165="","",INDEX(CuttingList!$C$3:$C$202,$B165))</f>
        <v/>
      </c>
      <c r="F165" s="3" t="str">
        <f>IF($B165="","",INDEX(CuttingList!$E$3:$E$202,$B165))</f>
        <v/>
      </c>
      <c r="G165" s="4" t="str">
        <f t="shared" si="6"/>
        <v/>
      </c>
      <c r="H165" s="4" t="str">
        <f t="shared" si="7"/>
        <v/>
      </c>
      <c r="I165" s="4" t="str">
        <f t="shared" si="8"/>
        <v/>
      </c>
    </row>
    <row r="166" spans="1:9" x14ac:dyDescent="0.2">
      <c r="A166" s="4">
        <v>164</v>
      </c>
      <c r="B166" s="4" t="str">
        <f>IF($A166&gt;MAX(CuttingList!$I$3:$I$202),"",MATCH($A166,CuttingList!$H$3:$H$202,1))</f>
        <v/>
      </c>
      <c r="C166" s="3" t="str">
        <f>IF($B166="","",INDEX(CuttingList!$A$3:$A$202,$B166))</f>
        <v/>
      </c>
      <c r="D166" s="4" t="str">
        <f>IF($B166="","",INDEX(CuttingList!$B$3:$B$202,$B166))</f>
        <v/>
      </c>
      <c r="E166" s="4" t="str">
        <f>IF($B166="","",INDEX(CuttingList!$C$3:$C$202,$B166))</f>
        <v/>
      </c>
      <c r="F166" s="3" t="str">
        <f>IF($B166="","",INDEX(CuttingList!$E$3:$E$202,$B166))</f>
        <v/>
      </c>
      <c r="G166" s="4" t="str">
        <f t="shared" si="6"/>
        <v/>
      </c>
      <c r="H166" s="4" t="str">
        <f t="shared" si="7"/>
        <v/>
      </c>
      <c r="I166" s="4" t="str">
        <f t="shared" si="8"/>
        <v/>
      </c>
    </row>
    <row r="167" spans="1:9" x14ac:dyDescent="0.2">
      <c r="A167" s="4">
        <v>165</v>
      </c>
      <c r="B167" s="4" t="str">
        <f>IF($A167&gt;MAX(CuttingList!$I$3:$I$202),"",MATCH($A167,CuttingList!$H$3:$H$202,1))</f>
        <v/>
      </c>
      <c r="C167" s="3" t="str">
        <f>IF($B167="","",INDEX(CuttingList!$A$3:$A$202,$B167))</f>
        <v/>
      </c>
      <c r="D167" s="4" t="str">
        <f>IF($B167="","",INDEX(CuttingList!$B$3:$B$202,$B167))</f>
        <v/>
      </c>
      <c r="E167" s="4" t="str">
        <f>IF($B167="","",INDEX(CuttingList!$C$3:$C$202,$B167))</f>
        <v/>
      </c>
      <c r="F167" s="3" t="str">
        <f>IF($B167="","",INDEX(CuttingList!$E$3:$E$202,$B167))</f>
        <v/>
      </c>
      <c r="G167" s="4" t="str">
        <f t="shared" si="6"/>
        <v/>
      </c>
      <c r="H167" s="4" t="str">
        <f t="shared" si="7"/>
        <v/>
      </c>
      <c r="I167" s="4" t="str">
        <f t="shared" si="8"/>
        <v/>
      </c>
    </row>
    <row r="168" spans="1:9" x14ac:dyDescent="0.2">
      <c r="A168" s="4">
        <v>166</v>
      </c>
      <c r="B168" s="4" t="str">
        <f>IF($A168&gt;MAX(CuttingList!$I$3:$I$202),"",MATCH($A168,CuttingList!$H$3:$H$202,1))</f>
        <v/>
      </c>
      <c r="C168" s="3" t="str">
        <f>IF($B168="","",INDEX(CuttingList!$A$3:$A$202,$B168))</f>
        <v/>
      </c>
      <c r="D168" s="4" t="str">
        <f>IF($B168="","",INDEX(CuttingList!$B$3:$B$202,$B168))</f>
        <v/>
      </c>
      <c r="E168" s="4" t="str">
        <f>IF($B168="","",INDEX(CuttingList!$C$3:$C$202,$B168))</f>
        <v/>
      </c>
      <c r="F168" s="3" t="str">
        <f>IF($B168="","",INDEX(CuttingList!$E$3:$E$202,$B168))</f>
        <v/>
      </c>
      <c r="G168" s="4" t="str">
        <f t="shared" si="6"/>
        <v/>
      </c>
      <c r="H168" s="4" t="str">
        <f t="shared" si="7"/>
        <v/>
      </c>
      <c r="I168" s="4" t="str">
        <f t="shared" si="8"/>
        <v/>
      </c>
    </row>
    <row r="169" spans="1:9" x14ac:dyDescent="0.2">
      <c r="A169" s="4">
        <v>167</v>
      </c>
      <c r="B169" s="4" t="str">
        <f>IF($A169&gt;MAX(CuttingList!$I$3:$I$202),"",MATCH($A169,CuttingList!$H$3:$H$202,1))</f>
        <v/>
      </c>
      <c r="C169" s="3" t="str">
        <f>IF($B169="","",INDEX(CuttingList!$A$3:$A$202,$B169))</f>
        <v/>
      </c>
      <c r="D169" s="4" t="str">
        <f>IF($B169="","",INDEX(CuttingList!$B$3:$B$202,$B169))</f>
        <v/>
      </c>
      <c r="E169" s="4" t="str">
        <f>IF($B169="","",INDEX(CuttingList!$C$3:$C$202,$B169))</f>
        <v/>
      </c>
      <c r="F169" s="3" t="str">
        <f>IF($B169="","",INDEX(CuttingList!$E$3:$E$202,$B169))</f>
        <v/>
      </c>
      <c r="G169" s="4" t="str">
        <f t="shared" si="6"/>
        <v/>
      </c>
      <c r="H169" s="4" t="str">
        <f t="shared" si="7"/>
        <v/>
      </c>
      <c r="I169" s="4" t="str">
        <f t="shared" si="8"/>
        <v/>
      </c>
    </row>
    <row r="170" spans="1:9" x14ac:dyDescent="0.2">
      <c r="A170" s="4">
        <v>168</v>
      </c>
      <c r="B170" s="4" t="str">
        <f>IF($A170&gt;MAX(CuttingList!$I$3:$I$202),"",MATCH($A170,CuttingList!$H$3:$H$202,1))</f>
        <v/>
      </c>
      <c r="C170" s="3" t="str">
        <f>IF($B170="","",INDEX(CuttingList!$A$3:$A$202,$B170))</f>
        <v/>
      </c>
      <c r="D170" s="4" t="str">
        <f>IF($B170="","",INDEX(CuttingList!$B$3:$B$202,$B170))</f>
        <v/>
      </c>
      <c r="E170" s="4" t="str">
        <f>IF($B170="","",INDEX(CuttingList!$C$3:$C$202,$B170))</f>
        <v/>
      </c>
      <c r="F170" s="3" t="str">
        <f>IF($B170="","",INDEX(CuttingList!$E$3:$E$202,$B170))</f>
        <v/>
      </c>
      <c r="G170" s="4" t="str">
        <f t="shared" si="6"/>
        <v/>
      </c>
      <c r="H170" s="4" t="str">
        <f t="shared" si="7"/>
        <v/>
      </c>
      <c r="I170" s="4" t="str">
        <f t="shared" si="8"/>
        <v/>
      </c>
    </row>
    <row r="171" spans="1:9" x14ac:dyDescent="0.2">
      <c r="A171" s="4">
        <v>169</v>
      </c>
      <c r="B171" s="4" t="str">
        <f>IF($A171&gt;MAX(CuttingList!$I$3:$I$202),"",MATCH($A171,CuttingList!$H$3:$H$202,1))</f>
        <v/>
      </c>
      <c r="C171" s="3" t="str">
        <f>IF($B171="","",INDEX(CuttingList!$A$3:$A$202,$B171))</f>
        <v/>
      </c>
      <c r="D171" s="4" t="str">
        <f>IF($B171="","",INDEX(CuttingList!$B$3:$B$202,$B171))</f>
        <v/>
      </c>
      <c r="E171" s="4" t="str">
        <f>IF($B171="","",INDEX(CuttingList!$C$3:$C$202,$B171))</f>
        <v/>
      </c>
      <c r="F171" s="3" t="str">
        <f>IF($B171="","",INDEX(CuttingList!$E$3:$E$202,$B171))</f>
        <v/>
      </c>
      <c r="G171" s="4" t="str">
        <f t="shared" si="6"/>
        <v/>
      </c>
      <c r="H171" s="4" t="str">
        <f t="shared" si="7"/>
        <v/>
      </c>
      <c r="I171" s="4" t="str">
        <f t="shared" si="8"/>
        <v/>
      </c>
    </row>
    <row r="172" spans="1:9" x14ac:dyDescent="0.2">
      <c r="A172" s="4">
        <v>170</v>
      </c>
      <c r="B172" s="4" t="str">
        <f>IF($A172&gt;MAX(CuttingList!$I$3:$I$202),"",MATCH($A172,CuttingList!$H$3:$H$202,1))</f>
        <v/>
      </c>
      <c r="C172" s="3" t="str">
        <f>IF($B172="","",INDEX(CuttingList!$A$3:$A$202,$B172))</f>
        <v/>
      </c>
      <c r="D172" s="4" t="str">
        <f>IF($B172="","",INDEX(CuttingList!$B$3:$B$202,$B172))</f>
        <v/>
      </c>
      <c r="E172" s="4" t="str">
        <f>IF($B172="","",INDEX(CuttingList!$C$3:$C$202,$B172))</f>
        <v/>
      </c>
      <c r="F172" s="3" t="str">
        <f>IF($B172="","",INDEX(CuttingList!$E$3:$E$202,$B172))</f>
        <v/>
      </c>
      <c r="G172" s="4" t="str">
        <f t="shared" si="6"/>
        <v/>
      </c>
      <c r="H172" s="4" t="str">
        <f t="shared" si="7"/>
        <v/>
      </c>
      <c r="I172" s="4" t="str">
        <f t="shared" si="8"/>
        <v/>
      </c>
    </row>
    <row r="173" spans="1:9" x14ac:dyDescent="0.2">
      <c r="A173" s="4">
        <v>171</v>
      </c>
      <c r="B173" s="4" t="str">
        <f>IF($A173&gt;MAX(CuttingList!$I$3:$I$202),"",MATCH($A173,CuttingList!$H$3:$H$202,1))</f>
        <v/>
      </c>
      <c r="C173" s="3" t="str">
        <f>IF($B173="","",INDEX(CuttingList!$A$3:$A$202,$B173))</f>
        <v/>
      </c>
      <c r="D173" s="4" t="str">
        <f>IF($B173="","",INDEX(CuttingList!$B$3:$B$202,$B173))</f>
        <v/>
      </c>
      <c r="E173" s="4" t="str">
        <f>IF($B173="","",INDEX(CuttingList!$C$3:$C$202,$B173))</f>
        <v/>
      </c>
      <c r="F173" s="3" t="str">
        <f>IF($B173="","",INDEX(CuttingList!$E$3:$E$202,$B173))</f>
        <v/>
      </c>
      <c r="G173" s="4" t="str">
        <f t="shared" si="6"/>
        <v/>
      </c>
      <c r="H173" s="4" t="str">
        <f t="shared" si="7"/>
        <v/>
      </c>
      <c r="I173" s="4" t="str">
        <f t="shared" si="8"/>
        <v/>
      </c>
    </row>
    <row r="174" spans="1:9" x14ac:dyDescent="0.2">
      <c r="A174" s="4">
        <v>172</v>
      </c>
      <c r="B174" s="4" t="str">
        <f>IF($A174&gt;MAX(CuttingList!$I$3:$I$202),"",MATCH($A174,CuttingList!$H$3:$H$202,1))</f>
        <v/>
      </c>
      <c r="C174" s="3" t="str">
        <f>IF($B174="","",INDEX(CuttingList!$A$3:$A$202,$B174))</f>
        <v/>
      </c>
      <c r="D174" s="4" t="str">
        <f>IF($B174="","",INDEX(CuttingList!$B$3:$B$202,$B174))</f>
        <v/>
      </c>
      <c r="E174" s="4" t="str">
        <f>IF($B174="","",INDEX(CuttingList!$C$3:$C$202,$B174))</f>
        <v/>
      </c>
      <c r="F174" s="3" t="str">
        <f>IF($B174="","",INDEX(CuttingList!$E$3:$E$202,$B174))</f>
        <v/>
      </c>
      <c r="G174" s="4" t="str">
        <f t="shared" si="6"/>
        <v/>
      </c>
      <c r="H174" s="4" t="str">
        <f t="shared" si="7"/>
        <v/>
      </c>
      <c r="I174" s="4" t="str">
        <f t="shared" si="8"/>
        <v/>
      </c>
    </row>
    <row r="175" spans="1:9" x14ac:dyDescent="0.2">
      <c r="A175" s="4">
        <v>173</v>
      </c>
      <c r="B175" s="4" t="str">
        <f>IF($A175&gt;MAX(CuttingList!$I$3:$I$202),"",MATCH($A175,CuttingList!$H$3:$H$202,1))</f>
        <v/>
      </c>
      <c r="C175" s="3" t="str">
        <f>IF($B175="","",INDEX(CuttingList!$A$3:$A$202,$B175))</f>
        <v/>
      </c>
      <c r="D175" s="4" t="str">
        <f>IF($B175="","",INDEX(CuttingList!$B$3:$B$202,$B175))</f>
        <v/>
      </c>
      <c r="E175" s="4" t="str">
        <f>IF($B175="","",INDEX(CuttingList!$C$3:$C$202,$B175))</f>
        <v/>
      </c>
      <c r="F175" s="3" t="str">
        <f>IF($B175="","",INDEX(CuttingList!$E$3:$E$202,$B175))</f>
        <v/>
      </c>
      <c r="G175" s="4" t="str">
        <f t="shared" si="6"/>
        <v/>
      </c>
      <c r="H175" s="4" t="str">
        <f t="shared" si="7"/>
        <v/>
      </c>
      <c r="I175" s="4" t="str">
        <f t="shared" si="8"/>
        <v/>
      </c>
    </row>
    <row r="176" spans="1:9" x14ac:dyDescent="0.2">
      <c r="A176" s="4">
        <v>174</v>
      </c>
      <c r="B176" s="4" t="str">
        <f>IF($A176&gt;MAX(CuttingList!$I$3:$I$202),"",MATCH($A176,CuttingList!$H$3:$H$202,1))</f>
        <v/>
      </c>
      <c r="C176" s="3" t="str">
        <f>IF($B176="","",INDEX(CuttingList!$A$3:$A$202,$B176))</f>
        <v/>
      </c>
      <c r="D176" s="4" t="str">
        <f>IF($B176="","",INDEX(CuttingList!$B$3:$B$202,$B176))</f>
        <v/>
      </c>
      <c r="E176" s="4" t="str">
        <f>IF($B176="","",INDEX(CuttingList!$C$3:$C$202,$B176))</f>
        <v/>
      </c>
      <c r="F176" s="3" t="str">
        <f>IF($B176="","",INDEX(CuttingList!$E$3:$E$202,$B176))</f>
        <v/>
      </c>
      <c r="G176" s="4" t="str">
        <f t="shared" si="6"/>
        <v/>
      </c>
      <c r="H176" s="4" t="str">
        <f t="shared" si="7"/>
        <v/>
      </c>
      <c r="I176" s="4" t="str">
        <f t="shared" si="8"/>
        <v/>
      </c>
    </row>
    <row r="177" spans="1:9" x14ac:dyDescent="0.2">
      <c r="A177" s="4">
        <v>175</v>
      </c>
      <c r="B177" s="4" t="str">
        <f>IF($A177&gt;MAX(CuttingList!$I$3:$I$202),"",MATCH($A177,CuttingList!$H$3:$H$202,1))</f>
        <v/>
      </c>
      <c r="C177" s="3" t="str">
        <f>IF($B177="","",INDEX(CuttingList!$A$3:$A$202,$B177))</f>
        <v/>
      </c>
      <c r="D177" s="4" t="str">
        <f>IF($B177="","",INDEX(CuttingList!$B$3:$B$202,$B177))</f>
        <v/>
      </c>
      <c r="E177" s="4" t="str">
        <f>IF($B177="","",INDEX(CuttingList!$C$3:$C$202,$B177))</f>
        <v/>
      </c>
      <c r="F177" s="3" t="str">
        <f>IF($B177="","",INDEX(CuttingList!$E$3:$E$202,$B177))</f>
        <v/>
      </c>
      <c r="G177" s="4" t="str">
        <f t="shared" si="6"/>
        <v/>
      </c>
      <c r="H177" s="4" t="str">
        <f t="shared" si="7"/>
        <v/>
      </c>
      <c r="I177" s="4" t="str">
        <f t="shared" si="8"/>
        <v/>
      </c>
    </row>
    <row r="178" spans="1:9" x14ac:dyDescent="0.2">
      <c r="A178" s="4">
        <v>176</v>
      </c>
      <c r="B178" s="4" t="str">
        <f>IF($A178&gt;MAX(CuttingList!$I$3:$I$202),"",MATCH($A178,CuttingList!$H$3:$H$202,1))</f>
        <v/>
      </c>
      <c r="C178" s="3" t="str">
        <f>IF($B178="","",INDEX(CuttingList!$A$3:$A$202,$B178))</f>
        <v/>
      </c>
      <c r="D178" s="4" t="str">
        <f>IF($B178="","",INDEX(CuttingList!$B$3:$B$202,$B178))</f>
        <v/>
      </c>
      <c r="E178" s="4" t="str">
        <f>IF($B178="","",INDEX(CuttingList!$C$3:$C$202,$B178))</f>
        <v/>
      </c>
      <c r="F178" s="3" t="str">
        <f>IF($B178="","",INDEX(CuttingList!$E$3:$E$202,$B178))</f>
        <v/>
      </c>
      <c r="G178" s="4" t="str">
        <f t="shared" si="6"/>
        <v/>
      </c>
      <c r="H178" s="4" t="str">
        <f t="shared" si="7"/>
        <v/>
      </c>
      <c r="I178" s="4" t="str">
        <f t="shared" si="8"/>
        <v/>
      </c>
    </row>
    <row r="179" spans="1:9" x14ac:dyDescent="0.2">
      <c r="A179" s="4">
        <v>177</v>
      </c>
      <c r="B179" s="4" t="str">
        <f>IF($A179&gt;MAX(CuttingList!$I$3:$I$202),"",MATCH($A179,CuttingList!$H$3:$H$202,1))</f>
        <v/>
      </c>
      <c r="C179" s="3" t="str">
        <f>IF($B179="","",INDEX(CuttingList!$A$3:$A$202,$B179))</f>
        <v/>
      </c>
      <c r="D179" s="4" t="str">
        <f>IF($B179="","",INDEX(CuttingList!$B$3:$B$202,$B179))</f>
        <v/>
      </c>
      <c r="E179" s="4" t="str">
        <f>IF($B179="","",INDEX(CuttingList!$C$3:$C$202,$B179))</f>
        <v/>
      </c>
      <c r="F179" s="3" t="str">
        <f>IF($B179="","",INDEX(CuttingList!$E$3:$E$202,$B179))</f>
        <v/>
      </c>
      <c r="G179" s="4" t="str">
        <f t="shared" si="6"/>
        <v/>
      </c>
      <c r="H179" s="4" t="str">
        <f t="shared" si="7"/>
        <v/>
      </c>
      <c r="I179" s="4" t="str">
        <f t="shared" si="8"/>
        <v/>
      </c>
    </row>
    <row r="180" spans="1:9" x14ac:dyDescent="0.2">
      <c r="A180" s="4">
        <v>178</v>
      </c>
      <c r="B180" s="4" t="str">
        <f>IF($A180&gt;MAX(CuttingList!$I$3:$I$202),"",MATCH($A180,CuttingList!$H$3:$H$202,1))</f>
        <v/>
      </c>
      <c r="C180" s="3" t="str">
        <f>IF($B180="","",INDEX(CuttingList!$A$3:$A$202,$B180))</f>
        <v/>
      </c>
      <c r="D180" s="4" t="str">
        <f>IF($B180="","",INDEX(CuttingList!$B$3:$B$202,$B180))</f>
        <v/>
      </c>
      <c r="E180" s="4" t="str">
        <f>IF($B180="","",INDEX(CuttingList!$C$3:$C$202,$B180))</f>
        <v/>
      </c>
      <c r="F180" s="3" t="str">
        <f>IF($B180="","",INDEX(CuttingList!$E$3:$E$202,$B180))</f>
        <v/>
      </c>
      <c r="G180" s="4" t="str">
        <f t="shared" si="6"/>
        <v/>
      </c>
      <c r="H180" s="4" t="str">
        <f t="shared" si="7"/>
        <v/>
      </c>
      <c r="I180" s="4" t="str">
        <f t="shared" si="8"/>
        <v/>
      </c>
    </row>
    <row r="181" spans="1:9" x14ac:dyDescent="0.2">
      <c r="A181" s="4">
        <v>179</v>
      </c>
      <c r="B181" s="4" t="str">
        <f>IF($A181&gt;MAX(CuttingList!$I$3:$I$202),"",MATCH($A181,CuttingList!$H$3:$H$202,1))</f>
        <v/>
      </c>
      <c r="C181" s="3" t="str">
        <f>IF($B181="","",INDEX(CuttingList!$A$3:$A$202,$B181))</f>
        <v/>
      </c>
      <c r="D181" s="4" t="str">
        <f>IF($B181="","",INDEX(CuttingList!$B$3:$B$202,$B181))</f>
        <v/>
      </c>
      <c r="E181" s="4" t="str">
        <f>IF($B181="","",INDEX(CuttingList!$C$3:$C$202,$B181))</f>
        <v/>
      </c>
      <c r="F181" s="3" t="str">
        <f>IF($B181="","",INDEX(CuttingList!$E$3:$E$202,$B181))</f>
        <v/>
      </c>
      <c r="G181" s="4" t="str">
        <f t="shared" si="6"/>
        <v/>
      </c>
      <c r="H181" s="4" t="str">
        <f t="shared" si="7"/>
        <v/>
      </c>
      <c r="I181" s="4" t="str">
        <f t="shared" si="8"/>
        <v/>
      </c>
    </row>
    <row r="182" spans="1:9" x14ac:dyDescent="0.2">
      <c r="A182" s="4">
        <v>180</v>
      </c>
      <c r="B182" s="4" t="str">
        <f>IF($A182&gt;MAX(CuttingList!$I$3:$I$202),"",MATCH($A182,CuttingList!$H$3:$H$202,1))</f>
        <v/>
      </c>
      <c r="C182" s="3" t="str">
        <f>IF($B182="","",INDEX(CuttingList!$A$3:$A$202,$B182))</f>
        <v/>
      </c>
      <c r="D182" s="4" t="str">
        <f>IF($B182="","",INDEX(CuttingList!$B$3:$B$202,$B182))</f>
        <v/>
      </c>
      <c r="E182" s="4" t="str">
        <f>IF($B182="","",INDEX(CuttingList!$C$3:$C$202,$B182))</f>
        <v/>
      </c>
      <c r="F182" s="3" t="str">
        <f>IF($B182="","",INDEX(CuttingList!$E$3:$E$202,$B182))</f>
        <v/>
      </c>
      <c r="G182" s="4" t="str">
        <f t="shared" si="6"/>
        <v/>
      </c>
      <c r="H182" s="4" t="str">
        <f t="shared" si="7"/>
        <v/>
      </c>
      <c r="I182" s="4" t="str">
        <f t="shared" si="8"/>
        <v/>
      </c>
    </row>
    <row r="183" spans="1:9" x14ac:dyDescent="0.2">
      <c r="A183" s="4">
        <v>181</v>
      </c>
      <c r="B183" s="4" t="str">
        <f>IF($A183&gt;MAX(CuttingList!$I$3:$I$202),"",MATCH($A183,CuttingList!$H$3:$H$202,1))</f>
        <v/>
      </c>
      <c r="C183" s="3" t="str">
        <f>IF($B183="","",INDEX(CuttingList!$A$3:$A$202,$B183))</f>
        <v/>
      </c>
      <c r="D183" s="4" t="str">
        <f>IF($B183="","",INDEX(CuttingList!$B$3:$B$202,$B183))</f>
        <v/>
      </c>
      <c r="E183" s="4" t="str">
        <f>IF($B183="","",INDEX(CuttingList!$C$3:$C$202,$B183))</f>
        <v/>
      </c>
      <c r="F183" s="3" t="str">
        <f>IF($B183="","",INDEX(CuttingList!$E$3:$E$202,$B183))</f>
        <v/>
      </c>
      <c r="G183" s="4" t="str">
        <f t="shared" si="6"/>
        <v/>
      </c>
      <c r="H183" s="4" t="str">
        <f t="shared" si="7"/>
        <v/>
      </c>
      <c r="I183" s="4" t="str">
        <f t="shared" si="8"/>
        <v/>
      </c>
    </row>
    <row r="184" spans="1:9" x14ac:dyDescent="0.2">
      <c r="A184" s="4">
        <v>182</v>
      </c>
      <c r="B184" s="4" t="str">
        <f>IF($A184&gt;MAX(CuttingList!$I$3:$I$202),"",MATCH($A184,CuttingList!$H$3:$H$202,1))</f>
        <v/>
      </c>
      <c r="C184" s="3" t="str">
        <f>IF($B184="","",INDEX(CuttingList!$A$3:$A$202,$B184))</f>
        <v/>
      </c>
      <c r="D184" s="4" t="str">
        <f>IF($B184="","",INDEX(CuttingList!$B$3:$B$202,$B184))</f>
        <v/>
      </c>
      <c r="E184" s="4" t="str">
        <f>IF($B184="","",INDEX(CuttingList!$C$3:$C$202,$B184))</f>
        <v/>
      </c>
      <c r="F184" s="3" t="str">
        <f>IF($B184="","",INDEX(CuttingList!$E$3:$E$202,$B184))</f>
        <v/>
      </c>
      <c r="G184" s="4" t="str">
        <f t="shared" si="6"/>
        <v/>
      </c>
      <c r="H184" s="4" t="str">
        <f t="shared" si="7"/>
        <v/>
      </c>
      <c r="I184" s="4" t="str">
        <f t="shared" si="8"/>
        <v/>
      </c>
    </row>
    <row r="185" spans="1:9" x14ac:dyDescent="0.2">
      <c r="A185" s="4">
        <v>183</v>
      </c>
      <c r="B185" s="4" t="str">
        <f>IF($A185&gt;MAX(CuttingList!$I$3:$I$202),"",MATCH($A185,CuttingList!$H$3:$H$202,1))</f>
        <v/>
      </c>
      <c r="C185" s="3" t="str">
        <f>IF($B185="","",INDEX(CuttingList!$A$3:$A$202,$B185))</f>
        <v/>
      </c>
      <c r="D185" s="4" t="str">
        <f>IF($B185="","",INDEX(CuttingList!$B$3:$B$202,$B185))</f>
        <v/>
      </c>
      <c r="E185" s="4" t="str">
        <f>IF($B185="","",INDEX(CuttingList!$C$3:$C$202,$B185))</f>
        <v/>
      </c>
      <c r="F185" s="3" t="str">
        <f>IF($B185="","",INDEX(CuttingList!$E$3:$E$202,$B185))</f>
        <v/>
      </c>
      <c r="G185" s="4" t="str">
        <f t="shared" si="6"/>
        <v/>
      </c>
      <c r="H185" s="4" t="str">
        <f t="shared" si="7"/>
        <v/>
      </c>
      <c r="I185" s="4" t="str">
        <f t="shared" si="8"/>
        <v/>
      </c>
    </row>
    <row r="186" spans="1:9" x14ac:dyDescent="0.2">
      <c r="A186" s="4">
        <v>184</v>
      </c>
      <c r="B186" s="4" t="str">
        <f>IF($A186&gt;MAX(CuttingList!$I$3:$I$202),"",MATCH($A186,CuttingList!$H$3:$H$202,1))</f>
        <v/>
      </c>
      <c r="C186" s="3" t="str">
        <f>IF($B186="","",INDEX(CuttingList!$A$3:$A$202,$B186))</f>
        <v/>
      </c>
      <c r="D186" s="4" t="str">
        <f>IF($B186="","",INDEX(CuttingList!$B$3:$B$202,$B186))</f>
        <v/>
      </c>
      <c r="E186" s="4" t="str">
        <f>IF($B186="","",INDEX(CuttingList!$C$3:$C$202,$B186))</f>
        <v/>
      </c>
      <c r="F186" s="3" t="str">
        <f>IF($B186="","",INDEX(CuttingList!$E$3:$E$202,$B186))</f>
        <v/>
      </c>
      <c r="G186" s="4" t="str">
        <f t="shared" si="6"/>
        <v/>
      </c>
      <c r="H186" s="4" t="str">
        <f t="shared" si="7"/>
        <v/>
      </c>
      <c r="I186" s="4" t="str">
        <f t="shared" si="8"/>
        <v/>
      </c>
    </row>
    <row r="187" spans="1:9" x14ac:dyDescent="0.2">
      <c r="A187" s="4">
        <v>185</v>
      </c>
      <c r="B187" s="4" t="str">
        <f>IF($A187&gt;MAX(CuttingList!$I$3:$I$202),"",MATCH($A187,CuttingList!$H$3:$H$202,1))</f>
        <v/>
      </c>
      <c r="C187" s="3" t="str">
        <f>IF($B187="","",INDEX(CuttingList!$A$3:$A$202,$B187))</f>
        <v/>
      </c>
      <c r="D187" s="4" t="str">
        <f>IF($B187="","",INDEX(CuttingList!$B$3:$B$202,$B187))</f>
        <v/>
      </c>
      <c r="E187" s="4" t="str">
        <f>IF($B187="","",INDEX(CuttingList!$C$3:$C$202,$B187))</f>
        <v/>
      </c>
      <c r="F187" s="3" t="str">
        <f>IF($B187="","",INDEX(CuttingList!$E$3:$E$202,$B187))</f>
        <v/>
      </c>
      <c r="G187" s="4" t="str">
        <f t="shared" si="6"/>
        <v/>
      </c>
      <c r="H187" s="4" t="str">
        <f t="shared" si="7"/>
        <v/>
      </c>
      <c r="I187" s="4" t="str">
        <f t="shared" si="8"/>
        <v/>
      </c>
    </row>
    <row r="188" spans="1:9" x14ac:dyDescent="0.2">
      <c r="A188" s="4">
        <v>186</v>
      </c>
      <c r="B188" s="4" t="str">
        <f>IF($A188&gt;MAX(CuttingList!$I$3:$I$202),"",MATCH($A188,CuttingList!$H$3:$H$202,1))</f>
        <v/>
      </c>
      <c r="C188" s="3" t="str">
        <f>IF($B188="","",INDEX(CuttingList!$A$3:$A$202,$B188))</f>
        <v/>
      </c>
      <c r="D188" s="4" t="str">
        <f>IF($B188="","",INDEX(CuttingList!$B$3:$B$202,$B188))</f>
        <v/>
      </c>
      <c r="E188" s="4" t="str">
        <f>IF($B188="","",INDEX(CuttingList!$C$3:$C$202,$B188))</f>
        <v/>
      </c>
      <c r="F188" s="3" t="str">
        <f>IF($B188="","",INDEX(CuttingList!$E$3:$E$202,$B188))</f>
        <v/>
      </c>
      <c r="G188" s="4" t="str">
        <f t="shared" si="6"/>
        <v/>
      </c>
      <c r="H188" s="4" t="str">
        <f t="shared" si="7"/>
        <v/>
      </c>
      <c r="I188" s="4" t="str">
        <f t="shared" si="8"/>
        <v/>
      </c>
    </row>
    <row r="189" spans="1:9" x14ac:dyDescent="0.2">
      <c r="A189" s="4">
        <v>187</v>
      </c>
      <c r="B189" s="4" t="str">
        <f>IF($A189&gt;MAX(CuttingList!$I$3:$I$202),"",MATCH($A189,CuttingList!$H$3:$H$202,1))</f>
        <v/>
      </c>
      <c r="C189" s="3" t="str">
        <f>IF($B189="","",INDEX(CuttingList!$A$3:$A$202,$B189))</f>
        <v/>
      </c>
      <c r="D189" s="4" t="str">
        <f>IF($B189="","",INDEX(CuttingList!$B$3:$B$202,$B189))</f>
        <v/>
      </c>
      <c r="E189" s="4" t="str">
        <f>IF($B189="","",INDEX(CuttingList!$C$3:$C$202,$B189))</f>
        <v/>
      </c>
      <c r="F189" s="3" t="str">
        <f>IF($B189="","",INDEX(CuttingList!$E$3:$E$202,$B189))</f>
        <v/>
      </c>
      <c r="G189" s="4" t="str">
        <f t="shared" si="6"/>
        <v/>
      </c>
      <c r="H189" s="4" t="str">
        <f t="shared" si="7"/>
        <v/>
      </c>
      <c r="I189" s="4" t="str">
        <f t="shared" si="8"/>
        <v/>
      </c>
    </row>
    <row r="190" spans="1:9" x14ac:dyDescent="0.2">
      <c r="A190" s="4">
        <v>188</v>
      </c>
      <c r="B190" s="4" t="str">
        <f>IF($A190&gt;MAX(CuttingList!$I$3:$I$202),"",MATCH($A190,CuttingList!$H$3:$H$202,1))</f>
        <v/>
      </c>
      <c r="C190" s="3" t="str">
        <f>IF($B190="","",INDEX(CuttingList!$A$3:$A$202,$B190))</f>
        <v/>
      </c>
      <c r="D190" s="4" t="str">
        <f>IF($B190="","",INDEX(CuttingList!$B$3:$B$202,$B190))</f>
        <v/>
      </c>
      <c r="E190" s="4" t="str">
        <f>IF($B190="","",INDEX(CuttingList!$C$3:$C$202,$B190))</f>
        <v/>
      </c>
      <c r="F190" s="3" t="str">
        <f>IF($B190="","",INDEX(CuttingList!$E$3:$E$202,$B190))</f>
        <v/>
      </c>
      <c r="G190" s="4" t="str">
        <f t="shared" si="6"/>
        <v/>
      </c>
      <c r="H190" s="4" t="str">
        <f t="shared" si="7"/>
        <v/>
      </c>
      <c r="I190" s="4" t="str">
        <f t="shared" si="8"/>
        <v/>
      </c>
    </row>
    <row r="191" spans="1:9" x14ac:dyDescent="0.2">
      <c r="A191" s="4">
        <v>189</v>
      </c>
      <c r="B191" s="4" t="str">
        <f>IF($A191&gt;MAX(CuttingList!$I$3:$I$202),"",MATCH($A191,CuttingList!$H$3:$H$202,1))</f>
        <v/>
      </c>
      <c r="C191" s="3" t="str">
        <f>IF($B191="","",INDEX(CuttingList!$A$3:$A$202,$B191))</f>
        <v/>
      </c>
      <c r="D191" s="4" t="str">
        <f>IF($B191="","",INDEX(CuttingList!$B$3:$B$202,$B191))</f>
        <v/>
      </c>
      <c r="E191" s="4" t="str">
        <f>IF($B191="","",INDEX(CuttingList!$C$3:$C$202,$B191))</f>
        <v/>
      </c>
      <c r="F191" s="3" t="str">
        <f>IF($B191="","",INDEX(CuttingList!$E$3:$E$202,$B191))</f>
        <v/>
      </c>
      <c r="G191" s="4" t="str">
        <f t="shared" si="6"/>
        <v/>
      </c>
      <c r="H191" s="4" t="str">
        <f t="shared" si="7"/>
        <v/>
      </c>
      <c r="I191" s="4" t="str">
        <f t="shared" si="8"/>
        <v/>
      </c>
    </row>
    <row r="192" spans="1:9" x14ac:dyDescent="0.2">
      <c r="A192" s="4">
        <v>190</v>
      </c>
      <c r="B192" s="4" t="str">
        <f>IF($A192&gt;MAX(CuttingList!$I$3:$I$202),"",MATCH($A192,CuttingList!$H$3:$H$202,1))</f>
        <v/>
      </c>
      <c r="C192" s="3" t="str">
        <f>IF($B192="","",INDEX(CuttingList!$A$3:$A$202,$B192))</f>
        <v/>
      </c>
      <c r="D192" s="4" t="str">
        <f>IF($B192="","",INDEX(CuttingList!$B$3:$B$202,$B192))</f>
        <v/>
      </c>
      <c r="E192" s="4" t="str">
        <f>IF($B192="","",INDEX(CuttingList!$C$3:$C$202,$B192))</f>
        <v/>
      </c>
      <c r="F192" s="3" t="str">
        <f>IF($B192="","",INDEX(CuttingList!$E$3:$E$202,$B192))</f>
        <v/>
      </c>
      <c r="G192" s="4" t="str">
        <f t="shared" si="6"/>
        <v/>
      </c>
      <c r="H192" s="4" t="str">
        <f t="shared" si="7"/>
        <v/>
      </c>
      <c r="I192" s="4" t="str">
        <f t="shared" si="8"/>
        <v/>
      </c>
    </row>
    <row r="193" spans="1:9" x14ac:dyDescent="0.2">
      <c r="A193" s="4">
        <v>191</v>
      </c>
      <c r="B193" s="4" t="str">
        <f>IF($A193&gt;MAX(CuttingList!$I$3:$I$202),"",MATCH($A193,CuttingList!$H$3:$H$202,1))</f>
        <v/>
      </c>
      <c r="C193" s="3" t="str">
        <f>IF($B193="","",INDEX(CuttingList!$A$3:$A$202,$B193))</f>
        <v/>
      </c>
      <c r="D193" s="4" t="str">
        <f>IF($B193="","",INDEX(CuttingList!$B$3:$B$202,$B193))</f>
        <v/>
      </c>
      <c r="E193" s="4" t="str">
        <f>IF($B193="","",INDEX(CuttingList!$C$3:$C$202,$B193))</f>
        <v/>
      </c>
      <c r="F193" s="3" t="str">
        <f>IF($B193="","",INDEX(CuttingList!$E$3:$E$202,$B193))</f>
        <v/>
      </c>
      <c r="G193" s="4" t="str">
        <f t="shared" si="6"/>
        <v/>
      </c>
      <c r="H193" s="4" t="str">
        <f t="shared" si="7"/>
        <v/>
      </c>
      <c r="I193" s="4" t="str">
        <f t="shared" si="8"/>
        <v/>
      </c>
    </row>
    <row r="194" spans="1:9" x14ac:dyDescent="0.2">
      <c r="A194" s="4">
        <v>192</v>
      </c>
      <c r="B194" s="4" t="str">
        <f>IF($A194&gt;MAX(CuttingList!$I$3:$I$202),"",MATCH($A194,CuttingList!$H$3:$H$202,1))</f>
        <v/>
      </c>
      <c r="C194" s="3" t="str">
        <f>IF($B194="","",INDEX(CuttingList!$A$3:$A$202,$B194))</f>
        <v/>
      </c>
      <c r="D194" s="4" t="str">
        <f>IF($B194="","",INDEX(CuttingList!$B$3:$B$202,$B194))</f>
        <v/>
      </c>
      <c r="E194" s="4" t="str">
        <f>IF($B194="","",INDEX(CuttingList!$C$3:$C$202,$B194))</f>
        <v/>
      </c>
      <c r="F194" s="3" t="str">
        <f>IF($B194="","",INDEX(CuttingList!$E$3:$E$202,$B194))</f>
        <v/>
      </c>
      <c r="G194" s="4" t="str">
        <f t="shared" si="6"/>
        <v/>
      </c>
      <c r="H194" s="4" t="str">
        <f t="shared" si="7"/>
        <v/>
      </c>
      <c r="I194" s="4" t="str">
        <f t="shared" si="8"/>
        <v/>
      </c>
    </row>
    <row r="195" spans="1:9" x14ac:dyDescent="0.2">
      <c r="A195" s="4">
        <v>193</v>
      </c>
      <c r="B195" s="4" t="str">
        <f>IF($A195&gt;MAX(CuttingList!$I$3:$I$202),"",MATCH($A195,CuttingList!$H$3:$H$202,1))</f>
        <v/>
      </c>
      <c r="C195" s="3" t="str">
        <f>IF($B195="","",INDEX(CuttingList!$A$3:$A$202,$B195))</f>
        <v/>
      </c>
      <c r="D195" s="4" t="str">
        <f>IF($B195="","",INDEX(CuttingList!$B$3:$B$202,$B195))</f>
        <v/>
      </c>
      <c r="E195" s="4" t="str">
        <f>IF($B195="","",INDEX(CuttingList!$C$3:$C$202,$B195))</f>
        <v/>
      </c>
      <c r="F195" s="3" t="str">
        <f>IF($B195="","",INDEX(CuttingList!$E$3:$E$202,$B195))</f>
        <v/>
      </c>
      <c r="G195" s="4" t="str">
        <f t="shared" ref="G195:G258" si="9">IF(OR($D195="",$E195=""),"",($D195*$E195)/1000000)</f>
        <v/>
      </c>
      <c r="H195" s="4" t="str">
        <f t="shared" ref="H195:H258" si="10">IF(OR($D195="",$E195=""),"",MAX($D195,$E195))</f>
        <v/>
      </c>
      <c r="I195" s="4" t="str">
        <f t="shared" ref="I195:I258" si="11">IF($E195="","",$E195)</f>
        <v/>
      </c>
    </row>
    <row r="196" spans="1:9" x14ac:dyDescent="0.2">
      <c r="A196" s="4">
        <v>194</v>
      </c>
      <c r="B196" s="4" t="str">
        <f>IF($A196&gt;MAX(CuttingList!$I$3:$I$202),"",MATCH($A196,CuttingList!$H$3:$H$202,1))</f>
        <v/>
      </c>
      <c r="C196" s="3" t="str">
        <f>IF($B196="","",INDEX(CuttingList!$A$3:$A$202,$B196))</f>
        <v/>
      </c>
      <c r="D196" s="4" t="str">
        <f>IF($B196="","",INDEX(CuttingList!$B$3:$B$202,$B196))</f>
        <v/>
      </c>
      <c r="E196" s="4" t="str">
        <f>IF($B196="","",INDEX(CuttingList!$C$3:$C$202,$B196))</f>
        <v/>
      </c>
      <c r="F196" s="3" t="str">
        <f>IF($B196="","",INDEX(CuttingList!$E$3:$E$202,$B196))</f>
        <v/>
      </c>
      <c r="G196" s="4" t="str">
        <f t="shared" si="9"/>
        <v/>
      </c>
      <c r="H196" s="4" t="str">
        <f t="shared" si="10"/>
        <v/>
      </c>
      <c r="I196" s="4" t="str">
        <f t="shared" si="11"/>
        <v/>
      </c>
    </row>
    <row r="197" spans="1:9" x14ac:dyDescent="0.2">
      <c r="A197" s="4">
        <v>195</v>
      </c>
      <c r="B197" s="4" t="str">
        <f>IF($A197&gt;MAX(CuttingList!$I$3:$I$202),"",MATCH($A197,CuttingList!$H$3:$H$202,1))</f>
        <v/>
      </c>
      <c r="C197" s="3" t="str">
        <f>IF($B197="","",INDEX(CuttingList!$A$3:$A$202,$B197))</f>
        <v/>
      </c>
      <c r="D197" s="4" t="str">
        <f>IF($B197="","",INDEX(CuttingList!$B$3:$B$202,$B197))</f>
        <v/>
      </c>
      <c r="E197" s="4" t="str">
        <f>IF($B197="","",INDEX(CuttingList!$C$3:$C$202,$B197))</f>
        <v/>
      </c>
      <c r="F197" s="3" t="str">
        <f>IF($B197="","",INDEX(CuttingList!$E$3:$E$202,$B197))</f>
        <v/>
      </c>
      <c r="G197" s="4" t="str">
        <f t="shared" si="9"/>
        <v/>
      </c>
      <c r="H197" s="4" t="str">
        <f t="shared" si="10"/>
        <v/>
      </c>
      <c r="I197" s="4" t="str">
        <f t="shared" si="11"/>
        <v/>
      </c>
    </row>
    <row r="198" spans="1:9" x14ac:dyDescent="0.2">
      <c r="A198" s="4">
        <v>196</v>
      </c>
      <c r="B198" s="4" t="str">
        <f>IF($A198&gt;MAX(CuttingList!$I$3:$I$202),"",MATCH($A198,CuttingList!$H$3:$H$202,1))</f>
        <v/>
      </c>
      <c r="C198" s="3" t="str">
        <f>IF($B198="","",INDEX(CuttingList!$A$3:$A$202,$B198))</f>
        <v/>
      </c>
      <c r="D198" s="4" t="str">
        <f>IF($B198="","",INDEX(CuttingList!$B$3:$B$202,$B198))</f>
        <v/>
      </c>
      <c r="E198" s="4" t="str">
        <f>IF($B198="","",INDEX(CuttingList!$C$3:$C$202,$B198))</f>
        <v/>
      </c>
      <c r="F198" s="3" t="str">
        <f>IF($B198="","",INDEX(CuttingList!$E$3:$E$202,$B198))</f>
        <v/>
      </c>
      <c r="G198" s="4" t="str">
        <f t="shared" si="9"/>
        <v/>
      </c>
      <c r="H198" s="4" t="str">
        <f t="shared" si="10"/>
        <v/>
      </c>
      <c r="I198" s="4" t="str">
        <f t="shared" si="11"/>
        <v/>
      </c>
    </row>
    <row r="199" spans="1:9" x14ac:dyDescent="0.2">
      <c r="A199" s="4">
        <v>197</v>
      </c>
      <c r="B199" s="4" t="str">
        <f>IF($A199&gt;MAX(CuttingList!$I$3:$I$202),"",MATCH($A199,CuttingList!$H$3:$H$202,1))</f>
        <v/>
      </c>
      <c r="C199" s="3" t="str">
        <f>IF($B199="","",INDEX(CuttingList!$A$3:$A$202,$B199))</f>
        <v/>
      </c>
      <c r="D199" s="4" t="str">
        <f>IF($B199="","",INDEX(CuttingList!$B$3:$B$202,$B199))</f>
        <v/>
      </c>
      <c r="E199" s="4" t="str">
        <f>IF($B199="","",INDEX(CuttingList!$C$3:$C$202,$B199))</f>
        <v/>
      </c>
      <c r="F199" s="3" t="str">
        <f>IF($B199="","",INDEX(CuttingList!$E$3:$E$202,$B199))</f>
        <v/>
      </c>
      <c r="G199" s="4" t="str">
        <f t="shared" si="9"/>
        <v/>
      </c>
      <c r="H199" s="4" t="str">
        <f t="shared" si="10"/>
        <v/>
      </c>
      <c r="I199" s="4" t="str">
        <f t="shared" si="11"/>
        <v/>
      </c>
    </row>
    <row r="200" spans="1:9" x14ac:dyDescent="0.2">
      <c r="A200" s="4">
        <v>198</v>
      </c>
      <c r="B200" s="4" t="str">
        <f>IF($A200&gt;MAX(CuttingList!$I$3:$I$202),"",MATCH($A200,CuttingList!$H$3:$H$202,1))</f>
        <v/>
      </c>
      <c r="C200" s="3" t="str">
        <f>IF($B200="","",INDEX(CuttingList!$A$3:$A$202,$B200))</f>
        <v/>
      </c>
      <c r="D200" s="4" t="str">
        <f>IF($B200="","",INDEX(CuttingList!$B$3:$B$202,$B200))</f>
        <v/>
      </c>
      <c r="E200" s="4" t="str">
        <f>IF($B200="","",INDEX(CuttingList!$C$3:$C$202,$B200))</f>
        <v/>
      </c>
      <c r="F200" s="3" t="str">
        <f>IF($B200="","",INDEX(CuttingList!$E$3:$E$202,$B200))</f>
        <v/>
      </c>
      <c r="G200" s="4" t="str">
        <f t="shared" si="9"/>
        <v/>
      </c>
      <c r="H200" s="4" t="str">
        <f t="shared" si="10"/>
        <v/>
      </c>
      <c r="I200" s="4" t="str">
        <f t="shared" si="11"/>
        <v/>
      </c>
    </row>
    <row r="201" spans="1:9" x14ac:dyDescent="0.2">
      <c r="A201" s="4">
        <v>199</v>
      </c>
      <c r="B201" s="4" t="str">
        <f>IF($A201&gt;MAX(CuttingList!$I$3:$I$202),"",MATCH($A201,CuttingList!$H$3:$H$202,1))</f>
        <v/>
      </c>
      <c r="C201" s="3" t="str">
        <f>IF($B201="","",INDEX(CuttingList!$A$3:$A$202,$B201))</f>
        <v/>
      </c>
      <c r="D201" s="4" t="str">
        <f>IF($B201="","",INDEX(CuttingList!$B$3:$B$202,$B201))</f>
        <v/>
      </c>
      <c r="E201" s="4" t="str">
        <f>IF($B201="","",INDEX(CuttingList!$C$3:$C$202,$B201))</f>
        <v/>
      </c>
      <c r="F201" s="3" t="str">
        <f>IF($B201="","",INDEX(CuttingList!$E$3:$E$202,$B201))</f>
        <v/>
      </c>
      <c r="G201" s="4" t="str">
        <f t="shared" si="9"/>
        <v/>
      </c>
      <c r="H201" s="4" t="str">
        <f t="shared" si="10"/>
        <v/>
      </c>
      <c r="I201" s="4" t="str">
        <f t="shared" si="11"/>
        <v/>
      </c>
    </row>
    <row r="202" spans="1:9" x14ac:dyDescent="0.2">
      <c r="A202" s="4">
        <v>200</v>
      </c>
      <c r="B202" s="4" t="str">
        <f>IF($A202&gt;MAX(CuttingList!$I$3:$I$202),"",MATCH($A202,CuttingList!$H$3:$H$202,1))</f>
        <v/>
      </c>
      <c r="C202" s="3" t="str">
        <f>IF($B202="","",INDEX(CuttingList!$A$3:$A$202,$B202))</f>
        <v/>
      </c>
      <c r="D202" s="4" t="str">
        <f>IF($B202="","",INDEX(CuttingList!$B$3:$B$202,$B202))</f>
        <v/>
      </c>
      <c r="E202" s="4" t="str">
        <f>IF($B202="","",INDEX(CuttingList!$C$3:$C$202,$B202))</f>
        <v/>
      </c>
      <c r="F202" s="3" t="str">
        <f>IF($B202="","",INDEX(CuttingList!$E$3:$E$202,$B202))</f>
        <v/>
      </c>
      <c r="G202" s="4" t="str">
        <f t="shared" si="9"/>
        <v/>
      </c>
      <c r="H202" s="4" t="str">
        <f t="shared" si="10"/>
        <v/>
      </c>
      <c r="I202" s="4" t="str">
        <f t="shared" si="11"/>
        <v/>
      </c>
    </row>
    <row r="203" spans="1:9" x14ac:dyDescent="0.2">
      <c r="A203" s="4">
        <v>201</v>
      </c>
      <c r="B203" s="4" t="str">
        <f>IF($A203&gt;MAX(CuttingList!$I$3:$I$202),"",MATCH($A203,CuttingList!$H$3:$H$202,1))</f>
        <v/>
      </c>
      <c r="C203" s="3" t="str">
        <f>IF($B203="","",INDEX(CuttingList!$A$3:$A$202,$B203))</f>
        <v/>
      </c>
      <c r="D203" s="4" t="str">
        <f>IF($B203="","",INDEX(CuttingList!$B$3:$B$202,$B203))</f>
        <v/>
      </c>
      <c r="E203" s="4" t="str">
        <f>IF($B203="","",INDEX(CuttingList!$C$3:$C$202,$B203))</f>
        <v/>
      </c>
      <c r="F203" s="3" t="str">
        <f>IF($B203="","",INDEX(CuttingList!$E$3:$E$202,$B203))</f>
        <v/>
      </c>
      <c r="G203" s="4" t="str">
        <f t="shared" si="9"/>
        <v/>
      </c>
      <c r="H203" s="4" t="str">
        <f t="shared" si="10"/>
        <v/>
      </c>
      <c r="I203" s="4" t="str">
        <f t="shared" si="11"/>
        <v/>
      </c>
    </row>
    <row r="204" spans="1:9" x14ac:dyDescent="0.2">
      <c r="A204" s="4">
        <v>202</v>
      </c>
      <c r="B204" s="4" t="str">
        <f>IF($A204&gt;MAX(CuttingList!$I$3:$I$202),"",MATCH($A204,CuttingList!$H$3:$H$202,1))</f>
        <v/>
      </c>
      <c r="C204" s="3" t="str">
        <f>IF($B204="","",INDEX(CuttingList!$A$3:$A$202,$B204))</f>
        <v/>
      </c>
      <c r="D204" s="4" t="str">
        <f>IF($B204="","",INDEX(CuttingList!$B$3:$B$202,$B204))</f>
        <v/>
      </c>
      <c r="E204" s="4" t="str">
        <f>IF($B204="","",INDEX(CuttingList!$C$3:$C$202,$B204))</f>
        <v/>
      </c>
      <c r="F204" s="3" t="str">
        <f>IF($B204="","",INDEX(CuttingList!$E$3:$E$202,$B204))</f>
        <v/>
      </c>
      <c r="G204" s="4" t="str">
        <f t="shared" si="9"/>
        <v/>
      </c>
      <c r="H204" s="4" t="str">
        <f t="shared" si="10"/>
        <v/>
      </c>
      <c r="I204" s="4" t="str">
        <f t="shared" si="11"/>
        <v/>
      </c>
    </row>
    <row r="205" spans="1:9" x14ac:dyDescent="0.2">
      <c r="A205" s="4">
        <v>203</v>
      </c>
      <c r="B205" s="4" t="str">
        <f>IF($A205&gt;MAX(CuttingList!$I$3:$I$202),"",MATCH($A205,CuttingList!$H$3:$H$202,1))</f>
        <v/>
      </c>
      <c r="C205" s="3" t="str">
        <f>IF($B205="","",INDEX(CuttingList!$A$3:$A$202,$B205))</f>
        <v/>
      </c>
      <c r="D205" s="4" t="str">
        <f>IF($B205="","",INDEX(CuttingList!$B$3:$B$202,$B205))</f>
        <v/>
      </c>
      <c r="E205" s="4" t="str">
        <f>IF($B205="","",INDEX(CuttingList!$C$3:$C$202,$B205))</f>
        <v/>
      </c>
      <c r="F205" s="3" t="str">
        <f>IF($B205="","",INDEX(CuttingList!$E$3:$E$202,$B205))</f>
        <v/>
      </c>
      <c r="G205" s="4" t="str">
        <f t="shared" si="9"/>
        <v/>
      </c>
      <c r="H205" s="4" t="str">
        <f t="shared" si="10"/>
        <v/>
      </c>
      <c r="I205" s="4" t="str">
        <f t="shared" si="11"/>
        <v/>
      </c>
    </row>
    <row r="206" spans="1:9" x14ac:dyDescent="0.2">
      <c r="A206" s="4">
        <v>204</v>
      </c>
      <c r="B206" s="4" t="str">
        <f>IF($A206&gt;MAX(CuttingList!$I$3:$I$202),"",MATCH($A206,CuttingList!$H$3:$H$202,1))</f>
        <v/>
      </c>
      <c r="C206" s="3" t="str">
        <f>IF($B206="","",INDEX(CuttingList!$A$3:$A$202,$B206))</f>
        <v/>
      </c>
      <c r="D206" s="4" t="str">
        <f>IF($B206="","",INDEX(CuttingList!$B$3:$B$202,$B206))</f>
        <v/>
      </c>
      <c r="E206" s="4" t="str">
        <f>IF($B206="","",INDEX(CuttingList!$C$3:$C$202,$B206))</f>
        <v/>
      </c>
      <c r="F206" s="3" t="str">
        <f>IF($B206="","",INDEX(CuttingList!$E$3:$E$202,$B206))</f>
        <v/>
      </c>
      <c r="G206" s="4" t="str">
        <f t="shared" si="9"/>
        <v/>
      </c>
      <c r="H206" s="4" t="str">
        <f t="shared" si="10"/>
        <v/>
      </c>
      <c r="I206" s="4" t="str">
        <f t="shared" si="11"/>
        <v/>
      </c>
    </row>
    <row r="207" spans="1:9" x14ac:dyDescent="0.2">
      <c r="A207" s="4">
        <v>205</v>
      </c>
      <c r="B207" s="4" t="str">
        <f>IF($A207&gt;MAX(CuttingList!$I$3:$I$202),"",MATCH($A207,CuttingList!$H$3:$H$202,1))</f>
        <v/>
      </c>
      <c r="C207" s="3" t="str">
        <f>IF($B207="","",INDEX(CuttingList!$A$3:$A$202,$B207))</f>
        <v/>
      </c>
      <c r="D207" s="4" t="str">
        <f>IF($B207="","",INDEX(CuttingList!$B$3:$B$202,$B207))</f>
        <v/>
      </c>
      <c r="E207" s="4" t="str">
        <f>IF($B207="","",INDEX(CuttingList!$C$3:$C$202,$B207))</f>
        <v/>
      </c>
      <c r="F207" s="3" t="str">
        <f>IF($B207="","",INDEX(CuttingList!$E$3:$E$202,$B207))</f>
        <v/>
      </c>
      <c r="G207" s="4" t="str">
        <f t="shared" si="9"/>
        <v/>
      </c>
      <c r="H207" s="4" t="str">
        <f t="shared" si="10"/>
        <v/>
      </c>
      <c r="I207" s="4" t="str">
        <f t="shared" si="11"/>
        <v/>
      </c>
    </row>
    <row r="208" spans="1:9" x14ac:dyDescent="0.2">
      <c r="A208" s="4">
        <v>206</v>
      </c>
      <c r="B208" s="4" t="str">
        <f>IF($A208&gt;MAX(CuttingList!$I$3:$I$202),"",MATCH($A208,CuttingList!$H$3:$H$202,1))</f>
        <v/>
      </c>
      <c r="C208" s="3" t="str">
        <f>IF($B208="","",INDEX(CuttingList!$A$3:$A$202,$B208))</f>
        <v/>
      </c>
      <c r="D208" s="4" t="str">
        <f>IF($B208="","",INDEX(CuttingList!$B$3:$B$202,$B208))</f>
        <v/>
      </c>
      <c r="E208" s="4" t="str">
        <f>IF($B208="","",INDEX(CuttingList!$C$3:$C$202,$B208))</f>
        <v/>
      </c>
      <c r="F208" s="3" t="str">
        <f>IF($B208="","",INDEX(CuttingList!$E$3:$E$202,$B208))</f>
        <v/>
      </c>
      <c r="G208" s="4" t="str">
        <f t="shared" si="9"/>
        <v/>
      </c>
      <c r="H208" s="4" t="str">
        <f t="shared" si="10"/>
        <v/>
      </c>
      <c r="I208" s="4" t="str">
        <f t="shared" si="11"/>
        <v/>
      </c>
    </row>
    <row r="209" spans="1:9" x14ac:dyDescent="0.2">
      <c r="A209" s="4">
        <v>207</v>
      </c>
      <c r="B209" s="4" t="str">
        <f>IF($A209&gt;MAX(CuttingList!$I$3:$I$202),"",MATCH($A209,CuttingList!$H$3:$H$202,1))</f>
        <v/>
      </c>
      <c r="C209" s="3" t="str">
        <f>IF($B209="","",INDEX(CuttingList!$A$3:$A$202,$B209))</f>
        <v/>
      </c>
      <c r="D209" s="4" t="str">
        <f>IF($B209="","",INDEX(CuttingList!$B$3:$B$202,$B209))</f>
        <v/>
      </c>
      <c r="E209" s="4" t="str">
        <f>IF($B209="","",INDEX(CuttingList!$C$3:$C$202,$B209))</f>
        <v/>
      </c>
      <c r="F209" s="3" t="str">
        <f>IF($B209="","",INDEX(CuttingList!$E$3:$E$202,$B209))</f>
        <v/>
      </c>
      <c r="G209" s="4" t="str">
        <f t="shared" si="9"/>
        <v/>
      </c>
      <c r="H209" s="4" t="str">
        <f t="shared" si="10"/>
        <v/>
      </c>
      <c r="I209" s="4" t="str">
        <f t="shared" si="11"/>
        <v/>
      </c>
    </row>
    <row r="210" spans="1:9" x14ac:dyDescent="0.2">
      <c r="A210" s="4">
        <v>208</v>
      </c>
      <c r="B210" s="4" t="str">
        <f>IF($A210&gt;MAX(CuttingList!$I$3:$I$202),"",MATCH($A210,CuttingList!$H$3:$H$202,1))</f>
        <v/>
      </c>
      <c r="C210" s="3" t="str">
        <f>IF($B210="","",INDEX(CuttingList!$A$3:$A$202,$B210))</f>
        <v/>
      </c>
      <c r="D210" s="4" t="str">
        <f>IF($B210="","",INDEX(CuttingList!$B$3:$B$202,$B210))</f>
        <v/>
      </c>
      <c r="E210" s="4" t="str">
        <f>IF($B210="","",INDEX(CuttingList!$C$3:$C$202,$B210))</f>
        <v/>
      </c>
      <c r="F210" s="3" t="str">
        <f>IF($B210="","",INDEX(CuttingList!$E$3:$E$202,$B210))</f>
        <v/>
      </c>
      <c r="G210" s="4" t="str">
        <f t="shared" si="9"/>
        <v/>
      </c>
      <c r="H210" s="4" t="str">
        <f t="shared" si="10"/>
        <v/>
      </c>
      <c r="I210" s="4" t="str">
        <f t="shared" si="11"/>
        <v/>
      </c>
    </row>
    <row r="211" spans="1:9" x14ac:dyDescent="0.2">
      <c r="A211" s="4">
        <v>209</v>
      </c>
      <c r="B211" s="4" t="str">
        <f>IF($A211&gt;MAX(CuttingList!$I$3:$I$202),"",MATCH($A211,CuttingList!$H$3:$H$202,1))</f>
        <v/>
      </c>
      <c r="C211" s="3" t="str">
        <f>IF($B211="","",INDEX(CuttingList!$A$3:$A$202,$B211))</f>
        <v/>
      </c>
      <c r="D211" s="4" t="str">
        <f>IF($B211="","",INDEX(CuttingList!$B$3:$B$202,$B211))</f>
        <v/>
      </c>
      <c r="E211" s="4" t="str">
        <f>IF($B211="","",INDEX(CuttingList!$C$3:$C$202,$B211))</f>
        <v/>
      </c>
      <c r="F211" s="3" t="str">
        <f>IF($B211="","",INDEX(CuttingList!$E$3:$E$202,$B211))</f>
        <v/>
      </c>
      <c r="G211" s="4" t="str">
        <f t="shared" si="9"/>
        <v/>
      </c>
      <c r="H211" s="4" t="str">
        <f t="shared" si="10"/>
        <v/>
      </c>
      <c r="I211" s="4" t="str">
        <f t="shared" si="11"/>
        <v/>
      </c>
    </row>
    <row r="212" spans="1:9" x14ac:dyDescent="0.2">
      <c r="A212" s="4">
        <v>210</v>
      </c>
      <c r="B212" s="4" t="str">
        <f>IF($A212&gt;MAX(CuttingList!$I$3:$I$202),"",MATCH($A212,CuttingList!$H$3:$H$202,1))</f>
        <v/>
      </c>
      <c r="C212" s="3" t="str">
        <f>IF($B212="","",INDEX(CuttingList!$A$3:$A$202,$B212))</f>
        <v/>
      </c>
      <c r="D212" s="4" t="str">
        <f>IF($B212="","",INDEX(CuttingList!$B$3:$B$202,$B212))</f>
        <v/>
      </c>
      <c r="E212" s="4" t="str">
        <f>IF($B212="","",INDEX(CuttingList!$C$3:$C$202,$B212))</f>
        <v/>
      </c>
      <c r="F212" s="3" t="str">
        <f>IF($B212="","",INDEX(CuttingList!$E$3:$E$202,$B212))</f>
        <v/>
      </c>
      <c r="G212" s="4" t="str">
        <f t="shared" si="9"/>
        <v/>
      </c>
      <c r="H212" s="4" t="str">
        <f t="shared" si="10"/>
        <v/>
      </c>
      <c r="I212" s="4" t="str">
        <f t="shared" si="11"/>
        <v/>
      </c>
    </row>
    <row r="213" spans="1:9" x14ac:dyDescent="0.2">
      <c r="A213" s="4">
        <v>211</v>
      </c>
      <c r="B213" s="4" t="str">
        <f>IF($A213&gt;MAX(CuttingList!$I$3:$I$202),"",MATCH($A213,CuttingList!$H$3:$H$202,1))</f>
        <v/>
      </c>
      <c r="C213" s="3" t="str">
        <f>IF($B213="","",INDEX(CuttingList!$A$3:$A$202,$B213))</f>
        <v/>
      </c>
      <c r="D213" s="4" t="str">
        <f>IF($B213="","",INDEX(CuttingList!$B$3:$B$202,$B213))</f>
        <v/>
      </c>
      <c r="E213" s="4" t="str">
        <f>IF($B213="","",INDEX(CuttingList!$C$3:$C$202,$B213))</f>
        <v/>
      </c>
      <c r="F213" s="3" t="str">
        <f>IF($B213="","",INDEX(CuttingList!$E$3:$E$202,$B213))</f>
        <v/>
      </c>
      <c r="G213" s="4" t="str">
        <f t="shared" si="9"/>
        <v/>
      </c>
      <c r="H213" s="4" t="str">
        <f t="shared" si="10"/>
        <v/>
      </c>
      <c r="I213" s="4" t="str">
        <f t="shared" si="11"/>
        <v/>
      </c>
    </row>
    <row r="214" spans="1:9" x14ac:dyDescent="0.2">
      <c r="A214" s="4">
        <v>212</v>
      </c>
      <c r="B214" s="4" t="str">
        <f>IF($A214&gt;MAX(CuttingList!$I$3:$I$202),"",MATCH($A214,CuttingList!$H$3:$H$202,1))</f>
        <v/>
      </c>
      <c r="C214" s="3" t="str">
        <f>IF($B214="","",INDEX(CuttingList!$A$3:$A$202,$B214))</f>
        <v/>
      </c>
      <c r="D214" s="4" t="str">
        <f>IF($B214="","",INDEX(CuttingList!$B$3:$B$202,$B214))</f>
        <v/>
      </c>
      <c r="E214" s="4" t="str">
        <f>IF($B214="","",INDEX(CuttingList!$C$3:$C$202,$B214))</f>
        <v/>
      </c>
      <c r="F214" s="3" t="str">
        <f>IF($B214="","",INDEX(CuttingList!$E$3:$E$202,$B214))</f>
        <v/>
      </c>
      <c r="G214" s="4" t="str">
        <f t="shared" si="9"/>
        <v/>
      </c>
      <c r="H214" s="4" t="str">
        <f t="shared" si="10"/>
        <v/>
      </c>
      <c r="I214" s="4" t="str">
        <f t="shared" si="11"/>
        <v/>
      </c>
    </row>
    <row r="215" spans="1:9" x14ac:dyDescent="0.2">
      <c r="A215" s="4">
        <v>213</v>
      </c>
      <c r="B215" s="4" t="str">
        <f>IF($A215&gt;MAX(CuttingList!$I$3:$I$202),"",MATCH($A215,CuttingList!$H$3:$H$202,1))</f>
        <v/>
      </c>
      <c r="C215" s="3" t="str">
        <f>IF($B215="","",INDEX(CuttingList!$A$3:$A$202,$B215))</f>
        <v/>
      </c>
      <c r="D215" s="4" t="str">
        <f>IF($B215="","",INDEX(CuttingList!$B$3:$B$202,$B215))</f>
        <v/>
      </c>
      <c r="E215" s="4" t="str">
        <f>IF($B215="","",INDEX(CuttingList!$C$3:$C$202,$B215))</f>
        <v/>
      </c>
      <c r="F215" s="3" t="str">
        <f>IF($B215="","",INDEX(CuttingList!$E$3:$E$202,$B215))</f>
        <v/>
      </c>
      <c r="G215" s="4" t="str">
        <f t="shared" si="9"/>
        <v/>
      </c>
      <c r="H215" s="4" t="str">
        <f t="shared" si="10"/>
        <v/>
      </c>
      <c r="I215" s="4" t="str">
        <f t="shared" si="11"/>
        <v/>
      </c>
    </row>
    <row r="216" spans="1:9" x14ac:dyDescent="0.2">
      <c r="A216" s="4">
        <v>214</v>
      </c>
      <c r="B216" s="4" t="str">
        <f>IF($A216&gt;MAX(CuttingList!$I$3:$I$202),"",MATCH($A216,CuttingList!$H$3:$H$202,1))</f>
        <v/>
      </c>
      <c r="C216" s="3" t="str">
        <f>IF($B216="","",INDEX(CuttingList!$A$3:$A$202,$B216))</f>
        <v/>
      </c>
      <c r="D216" s="4" t="str">
        <f>IF($B216="","",INDEX(CuttingList!$B$3:$B$202,$B216))</f>
        <v/>
      </c>
      <c r="E216" s="4" t="str">
        <f>IF($B216="","",INDEX(CuttingList!$C$3:$C$202,$B216))</f>
        <v/>
      </c>
      <c r="F216" s="3" t="str">
        <f>IF($B216="","",INDEX(CuttingList!$E$3:$E$202,$B216))</f>
        <v/>
      </c>
      <c r="G216" s="4" t="str">
        <f t="shared" si="9"/>
        <v/>
      </c>
      <c r="H216" s="4" t="str">
        <f t="shared" si="10"/>
        <v/>
      </c>
      <c r="I216" s="4" t="str">
        <f t="shared" si="11"/>
        <v/>
      </c>
    </row>
    <row r="217" spans="1:9" x14ac:dyDescent="0.2">
      <c r="A217" s="4">
        <v>215</v>
      </c>
      <c r="B217" s="4" t="str">
        <f>IF($A217&gt;MAX(CuttingList!$I$3:$I$202),"",MATCH($A217,CuttingList!$H$3:$H$202,1))</f>
        <v/>
      </c>
      <c r="C217" s="3" t="str">
        <f>IF($B217="","",INDEX(CuttingList!$A$3:$A$202,$B217))</f>
        <v/>
      </c>
      <c r="D217" s="4" t="str">
        <f>IF($B217="","",INDEX(CuttingList!$B$3:$B$202,$B217))</f>
        <v/>
      </c>
      <c r="E217" s="4" t="str">
        <f>IF($B217="","",INDEX(CuttingList!$C$3:$C$202,$B217))</f>
        <v/>
      </c>
      <c r="F217" s="3" t="str">
        <f>IF($B217="","",INDEX(CuttingList!$E$3:$E$202,$B217))</f>
        <v/>
      </c>
      <c r="G217" s="4" t="str">
        <f t="shared" si="9"/>
        <v/>
      </c>
      <c r="H217" s="4" t="str">
        <f t="shared" si="10"/>
        <v/>
      </c>
      <c r="I217" s="4" t="str">
        <f t="shared" si="11"/>
        <v/>
      </c>
    </row>
    <row r="218" spans="1:9" x14ac:dyDescent="0.2">
      <c r="A218" s="4">
        <v>216</v>
      </c>
      <c r="B218" s="4" t="str">
        <f>IF($A218&gt;MAX(CuttingList!$I$3:$I$202),"",MATCH($A218,CuttingList!$H$3:$H$202,1))</f>
        <v/>
      </c>
      <c r="C218" s="3" t="str">
        <f>IF($B218="","",INDEX(CuttingList!$A$3:$A$202,$B218))</f>
        <v/>
      </c>
      <c r="D218" s="4" t="str">
        <f>IF($B218="","",INDEX(CuttingList!$B$3:$B$202,$B218))</f>
        <v/>
      </c>
      <c r="E218" s="4" t="str">
        <f>IF($B218="","",INDEX(CuttingList!$C$3:$C$202,$B218))</f>
        <v/>
      </c>
      <c r="F218" s="3" t="str">
        <f>IF($B218="","",INDEX(CuttingList!$E$3:$E$202,$B218))</f>
        <v/>
      </c>
      <c r="G218" s="4" t="str">
        <f t="shared" si="9"/>
        <v/>
      </c>
      <c r="H218" s="4" t="str">
        <f t="shared" si="10"/>
        <v/>
      </c>
      <c r="I218" s="4" t="str">
        <f t="shared" si="11"/>
        <v/>
      </c>
    </row>
    <row r="219" spans="1:9" x14ac:dyDescent="0.2">
      <c r="A219" s="4">
        <v>217</v>
      </c>
      <c r="B219" s="4" t="str">
        <f>IF($A219&gt;MAX(CuttingList!$I$3:$I$202),"",MATCH($A219,CuttingList!$H$3:$H$202,1))</f>
        <v/>
      </c>
      <c r="C219" s="3" t="str">
        <f>IF($B219="","",INDEX(CuttingList!$A$3:$A$202,$B219))</f>
        <v/>
      </c>
      <c r="D219" s="4" t="str">
        <f>IF($B219="","",INDEX(CuttingList!$B$3:$B$202,$B219))</f>
        <v/>
      </c>
      <c r="E219" s="4" t="str">
        <f>IF($B219="","",INDEX(CuttingList!$C$3:$C$202,$B219))</f>
        <v/>
      </c>
      <c r="F219" s="3" t="str">
        <f>IF($B219="","",INDEX(CuttingList!$E$3:$E$202,$B219))</f>
        <v/>
      </c>
      <c r="G219" s="4" t="str">
        <f t="shared" si="9"/>
        <v/>
      </c>
      <c r="H219" s="4" t="str">
        <f t="shared" si="10"/>
        <v/>
      </c>
      <c r="I219" s="4" t="str">
        <f t="shared" si="11"/>
        <v/>
      </c>
    </row>
    <row r="220" spans="1:9" x14ac:dyDescent="0.2">
      <c r="A220" s="4">
        <v>218</v>
      </c>
      <c r="B220" s="4" t="str">
        <f>IF($A220&gt;MAX(CuttingList!$I$3:$I$202),"",MATCH($A220,CuttingList!$H$3:$H$202,1))</f>
        <v/>
      </c>
      <c r="C220" s="3" t="str">
        <f>IF($B220="","",INDEX(CuttingList!$A$3:$A$202,$B220))</f>
        <v/>
      </c>
      <c r="D220" s="4" t="str">
        <f>IF($B220="","",INDEX(CuttingList!$B$3:$B$202,$B220))</f>
        <v/>
      </c>
      <c r="E220" s="4" t="str">
        <f>IF($B220="","",INDEX(CuttingList!$C$3:$C$202,$B220))</f>
        <v/>
      </c>
      <c r="F220" s="3" t="str">
        <f>IF($B220="","",INDEX(CuttingList!$E$3:$E$202,$B220))</f>
        <v/>
      </c>
      <c r="G220" s="4" t="str">
        <f t="shared" si="9"/>
        <v/>
      </c>
      <c r="H220" s="4" t="str">
        <f t="shared" si="10"/>
        <v/>
      </c>
      <c r="I220" s="4" t="str">
        <f t="shared" si="11"/>
        <v/>
      </c>
    </row>
    <row r="221" spans="1:9" x14ac:dyDescent="0.2">
      <c r="A221" s="4">
        <v>219</v>
      </c>
      <c r="B221" s="4" t="str">
        <f>IF($A221&gt;MAX(CuttingList!$I$3:$I$202),"",MATCH($A221,CuttingList!$H$3:$H$202,1))</f>
        <v/>
      </c>
      <c r="C221" s="3" t="str">
        <f>IF($B221="","",INDEX(CuttingList!$A$3:$A$202,$B221))</f>
        <v/>
      </c>
      <c r="D221" s="4" t="str">
        <f>IF($B221="","",INDEX(CuttingList!$B$3:$B$202,$B221))</f>
        <v/>
      </c>
      <c r="E221" s="4" t="str">
        <f>IF($B221="","",INDEX(CuttingList!$C$3:$C$202,$B221))</f>
        <v/>
      </c>
      <c r="F221" s="3" t="str">
        <f>IF($B221="","",INDEX(CuttingList!$E$3:$E$202,$B221))</f>
        <v/>
      </c>
      <c r="G221" s="4" t="str">
        <f t="shared" si="9"/>
        <v/>
      </c>
      <c r="H221" s="4" t="str">
        <f t="shared" si="10"/>
        <v/>
      </c>
      <c r="I221" s="4" t="str">
        <f t="shared" si="11"/>
        <v/>
      </c>
    </row>
    <row r="222" spans="1:9" x14ac:dyDescent="0.2">
      <c r="A222" s="4">
        <v>220</v>
      </c>
      <c r="B222" s="4" t="str">
        <f>IF($A222&gt;MAX(CuttingList!$I$3:$I$202),"",MATCH($A222,CuttingList!$H$3:$H$202,1))</f>
        <v/>
      </c>
      <c r="C222" s="3" t="str">
        <f>IF($B222="","",INDEX(CuttingList!$A$3:$A$202,$B222))</f>
        <v/>
      </c>
      <c r="D222" s="4" t="str">
        <f>IF($B222="","",INDEX(CuttingList!$B$3:$B$202,$B222))</f>
        <v/>
      </c>
      <c r="E222" s="4" t="str">
        <f>IF($B222="","",INDEX(CuttingList!$C$3:$C$202,$B222))</f>
        <v/>
      </c>
      <c r="F222" s="3" t="str">
        <f>IF($B222="","",INDEX(CuttingList!$E$3:$E$202,$B222))</f>
        <v/>
      </c>
      <c r="G222" s="4" t="str">
        <f t="shared" si="9"/>
        <v/>
      </c>
      <c r="H222" s="4" t="str">
        <f t="shared" si="10"/>
        <v/>
      </c>
      <c r="I222" s="4" t="str">
        <f t="shared" si="11"/>
        <v/>
      </c>
    </row>
    <row r="223" spans="1:9" x14ac:dyDescent="0.2">
      <c r="A223" s="4">
        <v>221</v>
      </c>
      <c r="B223" s="4" t="str">
        <f>IF($A223&gt;MAX(CuttingList!$I$3:$I$202),"",MATCH($A223,CuttingList!$H$3:$H$202,1))</f>
        <v/>
      </c>
      <c r="C223" s="3" t="str">
        <f>IF($B223="","",INDEX(CuttingList!$A$3:$A$202,$B223))</f>
        <v/>
      </c>
      <c r="D223" s="4" t="str">
        <f>IF($B223="","",INDEX(CuttingList!$B$3:$B$202,$B223))</f>
        <v/>
      </c>
      <c r="E223" s="4" t="str">
        <f>IF($B223="","",INDEX(CuttingList!$C$3:$C$202,$B223))</f>
        <v/>
      </c>
      <c r="F223" s="3" t="str">
        <f>IF($B223="","",INDEX(CuttingList!$E$3:$E$202,$B223))</f>
        <v/>
      </c>
      <c r="G223" s="4" t="str">
        <f t="shared" si="9"/>
        <v/>
      </c>
      <c r="H223" s="4" t="str">
        <f t="shared" si="10"/>
        <v/>
      </c>
      <c r="I223" s="4" t="str">
        <f t="shared" si="11"/>
        <v/>
      </c>
    </row>
    <row r="224" spans="1:9" x14ac:dyDescent="0.2">
      <c r="A224" s="4">
        <v>222</v>
      </c>
      <c r="B224" s="4" t="str">
        <f>IF($A224&gt;MAX(CuttingList!$I$3:$I$202),"",MATCH($A224,CuttingList!$H$3:$H$202,1))</f>
        <v/>
      </c>
      <c r="C224" s="3" t="str">
        <f>IF($B224="","",INDEX(CuttingList!$A$3:$A$202,$B224))</f>
        <v/>
      </c>
      <c r="D224" s="4" t="str">
        <f>IF($B224="","",INDEX(CuttingList!$B$3:$B$202,$B224))</f>
        <v/>
      </c>
      <c r="E224" s="4" t="str">
        <f>IF($B224="","",INDEX(CuttingList!$C$3:$C$202,$B224))</f>
        <v/>
      </c>
      <c r="F224" s="3" t="str">
        <f>IF($B224="","",INDEX(CuttingList!$E$3:$E$202,$B224))</f>
        <v/>
      </c>
      <c r="G224" s="4" t="str">
        <f t="shared" si="9"/>
        <v/>
      </c>
      <c r="H224" s="4" t="str">
        <f t="shared" si="10"/>
        <v/>
      </c>
      <c r="I224" s="4" t="str">
        <f t="shared" si="11"/>
        <v/>
      </c>
    </row>
    <row r="225" spans="1:9" x14ac:dyDescent="0.2">
      <c r="A225" s="4">
        <v>223</v>
      </c>
      <c r="B225" s="4" t="str">
        <f>IF($A225&gt;MAX(CuttingList!$I$3:$I$202),"",MATCH($A225,CuttingList!$H$3:$H$202,1))</f>
        <v/>
      </c>
      <c r="C225" s="3" t="str">
        <f>IF($B225="","",INDEX(CuttingList!$A$3:$A$202,$B225))</f>
        <v/>
      </c>
      <c r="D225" s="4" t="str">
        <f>IF($B225="","",INDEX(CuttingList!$B$3:$B$202,$B225))</f>
        <v/>
      </c>
      <c r="E225" s="4" t="str">
        <f>IF($B225="","",INDEX(CuttingList!$C$3:$C$202,$B225))</f>
        <v/>
      </c>
      <c r="F225" s="3" t="str">
        <f>IF($B225="","",INDEX(CuttingList!$E$3:$E$202,$B225))</f>
        <v/>
      </c>
      <c r="G225" s="4" t="str">
        <f t="shared" si="9"/>
        <v/>
      </c>
      <c r="H225" s="4" t="str">
        <f t="shared" si="10"/>
        <v/>
      </c>
      <c r="I225" s="4" t="str">
        <f t="shared" si="11"/>
        <v/>
      </c>
    </row>
    <row r="226" spans="1:9" x14ac:dyDescent="0.2">
      <c r="A226" s="4">
        <v>224</v>
      </c>
      <c r="B226" s="4" t="str">
        <f>IF($A226&gt;MAX(CuttingList!$I$3:$I$202),"",MATCH($A226,CuttingList!$H$3:$H$202,1))</f>
        <v/>
      </c>
      <c r="C226" s="3" t="str">
        <f>IF($B226="","",INDEX(CuttingList!$A$3:$A$202,$B226))</f>
        <v/>
      </c>
      <c r="D226" s="4" t="str">
        <f>IF($B226="","",INDEX(CuttingList!$B$3:$B$202,$B226))</f>
        <v/>
      </c>
      <c r="E226" s="4" t="str">
        <f>IF($B226="","",INDEX(CuttingList!$C$3:$C$202,$B226))</f>
        <v/>
      </c>
      <c r="F226" s="3" t="str">
        <f>IF($B226="","",INDEX(CuttingList!$E$3:$E$202,$B226))</f>
        <v/>
      </c>
      <c r="G226" s="4" t="str">
        <f t="shared" si="9"/>
        <v/>
      </c>
      <c r="H226" s="4" t="str">
        <f t="shared" si="10"/>
        <v/>
      </c>
      <c r="I226" s="4" t="str">
        <f t="shared" si="11"/>
        <v/>
      </c>
    </row>
    <row r="227" spans="1:9" x14ac:dyDescent="0.2">
      <c r="A227" s="4">
        <v>225</v>
      </c>
      <c r="B227" s="4" t="str">
        <f>IF($A227&gt;MAX(CuttingList!$I$3:$I$202),"",MATCH($A227,CuttingList!$H$3:$H$202,1))</f>
        <v/>
      </c>
      <c r="C227" s="3" t="str">
        <f>IF($B227="","",INDEX(CuttingList!$A$3:$A$202,$B227))</f>
        <v/>
      </c>
      <c r="D227" s="4" t="str">
        <f>IF($B227="","",INDEX(CuttingList!$B$3:$B$202,$B227))</f>
        <v/>
      </c>
      <c r="E227" s="4" t="str">
        <f>IF($B227="","",INDEX(CuttingList!$C$3:$C$202,$B227))</f>
        <v/>
      </c>
      <c r="F227" s="3" t="str">
        <f>IF($B227="","",INDEX(CuttingList!$E$3:$E$202,$B227))</f>
        <v/>
      </c>
      <c r="G227" s="4" t="str">
        <f t="shared" si="9"/>
        <v/>
      </c>
      <c r="H227" s="4" t="str">
        <f t="shared" si="10"/>
        <v/>
      </c>
      <c r="I227" s="4" t="str">
        <f t="shared" si="11"/>
        <v/>
      </c>
    </row>
    <row r="228" spans="1:9" x14ac:dyDescent="0.2">
      <c r="A228" s="4">
        <v>226</v>
      </c>
      <c r="B228" s="4" t="str">
        <f>IF($A228&gt;MAX(CuttingList!$I$3:$I$202),"",MATCH($A228,CuttingList!$H$3:$H$202,1))</f>
        <v/>
      </c>
      <c r="C228" s="3" t="str">
        <f>IF($B228="","",INDEX(CuttingList!$A$3:$A$202,$B228))</f>
        <v/>
      </c>
      <c r="D228" s="4" t="str">
        <f>IF($B228="","",INDEX(CuttingList!$B$3:$B$202,$B228))</f>
        <v/>
      </c>
      <c r="E228" s="4" t="str">
        <f>IF($B228="","",INDEX(CuttingList!$C$3:$C$202,$B228))</f>
        <v/>
      </c>
      <c r="F228" s="3" t="str">
        <f>IF($B228="","",INDEX(CuttingList!$E$3:$E$202,$B228))</f>
        <v/>
      </c>
      <c r="G228" s="4" t="str">
        <f t="shared" si="9"/>
        <v/>
      </c>
      <c r="H228" s="4" t="str">
        <f t="shared" si="10"/>
        <v/>
      </c>
      <c r="I228" s="4" t="str">
        <f t="shared" si="11"/>
        <v/>
      </c>
    </row>
    <row r="229" spans="1:9" x14ac:dyDescent="0.2">
      <c r="A229" s="4">
        <v>227</v>
      </c>
      <c r="B229" s="4" t="str">
        <f>IF($A229&gt;MAX(CuttingList!$I$3:$I$202),"",MATCH($A229,CuttingList!$H$3:$H$202,1))</f>
        <v/>
      </c>
      <c r="C229" s="3" t="str">
        <f>IF($B229="","",INDEX(CuttingList!$A$3:$A$202,$B229))</f>
        <v/>
      </c>
      <c r="D229" s="4" t="str">
        <f>IF($B229="","",INDEX(CuttingList!$B$3:$B$202,$B229))</f>
        <v/>
      </c>
      <c r="E229" s="4" t="str">
        <f>IF($B229="","",INDEX(CuttingList!$C$3:$C$202,$B229))</f>
        <v/>
      </c>
      <c r="F229" s="3" t="str">
        <f>IF($B229="","",INDEX(CuttingList!$E$3:$E$202,$B229))</f>
        <v/>
      </c>
      <c r="G229" s="4" t="str">
        <f t="shared" si="9"/>
        <v/>
      </c>
      <c r="H229" s="4" t="str">
        <f t="shared" si="10"/>
        <v/>
      </c>
      <c r="I229" s="4" t="str">
        <f t="shared" si="11"/>
        <v/>
      </c>
    </row>
    <row r="230" spans="1:9" x14ac:dyDescent="0.2">
      <c r="A230" s="4">
        <v>228</v>
      </c>
      <c r="B230" s="4" t="str">
        <f>IF($A230&gt;MAX(CuttingList!$I$3:$I$202),"",MATCH($A230,CuttingList!$H$3:$H$202,1))</f>
        <v/>
      </c>
      <c r="C230" s="3" t="str">
        <f>IF($B230="","",INDEX(CuttingList!$A$3:$A$202,$B230))</f>
        <v/>
      </c>
      <c r="D230" s="4" t="str">
        <f>IF($B230="","",INDEX(CuttingList!$B$3:$B$202,$B230))</f>
        <v/>
      </c>
      <c r="E230" s="4" t="str">
        <f>IF($B230="","",INDEX(CuttingList!$C$3:$C$202,$B230))</f>
        <v/>
      </c>
      <c r="F230" s="3" t="str">
        <f>IF($B230="","",INDEX(CuttingList!$E$3:$E$202,$B230))</f>
        <v/>
      </c>
      <c r="G230" s="4" t="str">
        <f t="shared" si="9"/>
        <v/>
      </c>
      <c r="H230" s="4" t="str">
        <f t="shared" si="10"/>
        <v/>
      </c>
      <c r="I230" s="4" t="str">
        <f t="shared" si="11"/>
        <v/>
      </c>
    </row>
    <row r="231" spans="1:9" x14ac:dyDescent="0.2">
      <c r="A231" s="4">
        <v>229</v>
      </c>
      <c r="B231" s="4" t="str">
        <f>IF($A231&gt;MAX(CuttingList!$I$3:$I$202),"",MATCH($A231,CuttingList!$H$3:$H$202,1))</f>
        <v/>
      </c>
      <c r="C231" s="3" t="str">
        <f>IF($B231="","",INDEX(CuttingList!$A$3:$A$202,$B231))</f>
        <v/>
      </c>
      <c r="D231" s="4" t="str">
        <f>IF($B231="","",INDEX(CuttingList!$B$3:$B$202,$B231))</f>
        <v/>
      </c>
      <c r="E231" s="4" t="str">
        <f>IF($B231="","",INDEX(CuttingList!$C$3:$C$202,$B231))</f>
        <v/>
      </c>
      <c r="F231" s="3" t="str">
        <f>IF($B231="","",INDEX(CuttingList!$E$3:$E$202,$B231))</f>
        <v/>
      </c>
      <c r="G231" s="4" t="str">
        <f t="shared" si="9"/>
        <v/>
      </c>
      <c r="H231" s="4" t="str">
        <f t="shared" si="10"/>
        <v/>
      </c>
      <c r="I231" s="4" t="str">
        <f t="shared" si="11"/>
        <v/>
      </c>
    </row>
    <row r="232" spans="1:9" x14ac:dyDescent="0.2">
      <c r="A232" s="4">
        <v>230</v>
      </c>
      <c r="B232" s="4" t="str">
        <f>IF($A232&gt;MAX(CuttingList!$I$3:$I$202),"",MATCH($A232,CuttingList!$H$3:$H$202,1))</f>
        <v/>
      </c>
      <c r="C232" s="3" t="str">
        <f>IF($B232="","",INDEX(CuttingList!$A$3:$A$202,$B232))</f>
        <v/>
      </c>
      <c r="D232" s="4" t="str">
        <f>IF($B232="","",INDEX(CuttingList!$B$3:$B$202,$B232))</f>
        <v/>
      </c>
      <c r="E232" s="4" t="str">
        <f>IF($B232="","",INDEX(CuttingList!$C$3:$C$202,$B232))</f>
        <v/>
      </c>
      <c r="F232" s="3" t="str">
        <f>IF($B232="","",INDEX(CuttingList!$E$3:$E$202,$B232))</f>
        <v/>
      </c>
      <c r="G232" s="4" t="str">
        <f t="shared" si="9"/>
        <v/>
      </c>
      <c r="H232" s="4" t="str">
        <f t="shared" si="10"/>
        <v/>
      </c>
      <c r="I232" s="4" t="str">
        <f t="shared" si="11"/>
        <v/>
      </c>
    </row>
    <row r="233" spans="1:9" x14ac:dyDescent="0.2">
      <c r="A233" s="4">
        <v>231</v>
      </c>
      <c r="B233" s="4" t="str">
        <f>IF($A233&gt;MAX(CuttingList!$I$3:$I$202),"",MATCH($A233,CuttingList!$H$3:$H$202,1))</f>
        <v/>
      </c>
      <c r="C233" s="3" t="str">
        <f>IF($B233="","",INDEX(CuttingList!$A$3:$A$202,$B233))</f>
        <v/>
      </c>
      <c r="D233" s="4" t="str">
        <f>IF($B233="","",INDEX(CuttingList!$B$3:$B$202,$B233))</f>
        <v/>
      </c>
      <c r="E233" s="4" t="str">
        <f>IF($B233="","",INDEX(CuttingList!$C$3:$C$202,$B233))</f>
        <v/>
      </c>
      <c r="F233" s="3" t="str">
        <f>IF($B233="","",INDEX(CuttingList!$E$3:$E$202,$B233))</f>
        <v/>
      </c>
      <c r="G233" s="4" t="str">
        <f t="shared" si="9"/>
        <v/>
      </c>
      <c r="H233" s="4" t="str">
        <f t="shared" si="10"/>
        <v/>
      </c>
      <c r="I233" s="4" t="str">
        <f t="shared" si="11"/>
        <v/>
      </c>
    </row>
    <row r="234" spans="1:9" x14ac:dyDescent="0.2">
      <c r="A234" s="4">
        <v>232</v>
      </c>
      <c r="B234" s="4" t="str">
        <f>IF($A234&gt;MAX(CuttingList!$I$3:$I$202),"",MATCH($A234,CuttingList!$H$3:$H$202,1))</f>
        <v/>
      </c>
      <c r="C234" s="3" t="str">
        <f>IF($B234="","",INDEX(CuttingList!$A$3:$A$202,$B234))</f>
        <v/>
      </c>
      <c r="D234" s="4" t="str">
        <f>IF($B234="","",INDEX(CuttingList!$B$3:$B$202,$B234))</f>
        <v/>
      </c>
      <c r="E234" s="4" t="str">
        <f>IF($B234="","",INDEX(CuttingList!$C$3:$C$202,$B234))</f>
        <v/>
      </c>
      <c r="F234" s="3" t="str">
        <f>IF($B234="","",INDEX(CuttingList!$E$3:$E$202,$B234))</f>
        <v/>
      </c>
      <c r="G234" s="4" t="str">
        <f t="shared" si="9"/>
        <v/>
      </c>
      <c r="H234" s="4" t="str">
        <f t="shared" si="10"/>
        <v/>
      </c>
      <c r="I234" s="4" t="str">
        <f t="shared" si="11"/>
        <v/>
      </c>
    </row>
    <row r="235" spans="1:9" x14ac:dyDescent="0.2">
      <c r="A235" s="4">
        <v>233</v>
      </c>
      <c r="B235" s="4" t="str">
        <f>IF($A235&gt;MAX(CuttingList!$I$3:$I$202),"",MATCH($A235,CuttingList!$H$3:$H$202,1))</f>
        <v/>
      </c>
      <c r="C235" s="3" t="str">
        <f>IF($B235="","",INDEX(CuttingList!$A$3:$A$202,$B235))</f>
        <v/>
      </c>
      <c r="D235" s="4" t="str">
        <f>IF($B235="","",INDEX(CuttingList!$B$3:$B$202,$B235))</f>
        <v/>
      </c>
      <c r="E235" s="4" t="str">
        <f>IF($B235="","",INDEX(CuttingList!$C$3:$C$202,$B235))</f>
        <v/>
      </c>
      <c r="F235" s="3" t="str">
        <f>IF($B235="","",INDEX(CuttingList!$E$3:$E$202,$B235))</f>
        <v/>
      </c>
      <c r="G235" s="4" t="str">
        <f t="shared" si="9"/>
        <v/>
      </c>
      <c r="H235" s="4" t="str">
        <f t="shared" si="10"/>
        <v/>
      </c>
      <c r="I235" s="4" t="str">
        <f t="shared" si="11"/>
        <v/>
      </c>
    </row>
    <row r="236" spans="1:9" x14ac:dyDescent="0.2">
      <c r="A236" s="4">
        <v>234</v>
      </c>
      <c r="B236" s="4" t="str">
        <f>IF($A236&gt;MAX(CuttingList!$I$3:$I$202),"",MATCH($A236,CuttingList!$H$3:$H$202,1))</f>
        <v/>
      </c>
      <c r="C236" s="3" t="str">
        <f>IF($B236="","",INDEX(CuttingList!$A$3:$A$202,$B236))</f>
        <v/>
      </c>
      <c r="D236" s="4" t="str">
        <f>IF($B236="","",INDEX(CuttingList!$B$3:$B$202,$B236))</f>
        <v/>
      </c>
      <c r="E236" s="4" t="str">
        <f>IF($B236="","",INDEX(CuttingList!$C$3:$C$202,$B236))</f>
        <v/>
      </c>
      <c r="F236" s="3" t="str">
        <f>IF($B236="","",INDEX(CuttingList!$E$3:$E$202,$B236))</f>
        <v/>
      </c>
      <c r="G236" s="4" t="str">
        <f t="shared" si="9"/>
        <v/>
      </c>
      <c r="H236" s="4" t="str">
        <f t="shared" si="10"/>
        <v/>
      </c>
      <c r="I236" s="4" t="str">
        <f t="shared" si="11"/>
        <v/>
      </c>
    </row>
    <row r="237" spans="1:9" x14ac:dyDescent="0.2">
      <c r="A237" s="4">
        <v>235</v>
      </c>
      <c r="B237" s="4" t="str">
        <f>IF($A237&gt;MAX(CuttingList!$I$3:$I$202),"",MATCH($A237,CuttingList!$H$3:$H$202,1))</f>
        <v/>
      </c>
      <c r="C237" s="3" t="str">
        <f>IF($B237="","",INDEX(CuttingList!$A$3:$A$202,$B237))</f>
        <v/>
      </c>
      <c r="D237" s="4" t="str">
        <f>IF($B237="","",INDEX(CuttingList!$B$3:$B$202,$B237))</f>
        <v/>
      </c>
      <c r="E237" s="4" t="str">
        <f>IF($B237="","",INDEX(CuttingList!$C$3:$C$202,$B237))</f>
        <v/>
      </c>
      <c r="F237" s="3" t="str">
        <f>IF($B237="","",INDEX(CuttingList!$E$3:$E$202,$B237))</f>
        <v/>
      </c>
      <c r="G237" s="4" t="str">
        <f t="shared" si="9"/>
        <v/>
      </c>
      <c r="H237" s="4" t="str">
        <f t="shared" si="10"/>
        <v/>
      </c>
      <c r="I237" s="4" t="str">
        <f t="shared" si="11"/>
        <v/>
      </c>
    </row>
    <row r="238" spans="1:9" x14ac:dyDescent="0.2">
      <c r="A238" s="4">
        <v>236</v>
      </c>
      <c r="B238" s="4" t="str">
        <f>IF($A238&gt;MAX(CuttingList!$I$3:$I$202),"",MATCH($A238,CuttingList!$H$3:$H$202,1))</f>
        <v/>
      </c>
      <c r="C238" s="3" t="str">
        <f>IF($B238="","",INDEX(CuttingList!$A$3:$A$202,$B238))</f>
        <v/>
      </c>
      <c r="D238" s="4" t="str">
        <f>IF($B238="","",INDEX(CuttingList!$B$3:$B$202,$B238))</f>
        <v/>
      </c>
      <c r="E238" s="4" t="str">
        <f>IF($B238="","",INDEX(CuttingList!$C$3:$C$202,$B238))</f>
        <v/>
      </c>
      <c r="F238" s="3" t="str">
        <f>IF($B238="","",INDEX(CuttingList!$E$3:$E$202,$B238))</f>
        <v/>
      </c>
      <c r="G238" s="4" t="str">
        <f t="shared" si="9"/>
        <v/>
      </c>
      <c r="H238" s="4" t="str">
        <f t="shared" si="10"/>
        <v/>
      </c>
      <c r="I238" s="4" t="str">
        <f t="shared" si="11"/>
        <v/>
      </c>
    </row>
    <row r="239" spans="1:9" x14ac:dyDescent="0.2">
      <c r="A239" s="4">
        <v>237</v>
      </c>
      <c r="B239" s="4" t="str">
        <f>IF($A239&gt;MAX(CuttingList!$I$3:$I$202),"",MATCH($A239,CuttingList!$H$3:$H$202,1))</f>
        <v/>
      </c>
      <c r="C239" s="3" t="str">
        <f>IF($B239="","",INDEX(CuttingList!$A$3:$A$202,$B239))</f>
        <v/>
      </c>
      <c r="D239" s="4" t="str">
        <f>IF($B239="","",INDEX(CuttingList!$B$3:$B$202,$B239))</f>
        <v/>
      </c>
      <c r="E239" s="4" t="str">
        <f>IF($B239="","",INDEX(CuttingList!$C$3:$C$202,$B239))</f>
        <v/>
      </c>
      <c r="F239" s="3" t="str">
        <f>IF($B239="","",INDEX(CuttingList!$E$3:$E$202,$B239))</f>
        <v/>
      </c>
      <c r="G239" s="4" t="str">
        <f t="shared" si="9"/>
        <v/>
      </c>
      <c r="H239" s="4" t="str">
        <f t="shared" si="10"/>
        <v/>
      </c>
      <c r="I239" s="4" t="str">
        <f t="shared" si="11"/>
        <v/>
      </c>
    </row>
    <row r="240" spans="1:9" x14ac:dyDescent="0.2">
      <c r="A240" s="4">
        <v>238</v>
      </c>
      <c r="B240" s="4" t="str">
        <f>IF($A240&gt;MAX(CuttingList!$I$3:$I$202),"",MATCH($A240,CuttingList!$H$3:$H$202,1))</f>
        <v/>
      </c>
      <c r="C240" s="3" t="str">
        <f>IF($B240="","",INDEX(CuttingList!$A$3:$A$202,$B240))</f>
        <v/>
      </c>
      <c r="D240" s="4" t="str">
        <f>IF($B240="","",INDEX(CuttingList!$B$3:$B$202,$B240))</f>
        <v/>
      </c>
      <c r="E240" s="4" t="str">
        <f>IF($B240="","",INDEX(CuttingList!$C$3:$C$202,$B240))</f>
        <v/>
      </c>
      <c r="F240" s="3" t="str">
        <f>IF($B240="","",INDEX(CuttingList!$E$3:$E$202,$B240))</f>
        <v/>
      </c>
      <c r="G240" s="4" t="str">
        <f t="shared" si="9"/>
        <v/>
      </c>
      <c r="H240" s="4" t="str">
        <f t="shared" si="10"/>
        <v/>
      </c>
      <c r="I240" s="4" t="str">
        <f t="shared" si="11"/>
        <v/>
      </c>
    </row>
    <row r="241" spans="1:9" x14ac:dyDescent="0.2">
      <c r="A241" s="4">
        <v>239</v>
      </c>
      <c r="B241" s="4" t="str">
        <f>IF($A241&gt;MAX(CuttingList!$I$3:$I$202),"",MATCH($A241,CuttingList!$H$3:$H$202,1))</f>
        <v/>
      </c>
      <c r="C241" s="3" t="str">
        <f>IF($B241="","",INDEX(CuttingList!$A$3:$A$202,$B241))</f>
        <v/>
      </c>
      <c r="D241" s="4" t="str">
        <f>IF($B241="","",INDEX(CuttingList!$B$3:$B$202,$B241))</f>
        <v/>
      </c>
      <c r="E241" s="4" t="str">
        <f>IF($B241="","",INDEX(CuttingList!$C$3:$C$202,$B241))</f>
        <v/>
      </c>
      <c r="F241" s="3" t="str">
        <f>IF($B241="","",INDEX(CuttingList!$E$3:$E$202,$B241))</f>
        <v/>
      </c>
      <c r="G241" s="4" t="str">
        <f t="shared" si="9"/>
        <v/>
      </c>
      <c r="H241" s="4" t="str">
        <f t="shared" si="10"/>
        <v/>
      </c>
      <c r="I241" s="4" t="str">
        <f t="shared" si="11"/>
        <v/>
      </c>
    </row>
    <row r="242" spans="1:9" x14ac:dyDescent="0.2">
      <c r="A242" s="4">
        <v>240</v>
      </c>
      <c r="B242" s="4" t="str">
        <f>IF($A242&gt;MAX(CuttingList!$I$3:$I$202),"",MATCH($A242,CuttingList!$H$3:$H$202,1))</f>
        <v/>
      </c>
      <c r="C242" s="3" t="str">
        <f>IF($B242="","",INDEX(CuttingList!$A$3:$A$202,$B242))</f>
        <v/>
      </c>
      <c r="D242" s="4" t="str">
        <f>IF($B242="","",INDEX(CuttingList!$B$3:$B$202,$B242))</f>
        <v/>
      </c>
      <c r="E242" s="4" t="str">
        <f>IF($B242="","",INDEX(CuttingList!$C$3:$C$202,$B242))</f>
        <v/>
      </c>
      <c r="F242" s="3" t="str">
        <f>IF($B242="","",INDEX(CuttingList!$E$3:$E$202,$B242))</f>
        <v/>
      </c>
      <c r="G242" s="4" t="str">
        <f t="shared" si="9"/>
        <v/>
      </c>
      <c r="H242" s="4" t="str">
        <f t="shared" si="10"/>
        <v/>
      </c>
      <c r="I242" s="4" t="str">
        <f t="shared" si="11"/>
        <v/>
      </c>
    </row>
    <row r="243" spans="1:9" x14ac:dyDescent="0.2">
      <c r="A243" s="4">
        <v>241</v>
      </c>
      <c r="B243" s="4" t="str">
        <f>IF($A243&gt;MAX(CuttingList!$I$3:$I$202),"",MATCH($A243,CuttingList!$H$3:$H$202,1))</f>
        <v/>
      </c>
      <c r="C243" s="3" t="str">
        <f>IF($B243="","",INDEX(CuttingList!$A$3:$A$202,$B243))</f>
        <v/>
      </c>
      <c r="D243" s="4" t="str">
        <f>IF($B243="","",INDEX(CuttingList!$B$3:$B$202,$B243))</f>
        <v/>
      </c>
      <c r="E243" s="4" t="str">
        <f>IF($B243="","",INDEX(CuttingList!$C$3:$C$202,$B243))</f>
        <v/>
      </c>
      <c r="F243" s="3" t="str">
        <f>IF($B243="","",INDEX(CuttingList!$E$3:$E$202,$B243))</f>
        <v/>
      </c>
      <c r="G243" s="4" t="str">
        <f t="shared" si="9"/>
        <v/>
      </c>
      <c r="H243" s="4" t="str">
        <f t="shared" si="10"/>
        <v/>
      </c>
      <c r="I243" s="4" t="str">
        <f t="shared" si="11"/>
        <v/>
      </c>
    </row>
    <row r="244" spans="1:9" x14ac:dyDescent="0.2">
      <c r="A244" s="4">
        <v>242</v>
      </c>
      <c r="B244" s="4" t="str">
        <f>IF($A244&gt;MAX(CuttingList!$I$3:$I$202),"",MATCH($A244,CuttingList!$H$3:$H$202,1))</f>
        <v/>
      </c>
      <c r="C244" s="3" t="str">
        <f>IF($B244="","",INDEX(CuttingList!$A$3:$A$202,$B244))</f>
        <v/>
      </c>
      <c r="D244" s="4" t="str">
        <f>IF($B244="","",INDEX(CuttingList!$B$3:$B$202,$B244))</f>
        <v/>
      </c>
      <c r="E244" s="4" t="str">
        <f>IF($B244="","",INDEX(CuttingList!$C$3:$C$202,$B244))</f>
        <v/>
      </c>
      <c r="F244" s="3" t="str">
        <f>IF($B244="","",INDEX(CuttingList!$E$3:$E$202,$B244))</f>
        <v/>
      </c>
      <c r="G244" s="4" t="str">
        <f t="shared" si="9"/>
        <v/>
      </c>
      <c r="H244" s="4" t="str">
        <f t="shared" si="10"/>
        <v/>
      </c>
      <c r="I244" s="4" t="str">
        <f t="shared" si="11"/>
        <v/>
      </c>
    </row>
    <row r="245" spans="1:9" x14ac:dyDescent="0.2">
      <c r="A245" s="4">
        <v>243</v>
      </c>
      <c r="B245" s="4" t="str">
        <f>IF($A245&gt;MAX(CuttingList!$I$3:$I$202),"",MATCH($A245,CuttingList!$H$3:$H$202,1))</f>
        <v/>
      </c>
      <c r="C245" s="3" t="str">
        <f>IF($B245="","",INDEX(CuttingList!$A$3:$A$202,$B245))</f>
        <v/>
      </c>
      <c r="D245" s="4" t="str">
        <f>IF($B245="","",INDEX(CuttingList!$B$3:$B$202,$B245))</f>
        <v/>
      </c>
      <c r="E245" s="4" t="str">
        <f>IF($B245="","",INDEX(CuttingList!$C$3:$C$202,$B245))</f>
        <v/>
      </c>
      <c r="F245" s="3" t="str">
        <f>IF($B245="","",INDEX(CuttingList!$E$3:$E$202,$B245))</f>
        <v/>
      </c>
      <c r="G245" s="4" t="str">
        <f t="shared" si="9"/>
        <v/>
      </c>
      <c r="H245" s="4" t="str">
        <f t="shared" si="10"/>
        <v/>
      </c>
      <c r="I245" s="4" t="str">
        <f t="shared" si="11"/>
        <v/>
      </c>
    </row>
    <row r="246" spans="1:9" x14ac:dyDescent="0.2">
      <c r="A246" s="4">
        <v>244</v>
      </c>
      <c r="B246" s="4" t="str">
        <f>IF($A246&gt;MAX(CuttingList!$I$3:$I$202),"",MATCH($A246,CuttingList!$H$3:$H$202,1))</f>
        <v/>
      </c>
      <c r="C246" s="3" t="str">
        <f>IF($B246="","",INDEX(CuttingList!$A$3:$A$202,$B246))</f>
        <v/>
      </c>
      <c r="D246" s="4" t="str">
        <f>IF($B246="","",INDEX(CuttingList!$B$3:$B$202,$B246))</f>
        <v/>
      </c>
      <c r="E246" s="4" t="str">
        <f>IF($B246="","",INDEX(CuttingList!$C$3:$C$202,$B246))</f>
        <v/>
      </c>
      <c r="F246" s="3" t="str">
        <f>IF($B246="","",INDEX(CuttingList!$E$3:$E$202,$B246))</f>
        <v/>
      </c>
      <c r="G246" s="4" t="str">
        <f t="shared" si="9"/>
        <v/>
      </c>
      <c r="H246" s="4" t="str">
        <f t="shared" si="10"/>
        <v/>
      </c>
      <c r="I246" s="4" t="str">
        <f t="shared" si="11"/>
        <v/>
      </c>
    </row>
    <row r="247" spans="1:9" x14ac:dyDescent="0.2">
      <c r="A247" s="4">
        <v>245</v>
      </c>
      <c r="B247" s="4" t="str">
        <f>IF($A247&gt;MAX(CuttingList!$I$3:$I$202),"",MATCH($A247,CuttingList!$H$3:$H$202,1))</f>
        <v/>
      </c>
      <c r="C247" s="3" t="str">
        <f>IF($B247="","",INDEX(CuttingList!$A$3:$A$202,$B247))</f>
        <v/>
      </c>
      <c r="D247" s="4" t="str">
        <f>IF($B247="","",INDEX(CuttingList!$B$3:$B$202,$B247))</f>
        <v/>
      </c>
      <c r="E247" s="4" t="str">
        <f>IF($B247="","",INDEX(CuttingList!$C$3:$C$202,$B247))</f>
        <v/>
      </c>
      <c r="F247" s="3" t="str">
        <f>IF($B247="","",INDEX(CuttingList!$E$3:$E$202,$B247))</f>
        <v/>
      </c>
      <c r="G247" s="4" t="str">
        <f t="shared" si="9"/>
        <v/>
      </c>
      <c r="H247" s="4" t="str">
        <f t="shared" si="10"/>
        <v/>
      </c>
      <c r="I247" s="4" t="str">
        <f t="shared" si="11"/>
        <v/>
      </c>
    </row>
    <row r="248" spans="1:9" x14ac:dyDescent="0.2">
      <c r="A248" s="4">
        <v>246</v>
      </c>
      <c r="B248" s="4" t="str">
        <f>IF($A248&gt;MAX(CuttingList!$I$3:$I$202),"",MATCH($A248,CuttingList!$H$3:$H$202,1))</f>
        <v/>
      </c>
      <c r="C248" s="3" t="str">
        <f>IF($B248="","",INDEX(CuttingList!$A$3:$A$202,$B248))</f>
        <v/>
      </c>
      <c r="D248" s="4" t="str">
        <f>IF($B248="","",INDEX(CuttingList!$B$3:$B$202,$B248))</f>
        <v/>
      </c>
      <c r="E248" s="4" t="str">
        <f>IF($B248="","",INDEX(CuttingList!$C$3:$C$202,$B248))</f>
        <v/>
      </c>
      <c r="F248" s="3" t="str">
        <f>IF($B248="","",INDEX(CuttingList!$E$3:$E$202,$B248))</f>
        <v/>
      </c>
      <c r="G248" s="4" t="str">
        <f t="shared" si="9"/>
        <v/>
      </c>
      <c r="H248" s="4" t="str">
        <f t="shared" si="10"/>
        <v/>
      </c>
      <c r="I248" s="4" t="str">
        <f t="shared" si="11"/>
        <v/>
      </c>
    </row>
    <row r="249" spans="1:9" x14ac:dyDescent="0.2">
      <c r="A249" s="4">
        <v>247</v>
      </c>
      <c r="B249" s="4" t="str">
        <f>IF($A249&gt;MAX(CuttingList!$I$3:$I$202),"",MATCH($A249,CuttingList!$H$3:$H$202,1))</f>
        <v/>
      </c>
      <c r="C249" s="3" t="str">
        <f>IF($B249="","",INDEX(CuttingList!$A$3:$A$202,$B249))</f>
        <v/>
      </c>
      <c r="D249" s="4" t="str">
        <f>IF($B249="","",INDEX(CuttingList!$B$3:$B$202,$B249))</f>
        <v/>
      </c>
      <c r="E249" s="4" t="str">
        <f>IF($B249="","",INDEX(CuttingList!$C$3:$C$202,$B249))</f>
        <v/>
      </c>
      <c r="F249" s="3" t="str">
        <f>IF($B249="","",INDEX(CuttingList!$E$3:$E$202,$B249))</f>
        <v/>
      </c>
      <c r="G249" s="4" t="str">
        <f t="shared" si="9"/>
        <v/>
      </c>
      <c r="H249" s="4" t="str">
        <f t="shared" si="10"/>
        <v/>
      </c>
      <c r="I249" s="4" t="str">
        <f t="shared" si="11"/>
        <v/>
      </c>
    </row>
    <row r="250" spans="1:9" x14ac:dyDescent="0.2">
      <c r="A250" s="4">
        <v>248</v>
      </c>
      <c r="B250" s="4" t="str">
        <f>IF($A250&gt;MAX(CuttingList!$I$3:$I$202),"",MATCH($A250,CuttingList!$H$3:$H$202,1))</f>
        <v/>
      </c>
      <c r="C250" s="3" t="str">
        <f>IF($B250="","",INDEX(CuttingList!$A$3:$A$202,$B250))</f>
        <v/>
      </c>
      <c r="D250" s="4" t="str">
        <f>IF($B250="","",INDEX(CuttingList!$B$3:$B$202,$B250))</f>
        <v/>
      </c>
      <c r="E250" s="4" t="str">
        <f>IF($B250="","",INDEX(CuttingList!$C$3:$C$202,$B250))</f>
        <v/>
      </c>
      <c r="F250" s="3" t="str">
        <f>IF($B250="","",INDEX(CuttingList!$E$3:$E$202,$B250))</f>
        <v/>
      </c>
      <c r="G250" s="4" t="str">
        <f t="shared" si="9"/>
        <v/>
      </c>
      <c r="H250" s="4" t="str">
        <f t="shared" si="10"/>
        <v/>
      </c>
      <c r="I250" s="4" t="str">
        <f t="shared" si="11"/>
        <v/>
      </c>
    </row>
    <row r="251" spans="1:9" x14ac:dyDescent="0.2">
      <c r="A251" s="4">
        <v>249</v>
      </c>
      <c r="B251" s="4" t="str">
        <f>IF($A251&gt;MAX(CuttingList!$I$3:$I$202),"",MATCH($A251,CuttingList!$H$3:$H$202,1))</f>
        <v/>
      </c>
      <c r="C251" s="3" t="str">
        <f>IF($B251="","",INDEX(CuttingList!$A$3:$A$202,$B251))</f>
        <v/>
      </c>
      <c r="D251" s="4" t="str">
        <f>IF($B251="","",INDEX(CuttingList!$B$3:$B$202,$B251))</f>
        <v/>
      </c>
      <c r="E251" s="4" t="str">
        <f>IF($B251="","",INDEX(CuttingList!$C$3:$C$202,$B251))</f>
        <v/>
      </c>
      <c r="F251" s="3" t="str">
        <f>IF($B251="","",INDEX(CuttingList!$E$3:$E$202,$B251))</f>
        <v/>
      </c>
      <c r="G251" s="4" t="str">
        <f t="shared" si="9"/>
        <v/>
      </c>
      <c r="H251" s="4" t="str">
        <f t="shared" si="10"/>
        <v/>
      </c>
      <c r="I251" s="4" t="str">
        <f t="shared" si="11"/>
        <v/>
      </c>
    </row>
    <row r="252" spans="1:9" x14ac:dyDescent="0.2">
      <c r="A252" s="4">
        <v>250</v>
      </c>
      <c r="B252" s="4" t="str">
        <f>IF($A252&gt;MAX(CuttingList!$I$3:$I$202),"",MATCH($A252,CuttingList!$H$3:$H$202,1))</f>
        <v/>
      </c>
      <c r="C252" s="3" t="str">
        <f>IF($B252="","",INDEX(CuttingList!$A$3:$A$202,$B252))</f>
        <v/>
      </c>
      <c r="D252" s="4" t="str">
        <f>IF($B252="","",INDEX(CuttingList!$B$3:$B$202,$B252))</f>
        <v/>
      </c>
      <c r="E252" s="4" t="str">
        <f>IF($B252="","",INDEX(CuttingList!$C$3:$C$202,$B252))</f>
        <v/>
      </c>
      <c r="F252" s="3" t="str">
        <f>IF($B252="","",INDEX(CuttingList!$E$3:$E$202,$B252))</f>
        <v/>
      </c>
      <c r="G252" s="4" t="str">
        <f t="shared" si="9"/>
        <v/>
      </c>
      <c r="H252" s="4" t="str">
        <f t="shared" si="10"/>
        <v/>
      </c>
      <c r="I252" s="4" t="str">
        <f t="shared" si="11"/>
        <v/>
      </c>
    </row>
    <row r="253" spans="1:9" x14ac:dyDescent="0.2">
      <c r="A253" s="4">
        <v>251</v>
      </c>
      <c r="B253" s="4" t="str">
        <f>IF($A253&gt;MAX(CuttingList!$I$3:$I$202),"",MATCH($A253,CuttingList!$H$3:$H$202,1))</f>
        <v/>
      </c>
      <c r="C253" s="3" t="str">
        <f>IF($B253="","",INDEX(CuttingList!$A$3:$A$202,$B253))</f>
        <v/>
      </c>
      <c r="D253" s="4" t="str">
        <f>IF($B253="","",INDEX(CuttingList!$B$3:$B$202,$B253))</f>
        <v/>
      </c>
      <c r="E253" s="4" t="str">
        <f>IF($B253="","",INDEX(CuttingList!$C$3:$C$202,$B253))</f>
        <v/>
      </c>
      <c r="F253" s="3" t="str">
        <f>IF($B253="","",INDEX(CuttingList!$E$3:$E$202,$B253))</f>
        <v/>
      </c>
      <c r="G253" s="4" t="str">
        <f t="shared" si="9"/>
        <v/>
      </c>
      <c r="H253" s="4" t="str">
        <f t="shared" si="10"/>
        <v/>
      </c>
      <c r="I253" s="4" t="str">
        <f t="shared" si="11"/>
        <v/>
      </c>
    </row>
    <row r="254" spans="1:9" x14ac:dyDescent="0.2">
      <c r="A254" s="4">
        <v>252</v>
      </c>
      <c r="B254" s="4" t="str">
        <f>IF($A254&gt;MAX(CuttingList!$I$3:$I$202),"",MATCH($A254,CuttingList!$H$3:$H$202,1))</f>
        <v/>
      </c>
      <c r="C254" s="3" t="str">
        <f>IF($B254="","",INDEX(CuttingList!$A$3:$A$202,$B254))</f>
        <v/>
      </c>
      <c r="D254" s="4" t="str">
        <f>IF($B254="","",INDEX(CuttingList!$B$3:$B$202,$B254))</f>
        <v/>
      </c>
      <c r="E254" s="4" t="str">
        <f>IF($B254="","",INDEX(CuttingList!$C$3:$C$202,$B254))</f>
        <v/>
      </c>
      <c r="F254" s="3" t="str">
        <f>IF($B254="","",INDEX(CuttingList!$E$3:$E$202,$B254))</f>
        <v/>
      </c>
      <c r="G254" s="4" t="str">
        <f t="shared" si="9"/>
        <v/>
      </c>
      <c r="H254" s="4" t="str">
        <f t="shared" si="10"/>
        <v/>
      </c>
      <c r="I254" s="4" t="str">
        <f t="shared" si="11"/>
        <v/>
      </c>
    </row>
    <row r="255" spans="1:9" x14ac:dyDescent="0.2">
      <c r="A255" s="4">
        <v>253</v>
      </c>
      <c r="B255" s="4" t="str">
        <f>IF($A255&gt;MAX(CuttingList!$I$3:$I$202),"",MATCH($A255,CuttingList!$H$3:$H$202,1))</f>
        <v/>
      </c>
      <c r="C255" s="3" t="str">
        <f>IF($B255="","",INDEX(CuttingList!$A$3:$A$202,$B255))</f>
        <v/>
      </c>
      <c r="D255" s="4" t="str">
        <f>IF($B255="","",INDEX(CuttingList!$B$3:$B$202,$B255))</f>
        <v/>
      </c>
      <c r="E255" s="4" t="str">
        <f>IF($B255="","",INDEX(CuttingList!$C$3:$C$202,$B255))</f>
        <v/>
      </c>
      <c r="F255" s="3" t="str">
        <f>IF($B255="","",INDEX(CuttingList!$E$3:$E$202,$B255))</f>
        <v/>
      </c>
      <c r="G255" s="4" t="str">
        <f t="shared" si="9"/>
        <v/>
      </c>
      <c r="H255" s="4" t="str">
        <f t="shared" si="10"/>
        <v/>
      </c>
      <c r="I255" s="4" t="str">
        <f t="shared" si="11"/>
        <v/>
      </c>
    </row>
    <row r="256" spans="1:9" x14ac:dyDescent="0.2">
      <c r="A256" s="4">
        <v>254</v>
      </c>
      <c r="B256" s="4" t="str">
        <f>IF($A256&gt;MAX(CuttingList!$I$3:$I$202),"",MATCH($A256,CuttingList!$H$3:$H$202,1))</f>
        <v/>
      </c>
      <c r="C256" s="3" t="str">
        <f>IF($B256="","",INDEX(CuttingList!$A$3:$A$202,$B256))</f>
        <v/>
      </c>
      <c r="D256" s="4" t="str">
        <f>IF($B256="","",INDEX(CuttingList!$B$3:$B$202,$B256))</f>
        <v/>
      </c>
      <c r="E256" s="4" t="str">
        <f>IF($B256="","",INDEX(CuttingList!$C$3:$C$202,$B256))</f>
        <v/>
      </c>
      <c r="F256" s="3" t="str">
        <f>IF($B256="","",INDEX(CuttingList!$E$3:$E$202,$B256))</f>
        <v/>
      </c>
      <c r="G256" s="4" t="str">
        <f t="shared" si="9"/>
        <v/>
      </c>
      <c r="H256" s="4" t="str">
        <f t="shared" si="10"/>
        <v/>
      </c>
      <c r="I256" s="4" t="str">
        <f t="shared" si="11"/>
        <v/>
      </c>
    </row>
    <row r="257" spans="1:9" x14ac:dyDescent="0.2">
      <c r="A257" s="4">
        <v>255</v>
      </c>
      <c r="B257" s="4" t="str">
        <f>IF($A257&gt;MAX(CuttingList!$I$3:$I$202),"",MATCH($A257,CuttingList!$H$3:$H$202,1))</f>
        <v/>
      </c>
      <c r="C257" s="3" t="str">
        <f>IF($B257="","",INDEX(CuttingList!$A$3:$A$202,$B257))</f>
        <v/>
      </c>
      <c r="D257" s="4" t="str">
        <f>IF($B257="","",INDEX(CuttingList!$B$3:$B$202,$B257))</f>
        <v/>
      </c>
      <c r="E257" s="4" t="str">
        <f>IF($B257="","",INDEX(CuttingList!$C$3:$C$202,$B257))</f>
        <v/>
      </c>
      <c r="F257" s="3" t="str">
        <f>IF($B257="","",INDEX(CuttingList!$E$3:$E$202,$B257))</f>
        <v/>
      </c>
      <c r="G257" s="4" t="str">
        <f t="shared" si="9"/>
        <v/>
      </c>
      <c r="H257" s="4" t="str">
        <f t="shared" si="10"/>
        <v/>
      </c>
      <c r="I257" s="4" t="str">
        <f t="shared" si="11"/>
        <v/>
      </c>
    </row>
    <row r="258" spans="1:9" x14ac:dyDescent="0.2">
      <c r="A258" s="4">
        <v>256</v>
      </c>
      <c r="B258" s="4" t="str">
        <f>IF($A258&gt;MAX(CuttingList!$I$3:$I$202),"",MATCH($A258,CuttingList!$H$3:$H$202,1))</f>
        <v/>
      </c>
      <c r="C258" s="3" t="str">
        <f>IF($B258="","",INDEX(CuttingList!$A$3:$A$202,$B258))</f>
        <v/>
      </c>
      <c r="D258" s="4" t="str">
        <f>IF($B258="","",INDEX(CuttingList!$B$3:$B$202,$B258))</f>
        <v/>
      </c>
      <c r="E258" s="4" t="str">
        <f>IF($B258="","",INDEX(CuttingList!$C$3:$C$202,$B258))</f>
        <v/>
      </c>
      <c r="F258" s="3" t="str">
        <f>IF($B258="","",INDEX(CuttingList!$E$3:$E$202,$B258))</f>
        <v/>
      </c>
      <c r="G258" s="4" t="str">
        <f t="shared" si="9"/>
        <v/>
      </c>
      <c r="H258" s="4" t="str">
        <f t="shared" si="10"/>
        <v/>
      </c>
      <c r="I258" s="4" t="str">
        <f t="shared" si="11"/>
        <v/>
      </c>
    </row>
    <row r="259" spans="1:9" x14ac:dyDescent="0.2">
      <c r="A259" s="4">
        <v>257</v>
      </c>
      <c r="B259" s="4" t="str">
        <f>IF($A259&gt;MAX(CuttingList!$I$3:$I$202),"",MATCH($A259,CuttingList!$H$3:$H$202,1))</f>
        <v/>
      </c>
      <c r="C259" s="3" t="str">
        <f>IF($B259="","",INDEX(CuttingList!$A$3:$A$202,$B259))</f>
        <v/>
      </c>
      <c r="D259" s="4" t="str">
        <f>IF($B259="","",INDEX(CuttingList!$B$3:$B$202,$B259))</f>
        <v/>
      </c>
      <c r="E259" s="4" t="str">
        <f>IF($B259="","",INDEX(CuttingList!$C$3:$C$202,$B259))</f>
        <v/>
      </c>
      <c r="F259" s="3" t="str">
        <f>IF($B259="","",INDEX(CuttingList!$E$3:$E$202,$B259))</f>
        <v/>
      </c>
      <c r="G259" s="4" t="str">
        <f t="shared" ref="G259:G322" si="12">IF(OR($D259="",$E259=""),"",($D259*$E259)/1000000)</f>
        <v/>
      </c>
      <c r="H259" s="4" t="str">
        <f t="shared" ref="H259:H322" si="13">IF(OR($D259="",$E259=""),"",MAX($D259,$E259))</f>
        <v/>
      </c>
      <c r="I259" s="4" t="str">
        <f t="shared" ref="I259:I322" si="14">IF($E259="","",$E259)</f>
        <v/>
      </c>
    </row>
    <row r="260" spans="1:9" x14ac:dyDescent="0.2">
      <c r="A260" s="4">
        <v>258</v>
      </c>
      <c r="B260" s="4" t="str">
        <f>IF($A260&gt;MAX(CuttingList!$I$3:$I$202),"",MATCH($A260,CuttingList!$H$3:$H$202,1))</f>
        <v/>
      </c>
      <c r="C260" s="3" t="str">
        <f>IF($B260="","",INDEX(CuttingList!$A$3:$A$202,$B260))</f>
        <v/>
      </c>
      <c r="D260" s="4" t="str">
        <f>IF($B260="","",INDEX(CuttingList!$B$3:$B$202,$B260))</f>
        <v/>
      </c>
      <c r="E260" s="4" t="str">
        <f>IF($B260="","",INDEX(CuttingList!$C$3:$C$202,$B260))</f>
        <v/>
      </c>
      <c r="F260" s="3" t="str">
        <f>IF($B260="","",INDEX(CuttingList!$E$3:$E$202,$B260))</f>
        <v/>
      </c>
      <c r="G260" s="4" t="str">
        <f t="shared" si="12"/>
        <v/>
      </c>
      <c r="H260" s="4" t="str">
        <f t="shared" si="13"/>
        <v/>
      </c>
      <c r="I260" s="4" t="str">
        <f t="shared" si="14"/>
        <v/>
      </c>
    </row>
    <row r="261" spans="1:9" x14ac:dyDescent="0.2">
      <c r="A261" s="4">
        <v>259</v>
      </c>
      <c r="B261" s="4" t="str">
        <f>IF($A261&gt;MAX(CuttingList!$I$3:$I$202),"",MATCH($A261,CuttingList!$H$3:$H$202,1))</f>
        <v/>
      </c>
      <c r="C261" s="3" t="str">
        <f>IF($B261="","",INDEX(CuttingList!$A$3:$A$202,$B261))</f>
        <v/>
      </c>
      <c r="D261" s="4" t="str">
        <f>IF($B261="","",INDEX(CuttingList!$B$3:$B$202,$B261))</f>
        <v/>
      </c>
      <c r="E261" s="4" t="str">
        <f>IF($B261="","",INDEX(CuttingList!$C$3:$C$202,$B261))</f>
        <v/>
      </c>
      <c r="F261" s="3" t="str">
        <f>IF($B261="","",INDEX(CuttingList!$E$3:$E$202,$B261))</f>
        <v/>
      </c>
      <c r="G261" s="4" t="str">
        <f t="shared" si="12"/>
        <v/>
      </c>
      <c r="H261" s="4" t="str">
        <f t="shared" si="13"/>
        <v/>
      </c>
      <c r="I261" s="4" t="str">
        <f t="shared" si="14"/>
        <v/>
      </c>
    </row>
    <row r="262" spans="1:9" x14ac:dyDescent="0.2">
      <c r="A262" s="4">
        <v>260</v>
      </c>
      <c r="B262" s="4" t="str">
        <f>IF($A262&gt;MAX(CuttingList!$I$3:$I$202),"",MATCH($A262,CuttingList!$H$3:$H$202,1))</f>
        <v/>
      </c>
      <c r="C262" s="3" t="str">
        <f>IF($B262="","",INDEX(CuttingList!$A$3:$A$202,$B262))</f>
        <v/>
      </c>
      <c r="D262" s="4" t="str">
        <f>IF($B262="","",INDEX(CuttingList!$B$3:$B$202,$B262))</f>
        <v/>
      </c>
      <c r="E262" s="4" t="str">
        <f>IF($B262="","",INDEX(CuttingList!$C$3:$C$202,$B262))</f>
        <v/>
      </c>
      <c r="F262" s="3" t="str">
        <f>IF($B262="","",INDEX(CuttingList!$E$3:$E$202,$B262))</f>
        <v/>
      </c>
      <c r="G262" s="4" t="str">
        <f t="shared" si="12"/>
        <v/>
      </c>
      <c r="H262" s="4" t="str">
        <f t="shared" si="13"/>
        <v/>
      </c>
      <c r="I262" s="4" t="str">
        <f t="shared" si="14"/>
        <v/>
      </c>
    </row>
    <row r="263" spans="1:9" x14ac:dyDescent="0.2">
      <c r="A263" s="4">
        <v>261</v>
      </c>
      <c r="B263" s="4" t="str">
        <f>IF($A263&gt;MAX(CuttingList!$I$3:$I$202),"",MATCH($A263,CuttingList!$H$3:$H$202,1))</f>
        <v/>
      </c>
      <c r="C263" s="3" t="str">
        <f>IF($B263="","",INDEX(CuttingList!$A$3:$A$202,$B263))</f>
        <v/>
      </c>
      <c r="D263" s="4" t="str">
        <f>IF($B263="","",INDEX(CuttingList!$B$3:$B$202,$B263))</f>
        <v/>
      </c>
      <c r="E263" s="4" t="str">
        <f>IF($B263="","",INDEX(CuttingList!$C$3:$C$202,$B263))</f>
        <v/>
      </c>
      <c r="F263" s="3" t="str">
        <f>IF($B263="","",INDEX(CuttingList!$E$3:$E$202,$B263))</f>
        <v/>
      </c>
      <c r="G263" s="4" t="str">
        <f t="shared" si="12"/>
        <v/>
      </c>
      <c r="H263" s="4" t="str">
        <f t="shared" si="13"/>
        <v/>
      </c>
      <c r="I263" s="4" t="str">
        <f t="shared" si="14"/>
        <v/>
      </c>
    </row>
    <row r="264" spans="1:9" x14ac:dyDescent="0.2">
      <c r="A264" s="4">
        <v>262</v>
      </c>
      <c r="B264" s="4" t="str">
        <f>IF($A264&gt;MAX(CuttingList!$I$3:$I$202),"",MATCH($A264,CuttingList!$H$3:$H$202,1))</f>
        <v/>
      </c>
      <c r="C264" s="3" t="str">
        <f>IF($B264="","",INDEX(CuttingList!$A$3:$A$202,$B264))</f>
        <v/>
      </c>
      <c r="D264" s="4" t="str">
        <f>IF($B264="","",INDEX(CuttingList!$B$3:$B$202,$B264))</f>
        <v/>
      </c>
      <c r="E264" s="4" t="str">
        <f>IF($B264="","",INDEX(CuttingList!$C$3:$C$202,$B264))</f>
        <v/>
      </c>
      <c r="F264" s="3" t="str">
        <f>IF($B264="","",INDEX(CuttingList!$E$3:$E$202,$B264))</f>
        <v/>
      </c>
      <c r="G264" s="4" t="str">
        <f t="shared" si="12"/>
        <v/>
      </c>
      <c r="H264" s="4" t="str">
        <f t="shared" si="13"/>
        <v/>
      </c>
      <c r="I264" s="4" t="str">
        <f t="shared" si="14"/>
        <v/>
      </c>
    </row>
    <row r="265" spans="1:9" x14ac:dyDescent="0.2">
      <c r="A265" s="4">
        <v>263</v>
      </c>
      <c r="B265" s="4" t="str">
        <f>IF($A265&gt;MAX(CuttingList!$I$3:$I$202),"",MATCH($A265,CuttingList!$H$3:$H$202,1))</f>
        <v/>
      </c>
      <c r="C265" s="3" t="str">
        <f>IF($B265="","",INDEX(CuttingList!$A$3:$A$202,$B265))</f>
        <v/>
      </c>
      <c r="D265" s="4" t="str">
        <f>IF($B265="","",INDEX(CuttingList!$B$3:$B$202,$B265))</f>
        <v/>
      </c>
      <c r="E265" s="4" t="str">
        <f>IF($B265="","",INDEX(CuttingList!$C$3:$C$202,$B265))</f>
        <v/>
      </c>
      <c r="F265" s="3" t="str">
        <f>IF($B265="","",INDEX(CuttingList!$E$3:$E$202,$B265))</f>
        <v/>
      </c>
      <c r="G265" s="4" t="str">
        <f t="shared" si="12"/>
        <v/>
      </c>
      <c r="H265" s="4" t="str">
        <f t="shared" si="13"/>
        <v/>
      </c>
      <c r="I265" s="4" t="str">
        <f t="shared" si="14"/>
        <v/>
      </c>
    </row>
    <row r="266" spans="1:9" x14ac:dyDescent="0.2">
      <c r="A266" s="4">
        <v>264</v>
      </c>
      <c r="B266" s="4" t="str">
        <f>IF($A266&gt;MAX(CuttingList!$I$3:$I$202),"",MATCH($A266,CuttingList!$H$3:$H$202,1))</f>
        <v/>
      </c>
      <c r="C266" s="3" t="str">
        <f>IF($B266="","",INDEX(CuttingList!$A$3:$A$202,$B266))</f>
        <v/>
      </c>
      <c r="D266" s="4" t="str">
        <f>IF($B266="","",INDEX(CuttingList!$B$3:$B$202,$B266))</f>
        <v/>
      </c>
      <c r="E266" s="4" t="str">
        <f>IF($B266="","",INDEX(CuttingList!$C$3:$C$202,$B266))</f>
        <v/>
      </c>
      <c r="F266" s="3" t="str">
        <f>IF($B266="","",INDEX(CuttingList!$E$3:$E$202,$B266))</f>
        <v/>
      </c>
      <c r="G266" s="4" t="str">
        <f t="shared" si="12"/>
        <v/>
      </c>
      <c r="H266" s="4" t="str">
        <f t="shared" si="13"/>
        <v/>
      </c>
      <c r="I266" s="4" t="str">
        <f t="shared" si="14"/>
        <v/>
      </c>
    </row>
    <row r="267" spans="1:9" x14ac:dyDescent="0.2">
      <c r="A267" s="4">
        <v>265</v>
      </c>
      <c r="B267" s="4" t="str">
        <f>IF($A267&gt;MAX(CuttingList!$I$3:$I$202),"",MATCH($A267,CuttingList!$H$3:$H$202,1))</f>
        <v/>
      </c>
      <c r="C267" s="3" t="str">
        <f>IF($B267="","",INDEX(CuttingList!$A$3:$A$202,$B267))</f>
        <v/>
      </c>
      <c r="D267" s="4" t="str">
        <f>IF($B267="","",INDEX(CuttingList!$B$3:$B$202,$B267))</f>
        <v/>
      </c>
      <c r="E267" s="4" t="str">
        <f>IF($B267="","",INDEX(CuttingList!$C$3:$C$202,$B267))</f>
        <v/>
      </c>
      <c r="F267" s="3" t="str">
        <f>IF($B267="","",INDEX(CuttingList!$E$3:$E$202,$B267))</f>
        <v/>
      </c>
      <c r="G267" s="4" t="str">
        <f t="shared" si="12"/>
        <v/>
      </c>
      <c r="H267" s="4" t="str">
        <f t="shared" si="13"/>
        <v/>
      </c>
      <c r="I267" s="4" t="str">
        <f t="shared" si="14"/>
        <v/>
      </c>
    </row>
    <row r="268" spans="1:9" x14ac:dyDescent="0.2">
      <c r="A268" s="4">
        <v>266</v>
      </c>
      <c r="B268" s="4" t="str">
        <f>IF($A268&gt;MAX(CuttingList!$I$3:$I$202),"",MATCH($A268,CuttingList!$H$3:$H$202,1))</f>
        <v/>
      </c>
      <c r="C268" s="3" t="str">
        <f>IF($B268="","",INDEX(CuttingList!$A$3:$A$202,$B268))</f>
        <v/>
      </c>
      <c r="D268" s="4" t="str">
        <f>IF($B268="","",INDEX(CuttingList!$B$3:$B$202,$B268))</f>
        <v/>
      </c>
      <c r="E268" s="4" t="str">
        <f>IF($B268="","",INDEX(CuttingList!$C$3:$C$202,$B268))</f>
        <v/>
      </c>
      <c r="F268" s="3" t="str">
        <f>IF($B268="","",INDEX(CuttingList!$E$3:$E$202,$B268))</f>
        <v/>
      </c>
      <c r="G268" s="4" t="str">
        <f t="shared" si="12"/>
        <v/>
      </c>
      <c r="H268" s="4" t="str">
        <f t="shared" si="13"/>
        <v/>
      </c>
      <c r="I268" s="4" t="str">
        <f t="shared" si="14"/>
        <v/>
      </c>
    </row>
    <row r="269" spans="1:9" x14ac:dyDescent="0.2">
      <c r="A269" s="4">
        <v>267</v>
      </c>
      <c r="B269" s="4" t="str">
        <f>IF($A269&gt;MAX(CuttingList!$I$3:$I$202),"",MATCH($A269,CuttingList!$H$3:$H$202,1))</f>
        <v/>
      </c>
      <c r="C269" s="3" t="str">
        <f>IF($B269="","",INDEX(CuttingList!$A$3:$A$202,$B269))</f>
        <v/>
      </c>
      <c r="D269" s="4" t="str">
        <f>IF($B269="","",INDEX(CuttingList!$B$3:$B$202,$B269))</f>
        <v/>
      </c>
      <c r="E269" s="4" t="str">
        <f>IF($B269="","",INDEX(CuttingList!$C$3:$C$202,$B269))</f>
        <v/>
      </c>
      <c r="F269" s="3" t="str">
        <f>IF($B269="","",INDEX(CuttingList!$E$3:$E$202,$B269))</f>
        <v/>
      </c>
      <c r="G269" s="4" t="str">
        <f t="shared" si="12"/>
        <v/>
      </c>
      <c r="H269" s="4" t="str">
        <f t="shared" si="13"/>
        <v/>
      </c>
      <c r="I269" s="4" t="str">
        <f t="shared" si="14"/>
        <v/>
      </c>
    </row>
    <row r="270" spans="1:9" x14ac:dyDescent="0.2">
      <c r="A270" s="4">
        <v>268</v>
      </c>
      <c r="B270" s="4" t="str">
        <f>IF($A270&gt;MAX(CuttingList!$I$3:$I$202),"",MATCH($A270,CuttingList!$H$3:$H$202,1))</f>
        <v/>
      </c>
      <c r="C270" s="3" t="str">
        <f>IF($B270="","",INDEX(CuttingList!$A$3:$A$202,$B270))</f>
        <v/>
      </c>
      <c r="D270" s="4" t="str">
        <f>IF($B270="","",INDEX(CuttingList!$B$3:$B$202,$B270))</f>
        <v/>
      </c>
      <c r="E270" s="4" t="str">
        <f>IF($B270="","",INDEX(CuttingList!$C$3:$C$202,$B270))</f>
        <v/>
      </c>
      <c r="F270" s="3" t="str">
        <f>IF($B270="","",INDEX(CuttingList!$E$3:$E$202,$B270))</f>
        <v/>
      </c>
      <c r="G270" s="4" t="str">
        <f t="shared" si="12"/>
        <v/>
      </c>
      <c r="H270" s="4" t="str">
        <f t="shared" si="13"/>
        <v/>
      </c>
      <c r="I270" s="4" t="str">
        <f t="shared" si="14"/>
        <v/>
      </c>
    </row>
    <row r="271" spans="1:9" x14ac:dyDescent="0.2">
      <c r="A271" s="4">
        <v>269</v>
      </c>
      <c r="B271" s="4" t="str">
        <f>IF($A271&gt;MAX(CuttingList!$I$3:$I$202),"",MATCH($A271,CuttingList!$H$3:$H$202,1))</f>
        <v/>
      </c>
      <c r="C271" s="3" t="str">
        <f>IF($B271="","",INDEX(CuttingList!$A$3:$A$202,$B271))</f>
        <v/>
      </c>
      <c r="D271" s="4" t="str">
        <f>IF($B271="","",INDEX(CuttingList!$B$3:$B$202,$B271))</f>
        <v/>
      </c>
      <c r="E271" s="4" t="str">
        <f>IF($B271="","",INDEX(CuttingList!$C$3:$C$202,$B271))</f>
        <v/>
      </c>
      <c r="F271" s="3" t="str">
        <f>IF($B271="","",INDEX(CuttingList!$E$3:$E$202,$B271))</f>
        <v/>
      </c>
      <c r="G271" s="4" t="str">
        <f t="shared" si="12"/>
        <v/>
      </c>
      <c r="H271" s="4" t="str">
        <f t="shared" si="13"/>
        <v/>
      </c>
      <c r="I271" s="4" t="str">
        <f t="shared" si="14"/>
        <v/>
      </c>
    </row>
    <row r="272" spans="1:9" x14ac:dyDescent="0.2">
      <c r="A272" s="4">
        <v>270</v>
      </c>
      <c r="B272" s="4" t="str">
        <f>IF($A272&gt;MAX(CuttingList!$I$3:$I$202),"",MATCH($A272,CuttingList!$H$3:$H$202,1))</f>
        <v/>
      </c>
      <c r="C272" s="3" t="str">
        <f>IF($B272="","",INDEX(CuttingList!$A$3:$A$202,$B272))</f>
        <v/>
      </c>
      <c r="D272" s="4" t="str">
        <f>IF($B272="","",INDEX(CuttingList!$B$3:$B$202,$B272))</f>
        <v/>
      </c>
      <c r="E272" s="4" t="str">
        <f>IF($B272="","",INDEX(CuttingList!$C$3:$C$202,$B272))</f>
        <v/>
      </c>
      <c r="F272" s="3" t="str">
        <f>IF($B272="","",INDEX(CuttingList!$E$3:$E$202,$B272))</f>
        <v/>
      </c>
      <c r="G272" s="4" t="str">
        <f t="shared" si="12"/>
        <v/>
      </c>
      <c r="H272" s="4" t="str">
        <f t="shared" si="13"/>
        <v/>
      </c>
      <c r="I272" s="4" t="str">
        <f t="shared" si="14"/>
        <v/>
      </c>
    </row>
    <row r="273" spans="1:9" x14ac:dyDescent="0.2">
      <c r="A273" s="4">
        <v>271</v>
      </c>
      <c r="B273" s="4" t="str">
        <f>IF($A273&gt;MAX(CuttingList!$I$3:$I$202),"",MATCH($A273,CuttingList!$H$3:$H$202,1))</f>
        <v/>
      </c>
      <c r="C273" s="3" t="str">
        <f>IF($B273="","",INDEX(CuttingList!$A$3:$A$202,$B273))</f>
        <v/>
      </c>
      <c r="D273" s="4" t="str">
        <f>IF($B273="","",INDEX(CuttingList!$B$3:$B$202,$B273))</f>
        <v/>
      </c>
      <c r="E273" s="4" t="str">
        <f>IF($B273="","",INDEX(CuttingList!$C$3:$C$202,$B273))</f>
        <v/>
      </c>
      <c r="F273" s="3" t="str">
        <f>IF($B273="","",INDEX(CuttingList!$E$3:$E$202,$B273))</f>
        <v/>
      </c>
      <c r="G273" s="4" t="str">
        <f t="shared" si="12"/>
        <v/>
      </c>
      <c r="H273" s="4" t="str">
        <f t="shared" si="13"/>
        <v/>
      </c>
      <c r="I273" s="4" t="str">
        <f t="shared" si="14"/>
        <v/>
      </c>
    </row>
    <row r="274" spans="1:9" x14ac:dyDescent="0.2">
      <c r="A274" s="4">
        <v>272</v>
      </c>
      <c r="B274" s="4" t="str">
        <f>IF($A274&gt;MAX(CuttingList!$I$3:$I$202),"",MATCH($A274,CuttingList!$H$3:$H$202,1))</f>
        <v/>
      </c>
      <c r="C274" s="3" t="str">
        <f>IF($B274="","",INDEX(CuttingList!$A$3:$A$202,$B274))</f>
        <v/>
      </c>
      <c r="D274" s="4" t="str">
        <f>IF($B274="","",INDEX(CuttingList!$B$3:$B$202,$B274))</f>
        <v/>
      </c>
      <c r="E274" s="4" t="str">
        <f>IF($B274="","",INDEX(CuttingList!$C$3:$C$202,$B274))</f>
        <v/>
      </c>
      <c r="F274" s="3" t="str">
        <f>IF($B274="","",INDEX(CuttingList!$E$3:$E$202,$B274))</f>
        <v/>
      </c>
      <c r="G274" s="4" t="str">
        <f t="shared" si="12"/>
        <v/>
      </c>
      <c r="H274" s="4" t="str">
        <f t="shared" si="13"/>
        <v/>
      </c>
      <c r="I274" s="4" t="str">
        <f t="shared" si="14"/>
        <v/>
      </c>
    </row>
    <row r="275" spans="1:9" x14ac:dyDescent="0.2">
      <c r="A275" s="4">
        <v>273</v>
      </c>
      <c r="B275" s="4" t="str">
        <f>IF($A275&gt;MAX(CuttingList!$I$3:$I$202),"",MATCH($A275,CuttingList!$H$3:$H$202,1))</f>
        <v/>
      </c>
      <c r="C275" s="3" t="str">
        <f>IF($B275="","",INDEX(CuttingList!$A$3:$A$202,$B275))</f>
        <v/>
      </c>
      <c r="D275" s="4" t="str">
        <f>IF($B275="","",INDEX(CuttingList!$B$3:$B$202,$B275))</f>
        <v/>
      </c>
      <c r="E275" s="4" t="str">
        <f>IF($B275="","",INDEX(CuttingList!$C$3:$C$202,$B275))</f>
        <v/>
      </c>
      <c r="F275" s="3" t="str">
        <f>IF($B275="","",INDEX(CuttingList!$E$3:$E$202,$B275))</f>
        <v/>
      </c>
      <c r="G275" s="4" t="str">
        <f t="shared" si="12"/>
        <v/>
      </c>
      <c r="H275" s="4" t="str">
        <f t="shared" si="13"/>
        <v/>
      </c>
      <c r="I275" s="4" t="str">
        <f t="shared" si="14"/>
        <v/>
      </c>
    </row>
    <row r="276" spans="1:9" x14ac:dyDescent="0.2">
      <c r="A276" s="4">
        <v>274</v>
      </c>
      <c r="B276" s="4" t="str">
        <f>IF($A276&gt;MAX(CuttingList!$I$3:$I$202),"",MATCH($A276,CuttingList!$H$3:$H$202,1))</f>
        <v/>
      </c>
      <c r="C276" s="3" t="str">
        <f>IF($B276="","",INDEX(CuttingList!$A$3:$A$202,$B276))</f>
        <v/>
      </c>
      <c r="D276" s="4" t="str">
        <f>IF($B276="","",INDEX(CuttingList!$B$3:$B$202,$B276))</f>
        <v/>
      </c>
      <c r="E276" s="4" t="str">
        <f>IF($B276="","",INDEX(CuttingList!$C$3:$C$202,$B276))</f>
        <v/>
      </c>
      <c r="F276" s="3" t="str">
        <f>IF($B276="","",INDEX(CuttingList!$E$3:$E$202,$B276))</f>
        <v/>
      </c>
      <c r="G276" s="4" t="str">
        <f t="shared" si="12"/>
        <v/>
      </c>
      <c r="H276" s="4" t="str">
        <f t="shared" si="13"/>
        <v/>
      </c>
      <c r="I276" s="4" t="str">
        <f t="shared" si="14"/>
        <v/>
      </c>
    </row>
    <row r="277" spans="1:9" x14ac:dyDescent="0.2">
      <c r="A277" s="4">
        <v>275</v>
      </c>
      <c r="B277" s="4" t="str">
        <f>IF($A277&gt;MAX(CuttingList!$I$3:$I$202),"",MATCH($A277,CuttingList!$H$3:$H$202,1))</f>
        <v/>
      </c>
      <c r="C277" s="3" t="str">
        <f>IF($B277="","",INDEX(CuttingList!$A$3:$A$202,$B277))</f>
        <v/>
      </c>
      <c r="D277" s="4" t="str">
        <f>IF($B277="","",INDEX(CuttingList!$B$3:$B$202,$B277))</f>
        <v/>
      </c>
      <c r="E277" s="4" t="str">
        <f>IF($B277="","",INDEX(CuttingList!$C$3:$C$202,$B277))</f>
        <v/>
      </c>
      <c r="F277" s="3" t="str">
        <f>IF($B277="","",INDEX(CuttingList!$E$3:$E$202,$B277))</f>
        <v/>
      </c>
      <c r="G277" s="4" t="str">
        <f t="shared" si="12"/>
        <v/>
      </c>
      <c r="H277" s="4" t="str">
        <f t="shared" si="13"/>
        <v/>
      </c>
      <c r="I277" s="4" t="str">
        <f t="shared" si="14"/>
        <v/>
      </c>
    </row>
    <row r="278" spans="1:9" x14ac:dyDescent="0.2">
      <c r="A278" s="4">
        <v>276</v>
      </c>
      <c r="B278" s="4" t="str">
        <f>IF($A278&gt;MAX(CuttingList!$I$3:$I$202),"",MATCH($A278,CuttingList!$H$3:$H$202,1))</f>
        <v/>
      </c>
      <c r="C278" s="3" t="str">
        <f>IF($B278="","",INDEX(CuttingList!$A$3:$A$202,$B278))</f>
        <v/>
      </c>
      <c r="D278" s="4" t="str">
        <f>IF($B278="","",INDEX(CuttingList!$B$3:$B$202,$B278))</f>
        <v/>
      </c>
      <c r="E278" s="4" t="str">
        <f>IF($B278="","",INDEX(CuttingList!$C$3:$C$202,$B278))</f>
        <v/>
      </c>
      <c r="F278" s="3" t="str">
        <f>IF($B278="","",INDEX(CuttingList!$E$3:$E$202,$B278))</f>
        <v/>
      </c>
      <c r="G278" s="4" t="str">
        <f t="shared" si="12"/>
        <v/>
      </c>
      <c r="H278" s="4" t="str">
        <f t="shared" si="13"/>
        <v/>
      </c>
      <c r="I278" s="4" t="str">
        <f t="shared" si="14"/>
        <v/>
      </c>
    </row>
    <row r="279" spans="1:9" x14ac:dyDescent="0.2">
      <c r="A279" s="4">
        <v>277</v>
      </c>
      <c r="B279" s="4" t="str">
        <f>IF($A279&gt;MAX(CuttingList!$I$3:$I$202),"",MATCH($A279,CuttingList!$H$3:$H$202,1))</f>
        <v/>
      </c>
      <c r="C279" s="3" t="str">
        <f>IF($B279="","",INDEX(CuttingList!$A$3:$A$202,$B279))</f>
        <v/>
      </c>
      <c r="D279" s="4" t="str">
        <f>IF($B279="","",INDEX(CuttingList!$B$3:$B$202,$B279))</f>
        <v/>
      </c>
      <c r="E279" s="4" t="str">
        <f>IF($B279="","",INDEX(CuttingList!$C$3:$C$202,$B279))</f>
        <v/>
      </c>
      <c r="F279" s="3" t="str">
        <f>IF($B279="","",INDEX(CuttingList!$E$3:$E$202,$B279))</f>
        <v/>
      </c>
      <c r="G279" s="4" t="str">
        <f t="shared" si="12"/>
        <v/>
      </c>
      <c r="H279" s="4" t="str">
        <f t="shared" si="13"/>
        <v/>
      </c>
      <c r="I279" s="4" t="str">
        <f t="shared" si="14"/>
        <v/>
      </c>
    </row>
    <row r="280" spans="1:9" x14ac:dyDescent="0.2">
      <c r="A280" s="4">
        <v>278</v>
      </c>
      <c r="B280" s="4" t="str">
        <f>IF($A280&gt;MAX(CuttingList!$I$3:$I$202),"",MATCH($A280,CuttingList!$H$3:$H$202,1))</f>
        <v/>
      </c>
      <c r="C280" s="3" t="str">
        <f>IF($B280="","",INDEX(CuttingList!$A$3:$A$202,$B280))</f>
        <v/>
      </c>
      <c r="D280" s="4" t="str">
        <f>IF($B280="","",INDEX(CuttingList!$B$3:$B$202,$B280))</f>
        <v/>
      </c>
      <c r="E280" s="4" t="str">
        <f>IF($B280="","",INDEX(CuttingList!$C$3:$C$202,$B280))</f>
        <v/>
      </c>
      <c r="F280" s="3" t="str">
        <f>IF($B280="","",INDEX(CuttingList!$E$3:$E$202,$B280))</f>
        <v/>
      </c>
      <c r="G280" s="4" t="str">
        <f t="shared" si="12"/>
        <v/>
      </c>
      <c r="H280" s="4" t="str">
        <f t="shared" si="13"/>
        <v/>
      </c>
      <c r="I280" s="4" t="str">
        <f t="shared" si="14"/>
        <v/>
      </c>
    </row>
    <row r="281" spans="1:9" x14ac:dyDescent="0.2">
      <c r="A281" s="4">
        <v>279</v>
      </c>
      <c r="B281" s="4" t="str">
        <f>IF($A281&gt;MAX(CuttingList!$I$3:$I$202),"",MATCH($A281,CuttingList!$H$3:$H$202,1))</f>
        <v/>
      </c>
      <c r="C281" s="3" t="str">
        <f>IF($B281="","",INDEX(CuttingList!$A$3:$A$202,$B281))</f>
        <v/>
      </c>
      <c r="D281" s="4" t="str">
        <f>IF($B281="","",INDEX(CuttingList!$B$3:$B$202,$B281))</f>
        <v/>
      </c>
      <c r="E281" s="4" t="str">
        <f>IF($B281="","",INDEX(CuttingList!$C$3:$C$202,$B281))</f>
        <v/>
      </c>
      <c r="F281" s="3" t="str">
        <f>IF($B281="","",INDEX(CuttingList!$E$3:$E$202,$B281))</f>
        <v/>
      </c>
      <c r="G281" s="4" t="str">
        <f t="shared" si="12"/>
        <v/>
      </c>
      <c r="H281" s="4" t="str">
        <f t="shared" si="13"/>
        <v/>
      </c>
      <c r="I281" s="4" t="str">
        <f t="shared" si="14"/>
        <v/>
      </c>
    </row>
    <row r="282" spans="1:9" x14ac:dyDescent="0.2">
      <c r="A282" s="4">
        <v>280</v>
      </c>
      <c r="B282" s="4" t="str">
        <f>IF($A282&gt;MAX(CuttingList!$I$3:$I$202),"",MATCH($A282,CuttingList!$H$3:$H$202,1))</f>
        <v/>
      </c>
      <c r="C282" s="3" t="str">
        <f>IF($B282="","",INDEX(CuttingList!$A$3:$A$202,$B282))</f>
        <v/>
      </c>
      <c r="D282" s="4" t="str">
        <f>IF($B282="","",INDEX(CuttingList!$B$3:$B$202,$B282))</f>
        <v/>
      </c>
      <c r="E282" s="4" t="str">
        <f>IF($B282="","",INDEX(CuttingList!$C$3:$C$202,$B282))</f>
        <v/>
      </c>
      <c r="F282" s="3" t="str">
        <f>IF($B282="","",INDEX(CuttingList!$E$3:$E$202,$B282))</f>
        <v/>
      </c>
      <c r="G282" s="4" t="str">
        <f t="shared" si="12"/>
        <v/>
      </c>
      <c r="H282" s="4" t="str">
        <f t="shared" si="13"/>
        <v/>
      </c>
      <c r="I282" s="4" t="str">
        <f t="shared" si="14"/>
        <v/>
      </c>
    </row>
    <row r="283" spans="1:9" x14ac:dyDescent="0.2">
      <c r="A283" s="4">
        <v>281</v>
      </c>
      <c r="B283" s="4" t="str">
        <f>IF($A283&gt;MAX(CuttingList!$I$3:$I$202),"",MATCH($A283,CuttingList!$H$3:$H$202,1))</f>
        <v/>
      </c>
      <c r="C283" s="3" t="str">
        <f>IF($B283="","",INDEX(CuttingList!$A$3:$A$202,$B283))</f>
        <v/>
      </c>
      <c r="D283" s="4" t="str">
        <f>IF($B283="","",INDEX(CuttingList!$B$3:$B$202,$B283))</f>
        <v/>
      </c>
      <c r="E283" s="4" t="str">
        <f>IF($B283="","",INDEX(CuttingList!$C$3:$C$202,$B283))</f>
        <v/>
      </c>
      <c r="F283" s="3" t="str">
        <f>IF($B283="","",INDEX(CuttingList!$E$3:$E$202,$B283))</f>
        <v/>
      </c>
      <c r="G283" s="4" t="str">
        <f t="shared" si="12"/>
        <v/>
      </c>
      <c r="H283" s="4" t="str">
        <f t="shared" si="13"/>
        <v/>
      </c>
      <c r="I283" s="4" t="str">
        <f t="shared" si="14"/>
        <v/>
      </c>
    </row>
    <row r="284" spans="1:9" x14ac:dyDescent="0.2">
      <c r="A284" s="4">
        <v>282</v>
      </c>
      <c r="B284" s="4" t="str">
        <f>IF($A284&gt;MAX(CuttingList!$I$3:$I$202),"",MATCH($A284,CuttingList!$H$3:$H$202,1))</f>
        <v/>
      </c>
      <c r="C284" s="3" t="str">
        <f>IF($B284="","",INDEX(CuttingList!$A$3:$A$202,$B284))</f>
        <v/>
      </c>
      <c r="D284" s="4" t="str">
        <f>IF($B284="","",INDEX(CuttingList!$B$3:$B$202,$B284))</f>
        <v/>
      </c>
      <c r="E284" s="4" t="str">
        <f>IF($B284="","",INDEX(CuttingList!$C$3:$C$202,$B284))</f>
        <v/>
      </c>
      <c r="F284" s="3" t="str">
        <f>IF($B284="","",INDEX(CuttingList!$E$3:$E$202,$B284))</f>
        <v/>
      </c>
      <c r="G284" s="4" t="str">
        <f t="shared" si="12"/>
        <v/>
      </c>
      <c r="H284" s="4" t="str">
        <f t="shared" si="13"/>
        <v/>
      </c>
      <c r="I284" s="4" t="str">
        <f t="shared" si="14"/>
        <v/>
      </c>
    </row>
    <row r="285" spans="1:9" x14ac:dyDescent="0.2">
      <c r="A285" s="4">
        <v>283</v>
      </c>
      <c r="B285" s="4" t="str">
        <f>IF($A285&gt;MAX(CuttingList!$I$3:$I$202),"",MATCH($A285,CuttingList!$H$3:$H$202,1))</f>
        <v/>
      </c>
      <c r="C285" s="3" t="str">
        <f>IF($B285="","",INDEX(CuttingList!$A$3:$A$202,$B285))</f>
        <v/>
      </c>
      <c r="D285" s="4" t="str">
        <f>IF($B285="","",INDEX(CuttingList!$B$3:$B$202,$B285))</f>
        <v/>
      </c>
      <c r="E285" s="4" t="str">
        <f>IF($B285="","",INDEX(CuttingList!$C$3:$C$202,$B285))</f>
        <v/>
      </c>
      <c r="F285" s="3" t="str">
        <f>IF($B285="","",INDEX(CuttingList!$E$3:$E$202,$B285))</f>
        <v/>
      </c>
      <c r="G285" s="4" t="str">
        <f t="shared" si="12"/>
        <v/>
      </c>
      <c r="H285" s="4" t="str">
        <f t="shared" si="13"/>
        <v/>
      </c>
      <c r="I285" s="4" t="str">
        <f t="shared" si="14"/>
        <v/>
      </c>
    </row>
    <row r="286" spans="1:9" x14ac:dyDescent="0.2">
      <c r="A286" s="4">
        <v>284</v>
      </c>
      <c r="B286" s="4" t="str">
        <f>IF($A286&gt;MAX(CuttingList!$I$3:$I$202),"",MATCH($A286,CuttingList!$H$3:$H$202,1))</f>
        <v/>
      </c>
      <c r="C286" s="3" t="str">
        <f>IF($B286="","",INDEX(CuttingList!$A$3:$A$202,$B286))</f>
        <v/>
      </c>
      <c r="D286" s="4" t="str">
        <f>IF($B286="","",INDEX(CuttingList!$B$3:$B$202,$B286))</f>
        <v/>
      </c>
      <c r="E286" s="4" t="str">
        <f>IF($B286="","",INDEX(CuttingList!$C$3:$C$202,$B286))</f>
        <v/>
      </c>
      <c r="F286" s="3" t="str">
        <f>IF($B286="","",INDEX(CuttingList!$E$3:$E$202,$B286))</f>
        <v/>
      </c>
      <c r="G286" s="4" t="str">
        <f t="shared" si="12"/>
        <v/>
      </c>
      <c r="H286" s="4" t="str">
        <f t="shared" si="13"/>
        <v/>
      </c>
      <c r="I286" s="4" t="str">
        <f t="shared" si="14"/>
        <v/>
      </c>
    </row>
    <row r="287" spans="1:9" x14ac:dyDescent="0.2">
      <c r="A287" s="4">
        <v>285</v>
      </c>
      <c r="B287" s="4" t="str">
        <f>IF($A287&gt;MAX(CuttingList!$I$3:$I$202),"",MATCH($A287,CuttingList!$H$3:$H$202,1))</f>
        <v/>
      </c>
      <c r="C287" s="3" t="str">
        <f>IF($B287="","",INDEX(CuttingList!$A$3:$A$202,$B287))</f>
        <v/>
      </c>
      <c r="D287" s="4" t="str">
        <f>IF($B287="","",INDEX(CuttingList!$B$3:$B$202,$B287))</f>
        <v/>
      </c>
      <c r="E287" s="4" t="str">
        <f>IF($B287="","",INDEX(CuttingList!$C$3:$C$202,$B287))</f>
        <v/>
      </c>
      <c r="F287" s="3" t="str">
        <f>IF($B287="","",INDEX(CuttingList!$E$3:$E$202,$B287))</f>
        <v/>
      </c>
      <c r="G287" s="4" t="str">
        <f t="shared" si="12"/>
        <v/>
      </c>
      <c r="H287" s="4" t="str">
        <f t="shared" si="13"/>
        <v/>
      </c>
      <c r="I287" s="4" t="str">
        <f t="shared" si="14"/>
        <v/>
      </c>
    </row>
    <row r="288" spans="1:9" x14ac:dyDescent="0.2">
      <c r="A288" s="4">
        <v>286</v>
      </c>
      <c r="B288" s="4" t="str">
        <f>IF($A288&gt;MAX(CuttingList!$I$3:$I$202),"",MATCH($A288,CuttingList!$H$3:$H$202,1))</f>
        <v/>
      </c>
      <c r="C288" s="3" t="str">
        <f>IF($B288="","",INDEX(CuttingList!$A$3:$A$202,$B288))</f>
        <v/>
      </c>
      <c r="D288" s="4" t="str">
        <f>IF($B288="","",INDEX(CuttingList!$B$3:$B$202,$B288))</f>
        <v/>
      </c>
      <c r="E288" s="4" t="str">
        <f>IF($B288="","",INDEX(CuttingList!$C$3:$C$202,$B288))</f>
        <v/>
      </c>
      <c r="F288" s="3" t="str">
        <f>IF($B288="","",INDEX(CuttingList!$E$3:$E$202,$B288))</f>
        <v/>
      </c>
      <c r="G288" s="4" t="str">
        <f t="shared" si="12"/>
        <v/>
      </c>
      <c r="H288" s="4" t="str">
        <f t="shared" si="13"/>
        <v/>
      </c>
      <c r="I288" s="4" t="str">
        <f t="shared" si="14"/>
        <v/>
      </c>
    </row>
    <row r="289" spans="1:9" x14ac:dyDescent="0.2">
      <c r="A289" s="4">
        <v>287</v>
      </c>
      <c r="B289" s="4" t="str">
        <f>IF($A289&gt;MAX(CuttingList!$I$3:$I$202),"",MATCH($A289,CuttingList!$H$3:$H$202,1))</f>
        <v/>
      </c>
      <c r="C289" s="3" t="str">
        <f>IF($B289="","",INDEX(CuttingList!$A$3:$A$202,$B289))</f>
        <v/>
      </c>
      <c r="D289" s="4" t="str">
        <f>IF($B289="","",INDEX(CuttingList!$B$3:$B$202,$B289))</f>
        <v/>
      </c>
      <c r="E289" s="4" t="str">
        <f>IF($B289="","",INDEX(CuttingList!$C$3:$C$202,$B289))</f>
        <v/>
      </c>
      <c r="F289" s="3" t="str">
        <f>IF($B289="","",INDEX(CuttingList!$E$3:$E$202,$B289))</f>
        <v/>
      </c>
      <c r="G289" s="4" t="str">
        <f t="shared" si="12"/>
        <v/>
      </c>
      <c r="H289" s="4" t="str">
        <f t="shared" si="13"/>
        <v/>
      </c>
      <c r="I289" s="4" t="str">
        <f t="shared" si="14"/>
        <v/>
      </c>
    </row>
    <row r="290" spans="1:9" x14ac:dyDescent="0.2">
      <c r="A290" s="4">
        <v>288</v>
      </c>
      <c r="B290" s="4" t="str">
        <f>IF($A290&gt;MAX(CuttingList!$I$3:$I$202),"",MATCH($A290,CuttingList!$H$3:$H$202,1))</f>
        <v/>
      </c>
      <c r="C290" s="3" t="str">
        <f>IF($B290="","",INDEX(CuttingList!$A$3:$A$202,$B290))</f>
        <v/>
      </c>
      <c r="D290" s="4" t="str">
        <f>IF($B290="","",INDEX(CuttingList!$B$3:$B$202,$B290))</f>
        <v/>
      </c>
      <c r="E290" s="4" t="str">
        <f>IF($B290="","",INDEX(CuttingList!$C$3:$C$202,$B290))</f>
        <v/>
      </c>
      <c r="F290" s="3" t="str">
        <f>IF($B290="","",INDEX(CuttingList!$E$3:$E$202,$B290))</f>
        <v/>
      </c>
      <c r="G290" s="4" t="str">
        <f t="shared" si="12"/>
        <v/>
      </c>
      <c r="H290" s="4" t="str">
        <f t="shared" si="13"/>
        <v/>
      </c>
      <c r="I290" s="4" t="str">
        <f t="shared" si="14"/>
        <v/>
      </c>
    </row>
    <row r="291" spans="1:9" x14ac:dyDescent="0.2">
      <c r="A291" s="4">
        <v>289</v>
      </c>
      <c r="B291" s="4" t="str">
        <f>IF($A291&gt;MAX(CuttingList!$I$3:$I$202),"",MATCH($A291,CuttingList!$H$3:$H$202,1))</f>
        <v/>
      </c>
      <c r="C291" s="3" t="str">
        <f>IF($B291="","",INDEX(CuttingList!$A$3:$A$202,$B291))</f>
        <v/>
      </c>
      <c r="D291" s="4" t="str">
        <f>IF($B291="","",INDEX(CuttingList!$B$3:$B$202,$B291))</f>
        <v/>
      </c>
      <c r="E291" s="4" t="str">
        <f>IF($B291="","",INDEX(CuttingList!$C$3:$C$202,$B291))</f>
        <v/>
      </c>
      <c r="F291" s="3" t="str">
        <f>IF($B291="","",INDEX(CuttingList!$E$3:$E$202,$B291))</f>
        <v/>
      </c>
      <c r="G291" s="4" t="str">
        <f t="shared" si="12"/>
        <v/>
      </c>
      <c r="H291" s="4" t="str">
        <f t="shared" si="13"/>
        <v/>
      </c>
      <c r="I291" s="4" t="str">
        <f t="shared" si="14"/>
        <v/>
      </c>
    </row>
    <row r="292" spans="1:9" x14ac:dyDescent="0.2">
      <c r="A292" s="4">
        <v>290</v>
      </c>
      <c r="B292" s="4" t="str">
        <f>IF($A292&gt;MAX(CuttingList!$I$3:$I$202),"",MATCH($A292,CuttingList!$H$3:$H$202,1))</f>
        <v/>
      </c>
      <c r="C292" s="3" t="str">
        <f>IF($B292="","",INDEX(CuttingList!$A$3:$A$202,$B292))</f>
        <v/>
      </c>
      <c r="D292" s="4" t="str">
        <f>IF($B292="","",INDEX(CuttingList!$B$3:$B$202,$B292))</f>
        <v/>
      </c>
      <c r="E292" s="4" t="str">
        <f>IF($B292="","",INDEX(CuttingList!$C$3:$C$202,$B292))</f>
        <v/>
      </c>
      <c r="F292" s="3" t="str">
        <f>IF($B292="","",INDEX(CuttingList!$E$3:$E$202,$B292))</f>
        <v/>
      </c>
      <c r="G292" s="4" t="str">
        <f t="shared" si="12"/>
        <v/>
      </c>
      <c r="H292" s="4" t="str">
        <f t="shared" si="13"/>
        <v/>
      </c>
      <c r="I292" s="4" t="str">
        <f t="shared" si="14"/>
        <v/>
      </c>
    </row>
    <row r="293" spans="1:9" x14ac:dyDescent="0.2">
      <c r="A293" s="4">
        <v>291</v>
      </c>
      <c r="B293" s="4" t="str">
        <f>IF($A293&gt;MAX(CuttingList!$I$3:$I$202),"",MATCH($A293,CuttingList!$H$3:$H$202,1))</f>
        <v/>
      </c>
      <c r="C293" s="3" t="str">
        <f>IF($B293="","",INDEX(CuttingList!$A$3:$A$202,$B293))</f>
        <v/>
      </c>
      <c r="D293" s="4" t="str">
        <f>IF($B293="","",INDEX(CuttingList!$B$3:$B$202,$B293))</f>
        <v/>
      </c>
      <c r="E293" s="4" t="str">
        <f>IF($B293="","",INDEX(CuttingList!$C$3:$C$202,$B293))</f>
        <v/>
      </c>
      <c r="F293" s="3" t="str">
        <f>IF($B293="","",INDEX(CuttingList!$E$3:$E$202,$B293))</f>
        <v/>
      </c>
      <c r="G293" s="4" t="str">
        <f t="shared" si="12"/>
        <v/>
      </c>
      <c r="H293" s="4" t="str">
        <f t="shared" si="13"/>
        <v/>
      </c>
      <c r="I293" s="4" t="str">
        <f t="shared" si="14"/>
        <v/>
      </c>
    </row>
    <row r="294" spans="1:9" x14ac:dyDescent="0.2">
      <c r="A294" s="4">
        <v>292</v>
      </c>
      <c r="B294" s="4" t="str">
        <f>IF($A294&gt;MAX(CuttingList!$I$3:$I$202),"",MATCH($A294,CuttingList!$H$3:$H$202,1))</f>
        <v/>
      </c>
      <c r="C294" s="3" t="str">
        <f>IF($B294="","",INDEX(CuttingList!$A$3:$A$202,$B294))</f>
        <v/>
      </c>
      <c r="D294" s="4" t="str">
        <f>IF($B294="","",INDEX(CuttingList!$B$3:$B$202,$B294))</f>
        <v/>
      </c>
      <c r="E294" s="4" t="str">
        <f>IF($B294="","",INDEX(CuttingList!$C$3:$C$202,$B294))</f>
        <v/>
      </c>
      <c r="F294" s="3" t="str">
        <f>IF($B294="","",INDEX(CuttingList!$E$3:$E$202,$B294))</f>
        <v/>
      </c>
      <c r="G294" s="4" t="str">
        <f t="shared" si="12"/>
        <v/>
      </c>
      <c r="H294" s="4" t="str">
        <f t="shared" si="13"/>
        <v/>
      </c>
      <c r="I294" s="4" t="str">
        <f t="shared" si="14"/>
        <v/>
      </c>
    </row>
    <row r="295" spans="1:9" x14ac:dyDescent="0.2">
      <c r="A295" s="4">
        <v>293</v>
      </c>
      <c r="B295" s="4" t="str">
        <f>IF($A295&gt;MAX(CuttingList!$I$3:$I$202),"",MATCH($A295,CuttingList!$H$3:$H$202,1))</f>
        <v/>
      </c>
      <c r="C295" s="3" t="str">
        <f>IF($B295="","",INDEX(CuttingList!$A$3:$A$202,$B295))</f>
        <v/>
      </c>
      <c r="D295" s="4" t="str">
        <f>IF($B295="","",INDEX(CuttingList!$B$3:$B$202,$B295))</f>
        <v/>
      </c>
      <c r="E295" s="4" t="str">
        <f>IF($B295="","",INDEX(CuttingList!$C$3:$C$202,$B295))</f>
        <v/>
      </c>
      <c r="F295" s="3" t="str">
        <f>IF($B295="","",INDEX(CuttingList!$E$3:$E$202,$B295))</f>
        <v/>
      </c>
      <c r="G295" s="4" t="str">
        <f t="shared" si="12"/>
        <v/>
      </c>
      <c r="H295" s="4" t="str">
        <f t="shared" si="13"/>
        <v/>
      </c>
      <c r="I295" s="4" t="str">
        <f t="shared" si="14"/>
        <v/>
      </c>
    </row>
    <row r="296" spans="1:9" x14ac:dyDescent="0.2">
      <c r="A296" s="4">
        <v>294</v>
      </c>
      <c r="B296" s="4" t="str">
        <f>IF($A296&gt;MAX(CuttingList!$I$3:$I$202),"",MATCH($A296,CuttingList!$H$3:$H$202,1))</f>
        <v/>
      </c>
      <c r="C296" s="3" t="str">
        <f>IF($B296="","",INDEX(CuttingList!$A$3:$A$202,$B296))</f>
        <v/>
      </c>
      <c r="D296" s="4" t="str">
        <f>IF($B296="","",INDEX(CuttingList!$B$3:$B$202,$B296))</f>
        <v/>
      </c>
      <c r="E296" s="4" t="str">
        <f>IF($B296="","",INDEX(CuttingList!$C$3:$C$202,$B296))</f>
        <v/>
      </c>
      <c r="F296" s="3" t="str">
        <f>IF($B296="","",INDEX(CuttingList!$E$3:$E$202,$B296))</f>
        <v/>
      </c>
      <c r="G296" s="4" t="str">
        <f t="shared" si="12"/>
        <v/>
      </c>
      <c r="H296" s="4" t="str">
        <f t="shared" si="13"/>
        <v/>
      </c>
      <c r="I296" s="4" t="str">
        <f t="shared" si="14"/>
        <v/>
      </c>
    </row>
    <row r="297" spans="1:9" x14ac:dyDescent="0.2">
      <c r="A297" s="4">
        <v>295</v>
      </c>
      <c r="B297" s="4" t="str">
        <f>IF($A297&gt;MAX(CuttingList!$I$3:$I$202),"",MATCH($A297,CuttingList!$H$3:$H$202,1))</f>
        <v/>
      </c>
      <c r="C297" s="3" t="str">
        <f>IF($B297="","",INDEX(CuttingList!$A$3:$A$202,$B297))</f>
        <v/>
      </c>
      <c r="D297" s="4" t="str">
        <f>IF($B297="","",INDEX(CuttingList!$B$3:$B$202,$B297))</f>
        <v/>
      </c>
      <c r="E297" s="4" t="str">
        <f>IF($B297="","",INDEX(CuttingList!$C$3:$C$202,$B297))</f>
        <v/>
      </c>
      <c r="F297" s="3" t="str">
        <f>IF($B297="","",INDEX(CuttingList!$E$3:$E$202,$B297))</f>
        <v/>
      </c>
      <c r="G297" s="4" t="str">
        <f t="shared" si="12"/>
        <v/>
      </c>
      <c r="H297" s="4" t="str">
        <f t="shared" si="13"/>
        <v/>
      </c>
      <c r="I297" s="4" t="str">
        <f t="shared" si="14"/>
        <v/>
      </c>
    </row>
    <row r="298" spans="1:9" x14ac:dyDescent="0.2">
      <c r="A298" s="4">
        <v>296</v>
      </c>
      <c r="B298" s="4" t="str">
        <f>IF($A298&gt;MAX(CuttingList!$I$3:$I$202),"",MATCH($A298,CuttingList!$H$3:$H$202,1))</f>
        <v/>
      </c>
      <c r="C298" s="3" t="str">
        <f>IF($B298="","",INDEX(CuttingList!$A$3:$A$202,$B298))</f>
        <v/>
      </c>
      <c r="D298" s="4" t="str">
        <f>IF($B298="","",INDEX(CuttingList!$B$3:$B$202,$B298))</f>
        <v/>
      </c>
      <c r="E298" s="4" t="str">
        <f>IF($B298="","",INDEX(CuttingList!$C$3:$C$202,$B298))</f>
        <v/>
      </c>
      <c r="F298" s="3" t="str">
        <f>IF($B298="","",INDEX(CuttingList!$E$3:$E$202,$B298))</f>
        <v/>
      </c>
      <c r="G298" s="4" t="str">
        <f t="shared" si="12"/>
        <v/>
      </c>
      <c r="H298" s="4" t="str">
        <f t="shared" si="13"/>
        <v/>
      </c>
      <c r="I298" s="4" t="str">
        <f t="shared" si="14"/>
        <v/>
      </c>
    </row>
    <row r="299" spans="1:9" x14ac:dyDescent="0.2">
      <c r="A299" s="4">
        <v>297</v>
      </c>
      <c r="B299" s="4" t="str">
        <f>IF($A299&gt;MAX(CuttingList!$I$3:$I$202),"",MATCH($A299,CuttingList!$H$3:$H$202,1))</f>
        <v/>
      </c>
      <c r="C299" s="3" t="str">
        <f>IF($B299="","",INDEX(CuttingList!$A$3:$A$202,$B299))</f>
        <v/>
      </c>
      <c r="D299" s="4" t="str">
        <f>IF($B299="","",INDEX(CuttingList!$B$3:$B$202,$B299))</f>
        <v/>
      </c>
      <c r="E299" s="4" t="str">
        <f>IF($B299="","",INDEX(CuttingList!$C$3:$C$202,$B299))</f>
        <v/>
      </c>
      <c r="F299" s="3" t="str">
        <f>IF($B299="","",INDEX(CuttingList!$E$3:$E$202,$B299))</f>
        <v/>
      </c>
      <c r="G299" s="4" t="str">
        <f t="shared" si="12"/>
        <v/>
      </c>
      <c r="H299" s="4" t="str">
        <f t="shared" si="13"/>
        <v/>
      </c>
      <c r="I299" s="4" t="str">
        <f t="shared" si="14"/>
        <v/>
      </c>
    </row>
    <row r="300" spans="1:9" x14ac:dyDescent="0.2">
      <c r="A300" s="4">
        <v>298</v>
      </c>
      <c r="B300" s="4" t="str">
        <f>IF($A300&gt;MAX(CuttingList!$I$3:$I$202),"",MATCH($A300,CuttingList!$H$3:$H$202,1))</f>
        <v/>
      </c>
      <c r="C300" s="3" t="str">
        <f>IF($B300="","",INDEX(CuttingList!$A$3:$A$202,$B300))</f>
        <v/>
      </c>
      <c r="D300" s="4" t="str">
        <f>IF($B300="","",INDEX(CuttingList!$B$3:$B$202,$B300))</f>
        <v/>
      </c>
      <c r="E300" s="4" t="str">
        <f>IF($B300="","",INDEX(CuttingList!$C$3:$C$202,$B300))</f>
        <v/>
      </c>
      <c r="F300" s="3" t="str">
        <f>IF($B300="","",INDEX(CuttingList!$E$3:$E$202,$B300))</f>
        <v/>
      </c>
      <c r="G300" s="4" t="str">
        <f t="shared" si="12"/>
        <v/>
      </c>
      <c r="H300" s="4" t="str">
        <f t="shared" si="13"/>
        <v/>
      </c>
      <c r="I300" s="4" t="str">
        <f t="shared" si="14"/>
        <v/>
      </c>
    </row>
    <row r="301" spans="1:9" x14ac:dyDescent="0.2">
      <c r="A301" s="4">
        <v>299</v>
      </c>
      <c r="B301" s="4" t="str">
        <f>IF($A301&gt;MAX(CuttingList!$I$3:$I$202),"",MATCH($A301,CuttingList!$H$3:$H$202,1))</f>
        <v/>
      </c>
      <c r="C301" s="3" t="str">
        <f>IF($B301="","",INDEX(CuttingList!$A$3:$A$202,$B301))</f>
        <v/>
      </c>
      <c r="D301" s="4" t="str">
        <f>IF($B301="","",INDEX(CuttingList!$B$3:$B$202,$B301))</f>
        <v/>
      </c>
      <c r="E301" s="4" t="str">
        <f>IF($B301="","",INDEX(CuttingList!$C$3:$C$202,$B301))</f>
        <v/>
      </c>
      <c r="F301" s="3" t="str">
        <f>IF($B301="","",INDEX(CuttingList!$E$3:$E$202,$B301))</f>
        <v/>
      </c>
      <c r="G301" s="4" t="str">
        <f t="shared" si="12"/>
        <v/>
      </c>
      <c r="H301" s="4" t="str">
        <f t="shared" si="13"/>
        <v/>
      </c>
      <c r="I301" s="4" t="str">
        <f t="shared" si="14"/>
        <v/>
      </c>
    </row>
    <row r="302" spans="1:9" x14ac:dyDescent="0.2">
      <c r="A302" s="4">
        <v>300</v>
      </c>
      <c r="B302" s="4" t="str">
        <f>IF($A302&gt;MAX(CuttingList!$I$3:$I$202),"",MATCH($A302,CuttingList!$H$3:$H$202,1))</f>
        <v/>
      </c>
      <c r="C302" s="3" t="str">
        <f>IF($B302="","",INDEX(CuttingList!$A$3:$A$202,$B302))</f>
        <v/>
      </c>
      <c r="D302" s="4" t="str">
        <f>IF($B302="","",INDEX(CuttingList!$B$3:$B$202,$B302))</f>
        <v/>
      </c>
      <c r="E302" s="4" t="str">
        <f>IF($B302="","",INDEX(CuttingList!$C$3:$C$202,$B302))</f>
        <v/>
      </c>
      <c r="F302" s="3" t="str">
        <f>IF($B302="","",INDEX(CuttingList!$E$3:$E$202,$B302))</f>
        <v/>
      </c>
      <c r="G302" s="4" t="str">
        <f t="shared" si="12"/>
        <v/>
      </c>
      <c r="H302" s="4" t="str">
        <f t="shared" si="13"/>
        <v/>
      </c>
      <c r="I302" s="4" t="str">
        <f t="shared" si="14"/>
        <v/>
      </c>
    </row>
    <row r="303" spans="1:9" x14ac:dyDescent="0.2">
      <c r="A303" s="4">
        <v>301</v>
      </c>
      <c r="B303" s="4" t="str">
        <f>IF($A303&gt;MAX(CuttingList!$I$3:$I$202),"",MATCH($A303,CuttingList!$H$3:$H$202,1))</f>
        <v/>
      </c>
      <c r="C303" s="3" t="str">
        <f>IF($B303="","",INDEX(CuttingList!$A$3:$A$202,$B303))</f>
        <v/>
      </c>
      <c r="D303" s="4" t="str">
        <f>IF($B303="","",INDEX(CuttingList!$B$3:$B$202,$B303))</f>
        <v/>
      </c>
      <c r="E303" s="4" t="str">
        <f>IF($B303="","",INDEX(CuttingList!$C$3:$C$202,$B303))</f>
        <v/>
      </c>
      <c r="F303" s="3" t="str">
        <f>IF($B303="","",INDEX(CuttingList!$E$3:$E$202,$B303))</f>
        <v/>
      </c>
      <c r="G303" s="4" t="str">
        <f t="shared" si="12"/>
        <v/>
      </c>
      <c r="H303" s="4" t="str">
        <f t="shared" si="13"/>
        <v/>
      </c>
      <c r="I303" s="4" t="str">
        <f t="shared" si="14"/>
        <v/>
      </c>
    </row>
    <row r="304" spans="1:9" x14ac:dyDescent="0.2">
      <c r="A304" s="4">
        <v>302</v>
      </c>
      <c r="B304" s="4" t="str">
        <f>IF($A304&gt;MAX(CuttingList!$I$3:$I$202),"",MATCH($A304,CuttingList!$H$3:$H$202,1))</f>
        <v/>
      </c>
      <c r="C304" s="3" t="str">
        <f>IF($B304="","",INDEX(CuttingList!$A$3:$A$202,$B304))</f>
        <v/>
      </c>
      <c r="D304" s="4" t="str">
        <f>IF($B304="","",INDEX(CuttingList!$B$3:$B$202,$B304))</f>
        <v/>
      </c>
      <c r="E304" s="4" t="str">
        <f>IF($B304="","",INDEX(CuttingList!$C$3:$C$202,$B304))</f>
        <v/>
      </c>
      <c r="F304" s="3" t="str">
        <f>IF($B304="","",INDEX(CuttingList!$E$3:$E$202,$B304))</f>
        <v/>
      </c>
      <c r="G304" s="4" t="str">
        <f t="shared" si="12"/>
        <v/>
      </c>
      <c r="H304" s="4" t="str">
        <f t="shared" si="13"/>
        <v/>
      </c>
      <c r="I304" s="4" t="str">
        <f t="shared" si="14"/>
        <v/>
      </c>
    </row>
    <row r="305" spans="1:9" x14ac:dyDescent="0.2">
      <c r="A305" s="4">
        <v>303</v>
      </c>
      <c r="B305" s="4" t="str">
        <f>IF($A305&gt;MAX(CuttingList!$I$3:$I$202),"",MATCH($A305,CuttingList!$H$3:$H$202,1))</f>
        <v/>
      </c>
      <c r="C305" s="3" t="str">
        <f>IF($B305="","",INDEX(CuttingList!$A$3:$A$202,$B305))</f>
        <v/>
      </c>
      <c r="D305" s="4" t="str">
        <f>IF($B305="","",INDEX(CuttingList!$B$3:$B$202,$B305))</f>
        <v/>
      </c>
      <c r="E305" s="4" t="str">
        <f>IF($B305="","",INDEX(CuttingList!$C$3:$C$202,$B305))</f>
        <v/>
      </c>
      <c r="F305" s="3" t="str">
        <f>IF($B305="","",INDEX(CuttingList!$E$3:$E$202,$B305))</f>
        <v/>
      </c>
      <c r="G305" s="4" t="str">
        <f t="shared" si="12"/>
        <v/>
      </c>
      <c r="H305" s="4" t="str">
        <f t="shared" si="13"/>
        <v/>
      </c>
      <c r="I305" s="4" t="str">
        <f t="shared" si="14"/>
        <v/>
      </c>
    </row>
    <row r="306" spans="1:9" x14ac:dyDescent="0.2">
      <c r="A306" s="4">
        <v>304</v>
      </c>
      <c r="B306" s="4" t="str">
        <f>IF($A306&gt;MAX(CuttingList!$I$3:$I$202),"",MATCH($A306,CuttingList!$H$3:$H$202,1))</f>
        <v/>
      </c>
      <c r="C306" s="3" t="str">
        <f>IF($B306="","",INDEX(CuttingList!$A$3:$A$202,$B306))</f>
        <v/>
      </c>
      <c r="D306" s="4" t="str">
        <f>IF($B306="","",INDEX(CuttingList!$B$3:$B$202,$B306))</f>
        <v/>
      </c>
      <c r="E306" s="4" t="str">
        <f>IF($B306="","",INDEX(CuttingList!$C$3:$C$202,$B306))</f>
        <v/>
      </c>
      <c r="F306" s="3" t="str">
        <f>IF($B306="","",INDEX(CuttingList!$E$3:$E$202,$B306))</f>
        <v/>
      </c>
      <c r="G306" s="4" t="str">
        <f t="shared" si="12"/>
        <v/>
      </c>
      <c r="H306" s="4" t="str">
        <f t="shared" si="13"/>
        <v/>
      </c>
      <c r="I306" s="4" t="str">
        <f t="shared" si="14"/>
        <v/>
      </c>
    </row>
    <row r="307" spans="1:9" x14ac:dyDescent="0.2">
      <c r="A307" s="4">
        <v>305</v>
      </c>
      <c r="B307" s="4" t="str">
        <f>IF($A307&gt;MAX(CuttingList!$I$3:$I$202),"",MATCH($A307,CuttingList!$H$3:$H$202,1))</f>
        <v/>
      </c>
      <c r="C307" s="3" t="str">
        <f>IF($B307="","",INDEX(CuttingList!$A$3:$A$202,$B307))</f>
        <v/>
      </c>
      <c r="D307" s="4" t="str">
        <f>IF($B307="","",INDEX(CuttingList!$B$3:$B$202,$B307))</f>
        <v/>
      </c>
      <c r="E307" s="4" t="str">
        <f>IF($B307="","",INDEX(CuttingList!$C$3:$C$202,$B307))</f>
        <v/>
      </c>
      <c r="F307" s="3" t="str">
        <f>IF($B307="","",INDEX(CuttingList!$E$3:$E$202,$B307))</f>
        <v/>
      </c>
      <c r="G307" s="4" t="str">
        <f t="shared" si="12"/>
        <v/>
      </c>
      <c r="H307" s="4" t="str">
        <f t="shared" si="13"/>
        <v/>
      </c>
      <c r="I307" s="4" t="str">
        <f t="shared" si="14"/>
        <v/>
      </c>
    </row>
    <row r="308" spans="1:9" x14ac:dyDescent="0.2">
      <c r="A308" s="4">
        <v>306</v>
      </c>
      <c r="B308" s="4" t="str">
        <f>IF($A308&gt;MAX(CuttingList!$I$3:$I$202),"",MATCH($A308,CuttingList!$H$3:$H$202,1))</f>
        <v/>
      </c>
      <c r="C308" s="3" t="str">
        <f>IF($B308="","",INDEX(CuttingList!$A$3:$A$202,$B308))</f>
        <v/>
      </c>
      <c r="D308" s="4" t="str">
        <f>IF($B308="","",INDEX(CuttingList!$B$3:$B$202,$B308))</f>
        <v/>
      </c>
      <c r="E308" s="4" t="str">
        <f>IF($B308="","",INDEX(CuttingList!$C$3:$C$202,$B308))</f>
        <v/>
      </c>
      <c r="F308" s="3" t="str">
        <f>IF($B308="","",INDEX(CuttingList!$E$3:$E$202,$B308))</f>
        <v/>
      </c>
      <c r="G308" s="4" t="str">
        <f t="shared" si="12"/>
        <v/>
      </c>
      <c r="H308" s="4" t="str">
        <f t="shared" si="13"/>
        <v/>
      </c>
      <c r="I308" s="4" t="str">
        <f t="shared" si="14"/>
        <v/>
      </c>
    </row>
    <row r="309" spans="1:9" x14ac:dyDescent="0.2">
      <c r="A309" s="4">
        <v>307</v>
      </c>
      <c r="B309" s="4" t="str">
        <f>IF($A309&gt;MAX(CuttingList!$I$3:$I$202),"",MATCH($A309,CuttingList!$H$3:$H$202,1))</f>
        <v/>
      </c>
      <c r="C309" s="3" t="str">
        <f>IF($B309="","",INDEX(CuttingList!$A$3:$A$202,$B309))</f>
        <v/>
      </c>
      <c r="D309" s="4" t="str">
        <f>IF($B309="","",INDEX(CuttingList!$B$3:$B$202,$B309))</f>
        <v/>
      </c>
      <c r="E309" s="4" t="str">
        <f>IF($B309="","",INDEX(CuttingList!$C$3:$C$202,$B309))</f>
        <v/>
      </c>
      <c r="F309" s="3" t="str">
        <f>IF($B309="","",INDEX(CuttingList!$E$3:$E$202,$B309))</f>
        <v/>
      </c>
      <c r="G309" s="4" t="str">
        <f t="shared" si="12"/>
        <v/>
      </c>
      <c r="H309" s="4" t="str">
        <f t="shared" si="13"/>
        <v/>
      </c>
      <c r="I309" s="4" t="str">
        <f t="shared" si="14"/>
        <v/>
      </c>
    </row>
    <row r="310" spans="1:9" x14ac:dyDescent="0.2">
      <c r="A310" s="4">
        <v>308</v>
      </c>
      <c r="B310" s="4" t="str">
        <f>IF($A310&gt;MAX(CuttingList!$I$3:$I$202),"",MATCH($A310,CuttingList!$H$3:$H$202,1))</f>
        <v/>
      </c>
      <c r="C310" s="3" t="str">
        <f>IF($B310="","",INDEX(CuttingList!$A$3:$A$202,$B310))</f>
        <v/>
      </c>
      <c r="D310" s="4" t="str">
        <f>IF($B310="","",INDEX(CuttingList!$B$3:$B$202,$B310))</f>
        <v/>
      </c>
      <c r="E310" s="4" t="str">
        <f>IF($B310="","",INDEX(CuttingList!$C$3:$C$202,$B310))</f>
        <v/>
      </c>
      <c r="F310" s="3" t="str">
        <f>IF($B310="","",INDEX(CuttingList!$E$3:$E$202,$B310))</f>
        <v/>
      </c>
      <c r="G310" s="4" t="str">
        <f t="shared" si="12"/>
        <v/>
      </c>
      <c r="H310" s="4" t="str">
        <f t="shared" si="13"/>
        <v/>
      </c>
      <c r="I310" s="4" t="str">
        <f t="shared" si="14"/>
        <v/>
      </c>
    </row>
    <row r="311" spans="1:9" x14ac:dyDescent="0.2">
      <c r="A311" s="4">
        <v>309</v>
      </c>
      <c r="B311" s="4" t="str">
        <f>IF($A311&gt;MAX(CuttingList!$I$3:$I$202),"",MATCH($A311,CuttingList!$H$3:$H$202,1))</f>
        <v/>
      </c>
      <c r="C311" s="3" t="str">
        <f>IF($B311="","",INDEX(CuttingList!$A$3:$A$202,$B311))</f>
        <v/>
      </c>
      <c r="D311" s="4" t="str">
        <f>IF($B311="","",INDEX(CuttingList!$B$3:$B$202,$B311))</f>
        <v/>
      </c>
      <c r="E311" s="4" t="str">
        <f>IF($B311="","",INDEX(CuttingList!$C$3:$C$202,$B311))</f>
        <v/>
      </c>
      <c r="F311" s="3" t="str">
        <f>IF($B311="","",INDEX(CuttingList!$E$3:$E$202,$B311))</f>
        <v/>
      </c>
      <c r="G311" s="4" t="str">
        <f t="shared" si="12"/>
        <v/>
      </c>
      <c r="H311" s="4" t="str">
        <f t="shared" si="13"/>
        <v/>
      </c>
      <c r="I311" s="4" t="str">
        <f t="shared" si="14"/>
        <v/>
      </c>
    </row>
    <row r="312" spans="1:9" x14ac:dyDescent="0.2">
      <c r="A312" s="4">
        <v>310</v>
      </c>
      <c r="B312" s="4" t="str">
        <f>IF($A312&gt;MAX(CuttingList!$I$3:$I$202),"",MATCH($A312,CuttingList!$H$3:$H$202,1))</f>
        <v/>
      </c>
      <c r="C312" s="3" t="str">
        <f>IF($B312="","",INDEX(CuttingList!$A$3:$A$202,$B312))</f>
        <v/>
      </c>
      <c r="D312" s="4" t="str">
        <f>IF($B312="","",INDEX(CuttingList!$B$3:$B$202,$B312))</f>
        <v/>
      </c>
      <c r="E312" s="4" t="str">
        <f>IF($B312="","",INDEX(CuttingList!$C$3:$C$202,$B312))</f>
        <v/>
      </c>
      <c r="F312" s="3" t="str">
        <f>IF($B312="","",INDEX(CuttingList!$E$3:$E$202,$B312))</f>
        <v/>
      </c>
      <c r="G312" s="4" t="str">
        <f t="shared" si="12"/>
        <v/>
      </c>
      <c r="H312" s="4" t="str">
        <f t="shared" si="13"/>
        <v/>
      </c>
      <c r="I312" s="4" t="str">
        <f t="shared" si="14"/>
        <v/>
      </c>
    </row>
    <row r="313" spans="1:9" x14ac:dyDescent="0.2">
      <c r="A313" s="4">
        <v>311</v>
      </c>
      <c r="B313" s="4" t="str">
        <f>IF($A313&gt;MAX(CuttingList!$I$3:$I$202),"",MATCH($A313,CuttingList!$H$3:$H$202,1))</f>
        <v/>
      </c>
      <c r="C313" s="3" t="str">
        <f>IF($B313="","",INDEX(CuttingList!$A$3:$A$202,$B313))</f>
        <v/>
      </c>
      <c r="D313" s="4" t="str">
        <f>IF($B313="","",INDEX(CuttingList!$B$3:$B$202,$B313))</f>
        <v/>
      </c>
      <c r="E313" s="4" t="str">
        <f>IF($B313="","",INDEX(CuttingList!$C$3:$C$202,$B313))</f>
        <v/>
      </c>
      <c r="F313" s="3" t="str">
        <f>IF($B313="","",INDEX(CuttingList!$E$3:$E$202,$B313))</f>
        <v/>
      </c>
      <c r="G313" s="4" t="str">
        <f t="shared" si="12"/>
        <v/>
      </c>
      <c r="H313" s="4" t="str">
        <f t="shared" si="13"/>
        <v/>
      </c>
      <c r="I313" s="4" t="str">
        <f t="shared" si="14"/>
        <v/>
      </c>
    </row>
    <row r="314" spans="1:9" x14ac:dyDescent="0.2">
      <c r="A314" s="4">
        <v>312</v>
      </c>
      <c r="B314" s="4" t="str">
        <f>IF($A314&gt;MAX(CuttingList!$I$3:$I$202),"",MATCH($A314,CuttingList!$H$3:$H$202,1))</f>
        <v/>
      </c>
      <c r="C314" s="3" t="str">
        <f>IF($B314="","",INDEX(CuttingList!$A$3:$A$202,$B314))</f>
        <v/>
      </c>
      <c r="D314" s="4" t="str">
        <f>IF($B314="","",INDEX(CuttingList!$B$3:$B$202,$B314))</f>
        <v/>
      </c>
      <c r="E314" s="4" t="str">
        <f>IF($B314="","",INDEX(CuttingList!$C$3:$C$202,$B314))</f>
        <v/>
      </c>
      <c r="F314" s="3" t="str">
        <f>IF($B314="","",INDEX(CuttingList!$E$3:$E$202,$B314))</f>
        <v/>
      </c>
      <c r="G314" s="4" t="str">
        <f t="shared" si="12"/>
        <v/>
      </c>
      <c r="H314" s="4" t="str">
        <f t="shared" si="13"/>
        <v/>
      </c>
      <c r="I314" s="4" t="str">
        <f t="shared" si="14"/>
        <v/>
      </c>
    </row>
    <row r="315" spans="1:9" x14ac:dyDescent="0.2">
      <c r="A315" s="4">
        <v>313</v>
      </c>
      <c r="B315" s="4" t="str">
        <f>IF($A315&gt;MAX(CuttingList!$I$3:$I$202),"",MATCH($A315,CuttingList!$H$3:$H$202,1))</f>
        <v/>
      </c>
      <c r="C315" s="3" t="str">
        <f>IF($B315="","",INDEX(CuttingList!$A$3:$A$202,$B315))</f>
        <v/>
      </c>
      <c r="D315" s="4" t="str">
        <f>IF($B315="","",INDEX(CuttingList!$B$3:$B$202,$B315))</f>
        <v/>
      </c>
      <c r="E315" s="4" t="str">
        <f>IF($B315="","",INDEX(CuttingList!$C$3:$C$202,$B315))</f>
        <v/>
      </c>
      <c r="F315" s="3" t="str">
        <f>IF($B315="","",INDEX(CuttingList!$E$3:$E$202,$B315))</f>
        <v/>
      </c>
      <c r="G315" s="4" t="str">
        <f t="shared" si="12"/>
        <v/>
      </c>
      <c r="H315" s="4" t="str">
        <f t="shared" si="13"/>
        <v/>
      </c>
      <c r="I315" s="4" t="str">
        <f t="shared" si="14"/>
        <v/>
      </c>
    </row>
    <row r="316" spans="1:9" x14ac:dyDescent="0.2">
      <c r="A316" s="4">
        <v>314</v>
      </c>
      <c r="B316" s="4" t="str">
        <f>IF($A316&gt;MAX(CuttingList!$I$3:$I$202),"",MATCH($A316,CuttingList!$H$3:$H$202,1))</f>
        <v/>
      </c>
      <c r="C316" s="3" t="str">
        <f>IF($B316="","",INDEX(CuttingList!$A$3:$A$202,$B316))</f>
        <v/>
      </c>
      <c r="D316" s="4" t="str">
        <f>IF($B316="","",INDEX(CuttingList!$B$3:$B$202,$B316))</f>
        <v/>
      </c>
      <c r="E316" s="4" t="str">
        <f>IF($B316="","",INDEX(CuttingList!$C$3:$C$202,$B316))</f>
        <v/>
      </c>
      <c r="F316" s="3" t="str">
        <f>IF($B316="","",INDEX(CuttingList!$E$3:$E$202,$B316))</f>
        <v/>
      </c>
      <c r="G316" s="4" t="str">
        <f t="shared" si="12"/>
        <v/>
      </c>
      <c r="H316" s="4" t="str">
        <f t="shared" si="13"/>
        <v/>
      </c>
      <c r="I316" s="4" t="str">
        <f t="shared" si="14"/>
        <v/>
      </c>
    </row>
    <row r="317" spans="1:9" x14ac:dyDescent="0.2">
      <c r="A317" s="4">
        <v>315</v>
      </c>
      <c r="B317" s="4" t="str">
        <f>IF($A317&gt;MAX(CuttingList!$I$3:$I$202),"",MATCH($A317,CuttingList!$H$3:$H$202,1))</f>
        <v/>
      </c>
      <c r="C317" s="3" t="str">
        <f>IF($B317="","",INDEX(CuttingList!$A$3:$A$202,$B317))</f>
        <v/>
      </c>
      <c r="D317" s="4" t="str">
        <f>IF($B317="","",INDEX(CuttingList!$B$3:$B$202,$B317))</f>
        <v/>
      </c>
      <c r="E317" s="4" t="str">
        <f>IF($B317="","",INDEX(CuttingList!$C$3:$C$202,$B317))</f>
        <v/>
      </c>
      <c r="F317" s="3" t="str">
        <f>IF($B317="","",INDEX(CuttingList!$E$3:$E$202,$B317))</f>
        <v/>
      </c>
      <c r="G317" s="4" t="str">
        <f t="shared" si="12"/>
        <v/>
      </c>
      <c r="H317" s="4" t="str">
        <f t="shared" si="13"/>
        <v/>
      </c>
      <c r="I317" s="4" t="str">
        <f t="shared" si="14"/>
        <v/>
      </c>
    </row>
    <row r="318" spans="1:9" x14ac:dyDescent="0.2">
      <c r="A318" s="4">
        <v>316</v>
      </c>
      <c r="B318" s="4" t="str">
        <f>IF($A318&gt;MAX(CuttingList!$I$3:$I$202),"",MATCH($A318,CuttingList!$H$3:$H$202,1))</f>
        <v/>
      </c>
      <c r="C318" s="3" t="str">
        <f>IF($B318="","",INDEX(CuttingList!$A$3:$A$202,$B318))</f>
        <v/>
      </c>
      <c r="D318" s="4" t="str">
        <f>IF($B318="","",INDEX(CuttingList!$B$3:$B$202,$B318))</f>
        <v/>
      </c>
      <c r="E318" s="4" t="str">
        <f>IF($B318="","",INDEX(CuttingList!$C$3:$C$202,$B318))</f>
        <v/>
      </c>
      <c r="F318" s="3" t="str">
        <f>IF($B318="","",INDEX(CuttingList!$E$3:$E$202,$B318))</f>
        <v/>
      </c>
      <c r="G318" s="4" t="str">
        <f t="shared" si="12"/>
        <v/>
      </c>
      <c r="H318" s="4" t="str">
        <f t="shared" si="13"/>
        <v/>
      </c>
      <c r="I318" s="4" t="str">
        <f t="shared" si="14"/>
        <v/>
      </c>
    </row>
    <row r="319" spans="1:9" x14ac:dyDescent="0.2">
      <c r="A319" s="4">
        <v>317</v>
      </c>
      <c r="B319" s="4" t="str">
        <f>IF($A319&gt;MAX(CuttingList!$I$3:$I$202),"",MATCH($A319,CuttingList!$H$3:$H$202,1))</f>
        <v/>
      </c>
      <c r="C319" s="3" t="str">
        <f>IF($B319="","",INDEX(CuttingList!$A$3:$A$202,$B319))</f>
        <v/>
      </c>
      <c r="D319" s="4" t="str">
        <f>IF($B319="","",INDEX(CuttingList!$B$3:$B$202,$B319))</f>
        <v/>
      </c>
      <c r="E319" s="4" t="str">
        <f>IF($B319="","",INDEX(CuttingList!$C$3:$C$202,$B319))</f>
        <v/>
      </c>
      <c r="F319" s="3" t="str">
        <f>IF($B319="","",INDEX(CuttingList!$E$3:$E$202,$B319))</f>
        <v/>
      </c>
      <c r="G319" s="4" t="str">
        <f t="shared" si="12"/>
        <v/>
      </c>
      <c r="H319" s="4" t="str">
        <f t="shared" si="13"/>
        <v/>
      </c>
      <c r="I319" s="4" t="str">
        <f t="shared" si="14"/>
        <v/>
      </c>
    </row>
    <row r="320" spans="1:9" x14ac:dyDescent="0.2">
      <c r="A320" s="4">
        <v>318</v>
      </c>
      <c r="B320" s="4" t="str">
        <f>IF($A320&gt;MAX(CuttingList!$I$3:$I$202),"",MATCH($A320,CuttingList!$H$3:$H$202,1))</f>
        <v/>
      </c>
      <c r="C320" s="3" t="str">
        <f>IF($B320="","",INDEX(CuttingList!$A$3:$A$202,$B320))</f>
        <v/>
      </c>
      <c r="D320" s="4" t="str">
        <f>IF($B320="","",INDEX(CuttingList!$B$3:$B$202,$B320))</f>
        <v/>
      </c>
      <c r="E320" s="4" t="str">
        <f>IF($B320="","",INDEX(CuttingList!$C$3:$C$202,$B320))</f>
        <v/>
      </c>
      <c r="F320" s="3" t="str">
        <f>IF($B320="","",INDEX(CuttingList!$E$3:$E$202,$B320))</f>
        <v/>
      </c>
      <c r="G320" s="4" t="str">
        <f t="shared" si="12"/>
        <v/>
      </c>
      <c r="H320" s="4" t="str">
        <f t="shared" si="13"/>
        <v/>
      </c>
      <c r="I320" s="4" t="str">
        <f t="shared" si="14"/>
        <v/>
      </c>
    </row>
    <row r="321" spans="1:9" x14ac:dyDescent="0.2">
      <c r="A321" s="4">
        <v>319</v>
      </c>
      <c r="B321" s="4" t="str">
        <f>IF($A321&gt;MAX(CuttingList!$I$3:$I$202),"",MATCH($A321,CuttingList!$H$3:$H$202,1))</f>
        <v/>
      </c>
      <c r="C321" s="3" t="str">
        <f>IF($B321="","",INDEX(CuttingList!$A$3:$A$202,$B321))</f>
        <v/>
      </c>
      <c r="D321" s="4" t="str">
        <f>IF($B321="","",INDEX(CuttingList!$B$3:$B$202,$B321))</f>
        <v/>
      </c>
      <c r="E321" s="4" t="str">
        <f>IF($B321="","",INDEX(CuttingList!$C$3:$C$202,$B321))</f>
        <v/>
      </c>
      <c r="F321" s="3" t="str">
        <f>IF($B321="","",INDEX(CuttingList!$E$3:$E$202,$B321))</f>
        <v/>
      </c>
      <c r="G321" s="4" t="str">
        <f t="shared" si="12"/>
        <v/>
      </c>
      <c r="H321" s="4" t="str">
        <f t="shared" si="13"/>
        <v/>
      </c>
      <c r="I321" s="4" t="str">
        <f t="shared" si="14"/>
        <v/>
      </c>
    </row>
    <row r="322" spans="1:9" x14ac:dyDescent="0.2">
      <c r="A322" s="4">
        <v>320</v>
      </c>
      <c r="B322" s="4" t="str">
        <f>IF($A322&gt;MAX(CuttingList!$I$3:$I$202),"",MATCH($A322,CuttingList!$H$3:$H$202,1))</f>
        <v/>
      </c>
      <c r="C322" s="3" t="str">
        <f>IF($B322="","",INDEX(CuttingList!$A$3:$A$202,$B322))</f>
        <v/>
      </c>
      <c r="D322" s="4" t="str">
        <f>IF($B322="","",INDEX(CuttingList!$B$3:$B$202,$B322))</f>
        <v/>
      </c>
      <c r="E322" s="4" t="str">
        <f>IF($B322="","",INDEX(CuttingList!$C$3:$C$202,$B322))</f>
        <v/>
      </c>
      <c r="F322" s="3" t="str">
        <f>IF($B322="","",INDEX(CuttingList!$E$3:$E$202,$B322))</f>
        <v/>
      </c>
      <c r="G322" s="4" t="str">
        <f t="shared" si="12"/>
        <v/>
      </c>
      <c r="H322" s="4" t="str">
        <f t="shared" si="13"/>
        <v/>
      </c>
      <c r="I322" s="4" t="str">
        <f t="shared" si="14"/>
        <v/>
      </c>
    </row>
    <row r="323" spans="1:9" x14ac:dyDescent="0.2">
      <c r="A323" s="4">
        <v>321</v>
      </c>
      <c r="B323" s="4" t="str">
        <f>IF($A323&gt;MAX(CuttingList!$I$3:$I$202),"",MATCH($A323,CuttingList!$H$3:$H$202,1))</f>
        <v/>
      </c>
      <c r="C323" s="3" t="str">
        <f>IF($B323="","",INDEX(CuttingList!$A$3:$A$202,$B323))</f>
        <v/>
      </c>
      <c r="D323" s="4" t="str">
        <f>IF($B323="","",INDEX(CuttingList!$B$3:$B$202,$B323))</f>
        <v/>
      </c>
      <c r="E323" s="4" t="str">
        <f>IF($B323="","",INDEX(CuttingList!$C$3:$C$202,$B323))</f>
        <v/>
      </c>
      <c r="F323" s="3" t="str">
        <f>IF($B323="","",INDEX(CuttingList!$E$3:$E$202,$B323))</f>
        <v/>
      </c>
      <c r="G323" s="4" t="str">
        <f t="shared" ref="G323:G386" si="15">IF(OR($D323="",$E323=""),"",($D323*$E323)/1000000)</f>
        <v/>
      </c>
      <c r="H323" s="4" t="str">
        <f t="shared" ref="H323:H386" si="16">IF(OR($D323="",$E323=""),"",MAX($D323,$E323))</f>
        <v/>
      </c>
      <c r="I323" s="4" t="str">
        <f t="shared" ref="I323:I386" si="17">IF($E323="","",$E323)</f>
        <v/>
      </c>
    </row>
    <row r="324" spans="1:9" x14ac:dyDescent="0.2">
      <c r="A324" s="4">
        <v>322</v>
      </c>
      <c r="B324" s="4" t="str">
        <f>IF($A324&gt;MAX(CuttingList!$I$3:$I$202),"",MATCH($A324,CuttingList!$H$3:$H$202,1))</f>
        <v/>
      </c>
      <c r="C324" s="3" t="str">
        <f>IF($B324="","",INDEX(CuttingList!$A$3:$A$202,$B324))</f>
        <v/>
      </c>
      <c r="D324" s="4" t="str">
        <f>IF($B324="","",INDEX(CuttingList!$B$3:$B$202,$B324))</f>
        <v/>
      </c>
      <c r="E324" s="4" t="str">
        <f>IF($B324="","",INDEX(CuttingList!$C$3:$C$202,$B324))</f>
        <v/>
      </c>
      <c r="F324" s="3" t="str">
        <f>IF($B324="","",INDEX(CuttingList!$E$3:$E$202,$B324))</f>
        <v/>
      </c>
      <c r="G324" s="4" t="str">
        <f t="shared" si="15"/>
        <v/>
      </c>
      <c r="H324" s="4" t="str">
        <f t="shared" si="16"/>
        <v/>
      </c>
      <c r="I324" s="4" t="str">
        <f t="shared" si="17"/>
        <v/>
      </c>
    </row>
    <row r="325" spans="1:9" x14ac:dyDescent="0.2">
      <c r="A325" s="4">
        <v>323</v>
      </c>
      <c r="B325" s="4" t="str">
        <f>IF($A325&gt;MAX(CuttingList!$I$3:$I$202),"",MATCH($A325,CuttingList!$H$3:$H$202,1))</f>
        <v/>
      </c>
      <c r="C325" s="3" t="str">
        <f>IF($B325="","",INDEX(CuttingList!$A$3:$A$202,$B325))</f>
        <v/>
      </c>
      <c r="D325" s="4" t="str">
        <f>IF($B325="","",INDEX(CuttingList!$B$3:$B$202,$B325))</f>
        <v/>
      </c>
      <c r="E325" s="4" t="str">
        <f>IF($B325="","",INDEX(CuttingList!$C$3:$C$202,$B325))</f>
        <v/>
      </c>
      <c r="F325" s="3" t="str">
        <f>IF($B325="","",INDEX(CuttingList!$E$3:$E$202,$B325))</f>
        <v/>
      </c>
      <c r="G325" s="4" t="str">
        <f t="shared" si="15"/>
        <v/>
      </c>
      <c r="H325" s="4" t="str">
        <f t="shared" si="16"/>
        <v/>
      </c>
      <c r="I325" s="4" t="str">
        <f t="shared" si="17"/>
        <v/>
      </c>
    </row>
    <row r="326" spans="1:9" x14ac:dyDescent="0.2">
      <c r="A326" s="4">
        <v>324</v>
      </c>
      <c r="B326" s="4" t="str">
        <f>IF($A326&gt;MAX(CuttingList!$I$3:$I$202),"",MATCH($A326,CuttingList!$H$3:$H$202,1))</f>
        <v/>
      </c>
      <c r="C326" s="3" t="str">
        <f>IF($B326="","",INDEX(CuttingList!$A$3:$A$202,$B326))</f>
        <v/>
      </c>
      <c r="D326" s="4" t="str">
        <f>IF($B326="","",INDEX(CuttingList!$B$3:$B$202,$B326))</f>
        <v/>
      </c>
      <c r="E326" s="4" t="str">
        <f>IF($B326="","",INDEX(CuttingList!$C$3:$C$202,$B326))</f>
        <v/>
      </c>
      <c r="F326" s="3" t="str">
        <f>IF($B326="","",INDEX(CuttingList!$E$3:$E$202,$B326))</f>
        <v/>
      </c>
      <c r="G326" s="4" t="str">
        <f t="shared" si="15"/>
        <v/>
      </c>
      <c r="H326" s="4" t="str">
        <f t="shared" si="16"/>
        <v/>
      </c>
      <c r="I326" s="4" t="str">
        <f t="shared" si="17"/>
        <v/>
      </c>
    </row>
    <row r="327" spans="1:9" x14ac:dyDescent="0.2">
      <c r="A327" s="4">
        <v>325</v>
      </c>
      <c r="B327" s="4" t="str">
        <f>IF($A327&gt;MAX(CuttingList!$I$3:$I$202),"",MATCH($A327,CuttingList!$H$3:$H$202,1))</f>
        <v/>
      </c>
      <c r="C327" s="3" t="str">
        <f>IF($B327="","",INDEX(CuttingList!$A$3:$A$202,$B327))</f>
        <v/>
      </c>
      <c r="D327" s="4" t="str">
        <f>IF($B327="","",INDEX(CuttingList!$B$3:$B$202,$B327))</f>
        <v/>
      </c>
      <c r="E327" s="4" t="str">
        <f>IF($B327="","",INDEX(CuttingList!$C$3:$C$202,$B327))</f>
        <v/>
      </c>
      <c r="F327" s="3" t="str">
        <f>IF($B327="","",INDEX(CuttingList!$E$3:$E$202,$B327))</f>
        <v/>
      </c>
      <c r="G327" s="4" t="str">
        <f t="shared" si="15"/>
        <v/>
      </c>
      <c r="H327" s="4" t="str">
        <f t="shared" si="16"/>
        <v/>
      </c>
      <c r="I327" s="4" t="str">
        <f t="shared" si="17"/>
        <v/>
      </c>
    </row>
    <row r="328" spans="1:9" x14ac:dyDescent="0.2">
      <c r="A328" s="4">
        <v>326</v>
      </c>
      <c r="B328" s="4" t="str">
        <f>IF($A328&gt;MAX(CuttingList!$I$3:$I$202),"",MATCH($A328,CuttingList!$H$3:$H$202,1))</f>
        <v/>
      </c>
      <c r="C328" s="3" t="str">
        <f>IF($B328="","",INDEX(CuttingList!$A$3:$A$202,$B328))</f>
        <v/>
      </c>
      <c r="D328" s="4" t="str">
        <f>IF($B328="","",INDEX(CuttingList!$B$3:$B$202,$B328))</f>
        <v/>
      </c>
      <c r="E328" s="4" t="str">
        <f>IF($B328="","",INDEX(CuttingList!$C$3:$C$202,$B328))</f>
        <v/>
      </c>
      <c r="F328" s="3" t="str">
        <f>IF($B328="","",INDEX(CuttingList!$E$3:$E$202,$B328))</f>
        <v/>
      </c>
      <c r="G328" s="4" t="str">
        <f t="shared" si="15"/>
        <v/>
      </c>
      <c r="H328" s="4" t="str">
        <f t="shared" si="16"/>
        <v/>
      </c>
      <c r="I328" s="4" t="str">
        <f t="shared" si="17"/>
        <v/>
      </c>
    </row>
    <row r="329" spans="1:9" x14ac:dyDescent="0.2">
      <c r="A329" s="4">
        <v>327</v>
      </c>
      <c r="B329" s="4" t="str">
        <f>IF($A329&gt;MAX(CuttingList!$I$3:$I$202),"",MATCH($A329,CuttingList!$H$3:$H$202,1))</f>
        <v/>
      </c>
      <c r="C329" s="3" t="str">
        <f>IF($B329="","",INDEX(CuttingList!$A$3:$A$202,$B329))</f>
        <v/>
      </c>
      <c r="D329" s="4" t="str">
        <f>IF($B329="","",INDEX(CuttingList!$B$3:$B$202,$B329))</f>
        <v/>
      </c>
      <c r="E329" s="4" t="str">
        <f>IF($B329="","",INDEX(CuttingList!$C$3:$C$202,$B329))</f>
        <v/>
      </c>
      <c r="F329" s="3" t="str">
        <f>IF($B329="","",INDEX(CuttingList!$E$3:$E$202,$B329))</f>
        <v/>
      </c>
      <c r="G329" s="4" t="str">
        <f t="shared" si="15"/>
        <v/>
      </c>
      <c r="H329" s="4" t="str">
        <f t="shared" si="16"/>
        <v/>
      </c>
      <c r="I329" s="4" t="str">
        <f t="shared" si="17"/>
        <v/>
      </c>
    </row>
    <row r="330" spans="1:9" x14ac:dyDescent="0.2">
      <c r="A330" s="4">
        <v>328</v>
      </c>
      <c r="B330" s="4" t="str">
        <f>IF($A330&gt;MAX(CuttingList!$I$3:$I$202),"",MATCH($A330,CuttingList!$H$3:$H$202,1))</f>
        <v/>
      </c>
      <c r="C330" s="3" t="str">
        <f>IF($B330="","",INDEX(CuttingList!$A$3:$A$202,$B330))</f>
        <v/>
      </c>
      <c r="D330" s="4" t="str">
        <f>IF($B330="","",INDEX(CuttingList!$B$3:$B$202,$B330))</f>
        <v/>
      </c>
      <c r="E330" s="4" t="str">
        <f>IF($B330="","",INDEX(CuttingList!$C$3:$C$202,$B330))</f>
        <v/>
      </c>
      <c r="F330" s="3" t="str">
        <f>IF($B330="","",INDEX(CuttingList!$E$3:$E$202,$B330))</f>
        <v/>
      </c>
      <c r="G330" s="4" t="str">
        <f t="shared" si="15"/>
        <v/>
      </c>
      <c r="H330" s="4" t="str">
        <f t="shared" si="16"/>
        <v/>
      </c>
      <c r="I330" s="4" t="str">
        <f t="shared" si="17"/>
        <v/>
      </c>
    </row>
    <row r="331" spans="1:9" x14ac:dyDescent="0.2">
      <c r="A331" s="4">
        <v>329</v>
      </c>
      <c r="B331" s="4" t="str">
        <f>IF($A331&gt;MAX(CuttingList!$I$3:$I$202),"",MATCH($A331,CuttingList!$H$3:$H$202,1))</f>
        <v/>
      </c>
      <c r="C331" s="3" t="str">
        <f>IF($B331="","",INDEX(CuttingList!$A$3:$A$202,$B331))</f>
        <v/>
      </c>
      <c r="D331" s="4" t="str">
        <f>IF($B331="","",INDEX(CuttingList!$B$3:$B$202,$B331))</f>
        <v/>
      </c>
      <c r="E331" s="4" t="str">
        <f>IF($B331="","",INDEX(CuttingList!$C$3:$C$202,$B331))</f>
        <v/>
      </c>
      <c r="F331" s="3" t="str">
        <f>IF($B331="","",INDEX(CuttingList!$E$3:$E$202,$B331))</f>
        <v/>
      </c>
      <c r="G331" s="4" t="str">
        <f t="shared" si="15"/>
        <v/>
      </c>
      <c r="H331" s="4" t="str">
        <f t="shared" si="16"/>
        <v/>
      </c>
      <c r="I331" s="4" t="str">
        <f t="shared" si="17"/>
        <v/>
      </c>
    </row>
    <row r="332" spans="1:9" x14ac:dyDescent="0.2">
      <c r="A332" s="4">
        <v>330</v>
      </c>
      <c r="B332" s="4" t="str">
        <f>IF($A332&gt;MAX(CuttingList!$I$3:$I$202),"",MATCH($A332,CuttingList!$H$3:$H$202,1))</f>
        <v/>
      </c>
      <c r="C332" s="3" t="str">
        <f>IF($B332="","",INDEX(CuttingList!$A$3:$A$202,$B332))</f>
        <v/>
      </c>
      <c r="D332" s="4" t="str">
        <f>IF($B332="","",INDEX(CuttingList!$B$3:$B$202,$B332))</f>
        <v/>
      </c>
      <c r="E332" s="4" t="str">
        <f>IF($B332="","",INDEX(CuttingList!$C$3:$C$202,$B332))</f>
        <v/>
      </c>
      <c r="F332" s="3" t="str">
        <f>IF($B332="","",INDEX(CuttingList!$E$3:$E$202,$B332))</f>
        <v/>
      </c>
      <c r="G332" s="4" t="str">
        <f t="shared" si="15"/>
        <v/>
      </c>
      <c r="H332" s="4" t="str">
        <f t="shared" si="16"/>
        <v/>
      </c>
      <c r="I332" s="4" t="str">
        <f t="shared" si="17"/>
        <v/>
      </c>
    </row>
    <row r="333" spans="1:9" x14ac:dyDescent="0.2">
      <c r="A333" s="4">
        <v>331</v>
      </c>
      <c r="B333" s="4" t="str">
        <f>IF($A333&gt;MAX(CuttingList!$I$3:$I$202),"",MATCH($A333,CuttingList!$H$3:$H$202,1))</f>
        <v/>
      </c>
      <c r="C333" s="3" t="str">
        <f>IF($B333="","",INDEX(CuttingList!$A$3:$A$202,$B333))</f>
        <v/>
      </c>
      <c r="D333" s="4" t="str">
        <f>IF($B333="","",INDEX(CuttingList!$B$3:$B$202,$B333))</f>
        <v/>
      </c>
      <c r="E333" s="4" t="str">
        <f>IF($B333="","",INDEX(CuttingList!$C$3:$C$202,$B333))</f>
        <v/>
      </c>
      <c r="F333" s="3" t="str">
        <f>IF($B333="","",INDEX(CuttingList!$E$3:$E$202,$B333))</f>
        <v/>
      </c>
      <c r="G333" s="4" t="str">
        <f t="shared" si="15"/>
        <v/>
      </c>
      <c r="H333" s="4" t="str">
        <f t="shared" si="16"/>
        <v/>
      </c>
      <c r="I333" s="4" t="str">
        <f t="shared" si="17"/>
        <v/>
      </c>
    </row>
    <row r="334" spans="1:9" x14ac:dyDescent="0.2">
      <c r="A334" s="4">
        <v>332</v>
      </c>
      <c r="B334" s="4" t="str">
        <f>IF($A334&gt;MAX(CuttingList!$I$3:$I$202),"",MATCH($A334,CuttingList!$H$3:$H$202,1))</f>
        <v/>
      </c>
      <c r="C334" s="3" t="str">
        <f>IF($B334="","",INDEX(CuttingList!$A$3:$A$202,$B334))</f>
        <v/>
      </c>
      <c r="D334" s="4" t="str">
        <f>IF($B334="","",INDEX(CuttingList!$B$3:$B$202,$B334))</f>
        <v/>
      </c>
      <c r="E334" s="4" t="str">
        <f>IF($B334="","",INDEX(CuttingList!$C$3:$C$202,$B334))</f>
        <v/>
      </c>
      <c r="F334" s="3" t="str">
        <f>IF($B334="","",INDEX(CuttingList!$E$3:$E$202,$B334))</f>
        <v/>
      </c>
      <c r="G334" s="4" t="str">
        <f t="shared" si="15"/>
        <v/>
      </c>
      <c r="H334" s="4" t="str">
        <f t="shared" si="16"/>
        <v/>
      </c>
      <c r="I334" s="4" t="str">
        <f t="shared" si="17"/>
        <v/>
      </c>
    </row>
    <row r="335" spans="1:9" x14ac:dyDescent="0.2">
      <c r="A335" s="4">
        <v>333</v>
      </c>
      <c r="B335" s="4" t="str">
        <f>IF($A335&gt;MAX(CuttingList!$I$3:$I$202),"",MATCH($A335,CuttingList!$H$3:$H$202,1))</f>
        <v/>
      </c>
      <c r="C335" s="3" t="str">
        <f>IF($B335="","",INDEX(CuttingList!$A$3:$A$202,$B335))</f>
        <v/>
      </c>
      <c r="D335" s="4" t="str">
        <f>IF($B335="","",INDEX(CuttingList!$B$3:$B$202,$B335))</f>
        <v/>
      </c>
      <c r="E335" s="4" t="str">
        <f>IF($B335="","",INDEX(CuttingList!$C$3:$C$202,$B335))</f>
        <v/>
      </c>
      <c r="F335" s="3" t="str">
        <f>IF($B335="","",INDEX(CuttingList!$E$3:$E$202,$B335))</f>
        <v/>
      </c>
      <c r="G335" s="4" t="str">
        <f t="shared" si="15"/>
        <v/>
      </c>
      <c r="H335" s="4" t="str">
        <f t="shared" si="16"/>
        <v/>
      </c>
      <c r="I335" s="4" t="str">
        <f t="shared" si="17"/>
        <v/>
      </c>
    </row>
    <row r="336" spans="1:9" x14ac:dyDescent="0.2">
      <c r="A336" s="4">
        <v>334</v>
      </c>
      <c r="B336" s="4" t="str">
        <f>IF($A336&gt;MAX(CuttingList!$I$3:$I$202),"",MATCH($A336,CuttingList!$H$3:$H$202,1))</f>
        <v/>
      </c>
      <c r="C336" s="3" t="str">
        <f>IF($B336="","",INDEX(CuttingList!$A$3:$A$202,$B336))</f>
        <v/>
      </c>
      <c r="D336" s="4" t="str">
        <f>IF($B336="","",INDEX(CuttingList!$B$3:$B$202,$B336))</f>
        <v/>
      </c>
      <c r="E336" s="4" t="str">
        <f>IF($B336="","",INDEX(CuttingList!$C$3:$C$202,$B336))</f>
        <v/>
      </c>
      <c r="F336" s="3" t="str">
        <f>IF($B336="","",INDEX(CuttingList!$E$3:$E$202,$B336))</f>
        <v/>
      </c>
      <c r="G336" s="4" t="str">
        <f t="shared" si="15"/>
        <v/>
      </c>
      <c r="H336" s="4" t="str">
        <f t="shared" si="16"/>
        <v/>
      </c>
      <c r="I336" s="4" t="str">
        <f t="shared" si="17"/>
        <v/>
      </c>
    </row>
    <row r="337" spans="1:9" x14ac:dyDescent="0.2">
      <c r="A337" s="4">
        <v>335</v>
      </c>
      <c r="B337" s="4" t="str">
        <f>IF($A337&gt;MAX(CuttingList!$I$3:$I$202),"",MATCH($A337,CuttingList!$H$3:$H$202,1))</f>
        <v/>
      </c>
      <c r="C337" s="3" t="str">
        <f>IF($B337="","",INDEX(CuttingList!$A$3:$A$202,$B337))</f>
        <v/>
      </c>
      <c r="D337" s="4" t="str">
        <f>IF($B337="","",INDEX(CuttingList!$B$3:$B$202,$B337))</f>
        <v/>
      </c>
      <c r="E337" s="4" t="str">
        <f>IF($B337="","",INDEX(CuttingList!$C$3:$C$202,$B337))</f>
        <v/>
      </c>
      <c r="F337" s="3" t="str">
        <f>IF($B337="","",INDEX(CuttingList!$E$3:$E$202,$B337))</f>
        <v/>
      </c>
      <c r="G337" s="4" t="str">
        <f t="shared" si="15"/>
        <v/>
      </c>
      <c r="H337" s="4" t="str">
        <f t="shared" si="16"/>
        <v/>
      </c>
      <c r="I337" s="4" t="str">
        <f t="shared" si="17"/>
        <v/>
      </c>
    </row>
    <row r="338" spans="1:9" x14ac:dyDescent="0.2">
      <c r="A338" s="4">
        <v>336</v>
      </c>
      <c r="B338" s="4" t="str">
        <f>IF($A338&gt;MAX(CuttingList!$I$3:$I$202),"",MATCH($A338,CuttingList!$H$3:$H$202,1))</f>
        <v/>
      </c>
      <c r="C338" s="3" t="str">
        <f>IF($B338="","",INDEX(CuttingList!$A$3:$A$202,$B338))</f>
        <v/>
      </c>
      <c r="D338" s="4" t="str">
        <f>IF($B338="","",INDEX(CuttingList!$B$3:$B$202,$B338))</f>
        <v/>
      </c>
      <c r="E338" s="4" t="str">
        <f>IF($B338="","",INDEX(CuttingList!$C$3:$C$202,$B338))</f>
        <v/>
      </c>
      <c r="F338" s="3" t="str">
        <f>IF($B338="","",INDEX(CuttingList!$E$3:$E$202,$B338))</f>
        <v/>
      </c>
      <c r="G338" s="4" t="str">
        <f t="shared" si="15"/>
        <v/>
      </c>
      <c r="H338" s="4" t="str">
        <f t="shared" si="16"/>
        <v/>
      </c>
      <c r="I338" s="4" t="str">
        <f t="shared" si="17"/>
        <v/>
      </c>
    </row>
    <row r="339" spans="1:9" x14ac:dyDescent="0.2">
      <c r="A339" s="4">
        <v>337</v>
      </c>
      <c r="B339" s="4" t="str">
        <f>IF($A339&gt;MAX(CuttingList!$I$3:$I$202),"",MATCH($A339,CuttingList!$H$3:$H$202,1))</f>
        <v/>
      </c>
      <c r="C339" s="3" t="str">
        <f>IF($B339="","",INDEX(CuttingList!$A$3:$A$202,$B339))</f>
        <v/>
      </c>
      <c r="D339" s="4" t="str">
        <f>IF($B339="","",INDEX(CuttingList!$B$3:$B$202,$B339))</f>
        <v/>
      </c>
      <c r="E339" s="4" t="str">
        <f>IF($B339="","",INDEX(CuttingList!$C$3:$C$202,$B339))</f>
        <v/>
      </c>
      <c r="F339" s="3" t="str">
        <f>IF($B339="","",INDEX(CuttingList!$E$3:$E$202,$B339))</f>
        <v/>
      </c>
      <c r="G339" s="4" t="str">
        <f t="shared" si="15"/>
        <v/>
      </c>
      <c r="H339" s="4" t="str">
        <f t="shared" si="16"/>
        <v/>
      </c>
      <c r="I339" s="4" t="str">
        <f t="shared" si="17"/>
        <v/>
      </c>
    </row>
    <row r="340" spans="1:9" x14ac:dyDescent="0.2">
      <c r="A340" s="4">
        <v>338</v>
      </c>
      <c r="B340" s="4" t="str">
        <f>IF($A340&gt;MAX(CuttingList!$I$3:$I$202),"",MATCH($A340,CuttingList!$H$3:$H$202,1))</f>
        <v/>
      </c>
      <c r="C340" s="3" t="str">
        <f>IF($B340="","",INDEX(CuttingList!$A$3:$A$202,$B340))</f>
        <v/>
      </c>
      <c r="D340" s="4" t="str">
        <f>IF($B340="","",INDEX(CuttingList!$B$3:$B$202,$B340))</f>
        <v/>
      </c>
      <c r="E340" s="4" t="str">
        <f>IF($B340="","",INDEX(CuttingList!$C$3:$C$202,$B340))</f>
        <v/>
      </c>
      <c r="F340" s="3" t="str">
        <f>IF($B340="","",INDEX(CuttingList!$E$3:$E$202,$B340))</f>
        <v/>
      </c>
      <c r="G340" s="4" t="str">
        <f t="shared" si="15"/>
        <v/>
      </c>
      <c r="H340" s="4" t="str">
        <f t="shared" si="16"/>
        <v/>
      </c>
      <c r="I340" s="4" t="str">
        <f t="shared" si="17"/>
        <v/>
      </c>
    </row>
    <row r="341" spans="1:9" x14ac:dyDescent="0.2">
      <c r="A341" s="4">
        <v>339</v>
      </c>
      <c r="B341" s="4" t="str">
        <f>IF($A341&gt;MAX(CuttingList!$I$3:$I$202),"",MATCH($A341,CuttingList!$H$3:$H$202,1))</f>
        <v/>
      </c>
      <c r="C341" s="3" t="str">
        <f>IF($B341="","",INDEX(CuttingList!$A$3:$A$202,$B341))</f>
        <v/>
      </c>
      <c r="D341" s="4" t="str">
        <f>IF($B341="","",INDEX(CuttingList!$B$3:$B$202,$B341))</f>
        <v/>
      </c>
      <c r="E341" s="4" t="str">
        <f>IF($B341="","",INDEX(CuttingList!$C$3:$C$202,$B341))</f>
        <v/>
      </c>
      <c r="F341" s="3" t="str">
        <f>IF($B341="","",INDEX(CuttingList!$E$3:$E$202,$B341))</f>
        <v/>
      </c>
      <c r="G341" s="4" t="str">
        <f t="shared" si="15"/>
        <v/>
      </c>
      <c r="H341" s="4" t="str">
        <f t="shared" si="16"/>
        <v/>
      </c>
      <c r="I341" s="4" t="str">
        <f t="shared" si="17"/>
        <v/>
      </c>
    </row>
    <row r="342" spans="1:9" x14ac:dyDescent="0.2">
      <c r="A342" s="4">
        <v>340</v>
      </c>
      <c r="B342" s="4" t="str">
        <f>IF($A342&gt;MAX(CuttingList!$I$3:$I$202),"",MATCH($A342,CuttingList!$H$3:$H$202,1))</f>
        <v/>
      </c>
      <c r="C342" s="3" t="str">
        <f>IF($B342="","",INDEX(CuttingList!$A$3:$A$202,$B342))</f>
        <v/>
      </c>
      <c r="D342" s="4" t="str">
        <f>IF($B342="","",INDEX(CuttingList!$B$3:$B$202,$B342))</f>
        <v/>
      </c>
      <c r="E342" s="4" t="str">
        <f>IF($B342="","",INDEX(CuttingList!$C$3:$C$202,$B342))</f>
        <v/>
      </c>
      <c r="F342" s="3" t="str">
        <f>IF($B342="","",INDEX(CuttingList!$E$3:$E$202,$B342))</f>
        <v/>
      </c>
      <c r="G342" s="4" t="str">
        <f t="shared" si="15"/>
        <v/>
      </c>
      <c r="H342" s="4" t="str">
        <f t="shared" si="16"/>
        <v/>
      </c>
      <c r="I342" s="4" t="str">
        <f t="shared" si="17"/>
        <v/>
      </c>
    </row>
    <row r="343" spans="1:9" x14ac:dyDescent="0.2">
      <c r="A343" s="4">
        <v>341</v>
      </c>
      <c r="B343" s="4" t="str">
        <f>IF($A343&gt;MAX(CuttingList!$I$3:$I$202),"",MATCH($A343,CuttingList!$H$3:$H$202,1))</f>
        <v/>
      </c>
      <c r="C343" s="3" t="str">
        <f>IF($B343="","",INDEX(CuttingList!$A$3:$A$202,$B343))</f>
        <v/>
      </c>
      <c r="D343" s="4" t="str">
        <f>IF($B343="","",INDEX(CuttingList!$B$3:$B$202,$B343))</f>
        <v/>
      </c>
      <c r="E343" s="4" t="str">
        <f>IF($B343="","",INDEX(CuttingList!$C$3:$C$202,$B343))</f>
        <v/>
      </c>
      <c r="F343" s="3" t="str">
        <f>IF($B343="","",INDEX(CuttingList!$E$3:$E$202,$B343))</f>
        <v/>
      </c>
      <c r="G343" s="4" t="str">
        <f t="shared" si="15"/>
        <v/>
      </c>
      <c r="H343" s="4" t="str">
        <f t="shared" si="16"/>
        <v/>
      </c>
      <c r="I343" s="4" t="str">
        <f t="shared" si="17"/>
        <v/>
      </c>
    </row>
    <row r="344" spans="1:9" x14ac:dyDescent="0.2">
      <c r="A344" s="4">
        <v>342</v>
      </c>
      <c r="B344" s="4" t="str">
        <f>IF($A344&gt;MAX(CuttingList!$I$3:$I$202),"",MATCH($A344,CuttingList!$H$3:$H$202,1))</f>
        <v/>
      </c>
      <c r="C344" s="3" t="str">
        <f>IF($B344="","",INDEX(CuttingList!$A$3:$A$202,$B344))</f>
        <v/>
      </c>
      <c r="D344" s="4" t="str">
        <f>IF($B344="","",INDEX(CuttingList!$B$3:$B$202,$B344))</f>
        <v/>
      </c>
      <c r="E344" s="4" t="str">
        <f>IF($B344="","",INDEX(CuttingList!$C$3:$C$202,$B344))</f>
        <v/>
      </c>
      <c r="F344" s="3" t="str">
        <f>IF($B344="","",INDEX(CuttingList!$E$3:$E$202,$B344))</f>
        <v/>
      </c>
      <c r="G344" s="4" t="str">
        <f t="shared" si="15"/>
        <v/>
      </c>
      <c r="H344" s="4" t="str">
        <f t="shared" si="16"/>
        <v/>
      </c>
      <c r="I344" s="4" t="str">
        <f t="shared" si="17"/>
        <v/>
      </c>
    </row>
    <row r="345" spans="1:9" x14ac:dyDescent="0.2">
      <c r="A345" s="4">
        <v>343</v>
      </c>
      <c r="B345" s="4" t="str">
        <f>IF($A345&gt;MAX(CuttingList!$I$3:$I$202),"",MATCH($A345,CuttingList!$H$3:$H$202,1))</f>
        <v/>
      </c>
      <c r="C345" s="3" t="str">
        <f>IF($B345="","",INDEX(CuttingList!$A$3:$A$202,$B345))</f>
        <v/>
      </c>
      <c r="D345" s="4" t="str">
        <f>IF($B345="","",INDEX(CuttingList!$B$3:$B$202,$B345))</f>
        <v/>
      </c>
      <c r="E345" s="4" t="str">
        <f>IF($B345="","",INDEX(CuttingList!$C$3:$C$202,$B345))</f>
        <v/>
      </c>
      <c r="F345" s="3" t="str">
        <f>IF($B345="","",INDEX(CuttingList!$E$3:$E$202,$B345))</f>
        <v/>
      </c>
      <c r="G345" s="4" t="str">
        <f t="shared" si="15"/>
        <v/>
      </c>
      <c r="H345" s="4" t="str">
        <f t="shared" si="16"/>
        <v/>
      </c>
      <c r="I345" s="4" t="str">
        <f t="shared" si="17"/>
        <v/>
      </c>
    </row>
    <row r="346" spans="1:9" x14ac:dyDescent="0.2">
      <c r="A346" s="4">
        <v>344</v>
      </c>
      <c r="B346" s="4" t="str">
        <f>IF($A346&gt;MAX(CuttingList!$I$3:$I$202),"",MATCH($A346,CuttingList!$H$3:$H$202,1))</f>
        <v/>
      </c>
      <c r="C346" s="3" t="str">
        <f>IF($B346="","",INDEX(CuttingList!$A$3:$A$202,$B346))</f>
        <v/>
      </c>
      <c r="D346" s="4" t="str">
        <f>IF($B346="","",INDEX(CuttingList!$B$3:$B$202,$B346))</f>
        <v/>
      </c>
      <c r="E346" s="4" t="str">
        <f>IF($B346="","",INDEX(CuttingList!$C$3:$C$202,$B346))</f>
        <v/>
      </c>
      <c r="F346" s="3" t="str">
        <f>IF($B346="","",INDEX(CuttingList!$E$3:$E$202,$B346))</f>
        <v/>
      </c>
      <c r="G346" s="4" t="str">
        <f t="shared" si="15"/>
        <v/>
      </c>
      <c r="H346" s="4" t="str">
        <f t="shared" si="16"/>
        <v/>
      </c>
      <c r="I346" s="4" t="str">
        <f t="shared" si="17"/>
        <v/>
      </c>
    </row>
    <row r="347" spans="1:9" x14ac:dyDescent="0.2">
      <c r="A347" s="4">
        <v>345</v>
      </c>
      <c r="B347" s="4" t="str">
        <f>IF($A347&gt;MAX(CuttingList!$I$3:$I$202),"",MATCH($A347,CuttingList!$H$3:$H$202,1))</f>
        <v/>
      </c>
      <c r="C347" s="3" t="str">
        <f>IF($B347="","",INDEX(CuttingList!$A$3:$A$202,$B347))</f>
        <v/>
      </c>
      <c r="D347" s="4" t="str">
        <f>IF($B347="","",INDEX(CuttingList!$B$3:$B$202,$B347))</f>
        <v/>
      </c>
      <c r="E347" s="4" t="str">
        <f>IF($B347="","",INDEX(CuttingList!$C$3:$C$202,$B347))</f>
        <v/>
      </c>
      <c r="F347" s="3" t="str">
        <f>IF($B347="","",INDEX(CuttingList!$E$3:$E$202,$B347))</f>
        <v/>
      </c>
      <c r="G347" s="4" t="str">
        <f t="shared" si="15"/>
        <v/>
      </c>
      <c r="H347" s="4" t="str">
        <f t="shared" si="16"/>
        <v/>
      </c>
      <c r="I347" s="4" t="str">
        <f t="shared" si="17"/>
        <v/>
      </c>
    </row>
    <row r="348" spans="1:9" x14ac:dyDescent="0.2">
      <c r="A348" s="4">
        <v>346</v>
      </c>
      <c r="B348" s="4" t="str">
        <f>IF($A348&gt;MAX(CuttingList!$I$3:$I$202),"",MATCH($A348,CuttingList!$H$3:$H$202,1))</f>
        <v/>
      </c>
      <c r="C348" s="3" t="str">
        <f>IF($B348="","",INDEX(CuttingList!$A$3:$A$202,$B348))</f>
        <v/>
      </c>
      <c r="D348" s="4" t="str">
        <f>IF($B348="","",INDEX(CuttingList!$B$3:$B$202,$B348))</f>
        <v/>
      </c>
      <c r="E348" s="4" t="str">
        <f>IF($B348="","",INDEX(CuttingList!$C$3:$C$202,$B348))</f>
        <v/>
      </c>
      <c r="F348" s="3" t="str">
        <f>IF($B348="","",INDEX(CuttingList!$E$3:$E$202,$B348))</f>
        <v/>
      </c>
      <c r="G348" s="4" t="str">
        <f t="shared" si="15"/>
        <v/>
      </c>
      <c r="H348" s="4" t="str">
        <f t="shared" si="16"/>
        <v/>
      </c>
      <c r="I348" s="4" t="str">
        <f t="shared" si="17"/>
        <v/>
      </c>
    </row>
    <row r="349" spans="1:9" x14ac:dyDescent="0.2">
      <c r="A349" s="4">
        <v>347</v>
      </c>
      <c r="B349" s="4" t="str">
        <f>IF($A349&gt;MAX(CuttingList!$I$3:$I$202),"",MATCH($A349,CuttingList!$H$3:$H$202,1))</f>
        <v/>
      </c>
      <c r="C349" s="3" t="str">
        <f>IF($B349="","",INDEX(CuttingList!$A$3:$A$202,$B349))</f>
        <v/>
      </c>
      <c r="D349" s="4" t="str">
        <f>IF($B349="","",INDEX(CuttingList!$B$3:$B$202,$B349))</f>
        <v/>
      </c>
      <c r="E349" s="4" t="str">
        <f>IF($B349="","",INDEX(CuttingList!$C$3:$C$202,$B349))</f>
        <v/>
      </c>
      <c r="F349" s="3" t="str">
        <f>IF($B349="","",INDEX(CuttingList!$E$3:$E$202,$B349))</f>
        <v/>
      </c>
      <c r="G349" s="4" t="str">
        <f t="shared" si="15"/>
        <v/>
      </c>
      <c r="H349" s="4" t="str">
        <f t="shared" si="16"/>
        <v/>
      </c>
      <c r="I349" s="4" t="str">
        <f t="shared" si="17"/>
        <v/>
      </c>
    </row>
    <row r="350" spans="1:9" x14ac:dyDescent="0.2">
      <c r="A350" s="4">
        <v>348</v>
      </c>
      <c r="B350" s="4" t="str">
        <f>IF($A350&gt;MAX(CuttingList!$I$3:$I$202),"",MATCH($A350,CuttingList!$H$3:$H$202,1))</f>
        <v/>
      </c>
      <c r="C350" s="3" t="str">
        <f>IF($B350="","",INDEX(CuttingList!$A$3:$A$202,$B350))</f>
        <v/>
      </c>
      <c r="D350" s="4" t="str">
        <f>IF($B350="","",INDEX(CuttingList!$B$3:$B$202,$B350))</f>
        <v/>
      </c>
      <c r="E350" s="4" t="str">
        <f>IF($B350="","",INDEX(CuttingList!$C$3:$C$202,$B350))</f>
        <v/>
      </c>
      <c r="F350" s="3" t="str">
        <f>IF($B350="","",INDEX(CuttingList!$E$3:$E$202,$B350))</f>
        <v/>
      </c>
      <c r="G350" s="4" t="str">
        <f t="shared" si="15"/>
        <v/>
      </c>
      <c r="H350" s="4" t="str">
        <f t="shared" si="16"/>
        <v/>
      </c>
      <c r="I350" s="4" t="str">
        <f t="shared" si="17"/>
        <v/>
      </c>
    </row>
    <row r="351" spans="1:9" x14ac:dyDescent="0.2">
      <c r="A351" s="4">
        <v>349</v>
      </c>
      <c r="B351" s="4" t="str">
        <f>IF($A351&gt;MAX(CuttingList!$I$3:$I$202),"",MATCH($A351,CuttingList!$H$3:$H$202,1))</f>
        <v/>
      </c>
      <c r="C351" s="3" t="str">
        <f>IF($B351="","",INDEX(CuttingList!$A$3:$A$202,$B351))</f>
        <v/>
      </c>
      <c r="D351" s="4" t="str">
        <f>IF($B351="","",INDEX(CuttingList!$B$3:$B$202,$B351))</f>
        <v/>
      </c>
      <c r="E351" s="4" t="str">
        <f>IF($B351="","",INDEX(CuttingList!$C$3:$C$202,$B351))</f>
        <v/>
      </c>
      <c r="F351" s="3" t="str">
        <f>IF($B351="","",INDEX(CuttingList!$E$3:$E$202,$B351))</f>
        <v/>
      </c>
      <c r="G351" s="4" t="str">
        <f t="shared" si="15"/>
        <v/>
      </c>
      <c r="H351" s="4" t="str">
        <f t="shared" si="16"/>
        <v/>
      </c>
      <c r="I351" s="4" t="str">
        <f t="shared" si="17"/>
        <v/>
      </c>
    </row>
    <row r="352" spans="1:9" x14ac:dyDescent="0.2">
      <c r="A352" s="4">
        <v>350</v>
      </c>
      <c r="B352" s="4" t="str">
        <f>IF($A352&gt;MAX(CuttingList!$I$3:$I$202),"",MATCH($A352,CuttingList!$H$3:$H$202,1))</f>
        <v/>
      </c>
      <c r="C352" s="3" t="str">
        <f>IF($B352="","",INDEX(CuttingList!$A$3:$A$202,$B352))</f>
        <v/>
      </c>
      <c r="D352" s="4" t="str">
        <f>IF($B352="","",INDEX(CuttingList!$B$3:$B$202,$B352))</f>
        <v/>
      </c>
      <c r="E352" s="4" t="str">
        <f>IF($B352="","",INDEX(CuttingList!$C$3:$C$202,$B352))</f>
        <v/>
      </c>
      <c r="F352" s="3" t="str">
        <f>IF($B352="","",INDEX(CuttingList!$E$3:$E$202,$B352))</f>
        <v/>
      </c>
      <c r="G352" s="4" t="str">
        <f t="shared" si="15"/>
        <v/>
      </c>
      <c r="H352" s="4" t="str">
        <f t="shared" si="16"/>
        <v/>
      </c>
      <c r="I352" s="4" t="str">
        <f t="shared" si="17"/>
        <v/>
      </c>
    </row>
    <row r="353" spans="1:9" x14ac:dyDescent="0.2">
      <c r="A353" s="4">
        <v>351</v>
      </c>
      <c r="B353" s="4" t="str">
        <f>IF($A353&gt;MAX(CuttingList!$I$3:$I$202),"",MATCH($A353,CuttingList!$H$3:$H$202,1))</f>
        <v/>
      </c>
      <c r="C353" s="3" t="str">
        <f>IF($B353="","",INDEX(CuttingList!$A$3:$A$202,$B353))</f>
        <v/>
      </c>
      <c r="D353" s="4" t="str">
        <f>IF($B353="","",INDEX(CuttingList!$B$3:$B$202,$B353))</f>
        <v/>
      </c>
      <c r="E353" s="4" t="str">
        <f>IF($B353="","",INDEX(CuttingList!$C$3:$C$202,$B353))</f>
        <v/>
      </c>
      <c r="F353" s="3" t="str">
        <f>IF($B353="","",INDEX(CuttingList!$E$3:$E$202,$B353))</f>
        <v/>
      </c>
      <c r="G353" s="4" t="str">
        <f t="shared" si="15"/>
        <v/>
      </c>
      <c r="H353" s="4" t="str">
        <f t="shared" si="16"/>
        <v/>
      </c>
      <c r="I353" s="4" t="str">
        <f t="shared" si="17"/>
        <v/>
      </c>
    </row>
    <row r="354" spans="1:9" x14ac:dyDescent="0.2">
      <c r="A354" s="4">
        <v>352</v>
      </c>
      <c r="B354" s="4" t="str">
        <f>IF($A354&gt;MAX(CuttingList!$I$3:$I$202),"",MATCH($A354,CuttingList!$H$3:$H$202,1))</f>
        <v/>
      </c>
      <c r="C354" s="3" t="str">
        <f>IF($B354="","",INDEX(CuttingList!$A$3:$A$202,$B354))</f>
        <v/>
      </c>
      <c r="D354" s="4" t="str">
        <f>IF($B354="","",INDEX(CuttingList!$B$3:$B$202,$B354))</f>
        <v/>
      </c>
      <c r="E354" s="4" t="str">
        <f>IF($B354="","",INDEX(CuttingList!$C$3:$C$202,$B354))</f>
        <v/>
      </c>
      <c r="F354" s="3" t="str">
        <f>IF($B354="","",INDEX(CuttingList!$E$3:$E$202,$B354))</f>
        <v/>
      </c>
      <c r="G354" s="4" t="str">
        <f t="shared" si="15"/>
        <v/>
      </c>
      <c r="H354" s="4" t="str">
        <f t="shared" si="16"/>
        <v/>
      </c>
      <c r="I354" s="4" t="str">
        <f t="shared" si="17"/>
        <v/>
      </c>
    </row>
    <row r="355" spans="1:9" x14ac:dyDescent="0.2">
      <c r="A355" s="4">
        <v>353</v>
      </c>
      <c r="B355" s="4" t="str">
        <f>IF($A355&gt;MAX(CuttingList!$I$3:$I$202),"",MATCH($A355,CuttingList!$H$3:$H$202,1))</f>
        <v/>
      </c>
      <c r="C355" s="3" t="str">
        <f>IF($B355="","",INDEX(CuttingList!$A$3:$A$202,$B355))</f>
        <v/>
      </c>
      <c r="D355" s="4" t="str">
        <f>IF($B355="","",INDEX(CuttingList!$B$3:$B$202,$B355))</f>
        <v/>
      </c>
      <c r="E355" s="4" t="str">
        <f>IF($B355="","",INDEX(CuttingList!$C$3:$C$202,$B355))</f>
        <v/>
      </c>
      <c r="F355" s="3" t="str">
        <f>IF($B355="","",INDEX(CuttingList!$E$3:$E$202,$B355))</f>
        <v/>
      </c>
      <c r="G355" s="4" t="str">
        <f t="shared" si="15"/>
        <v/>
      </c>
      <c r="H355" s="4" t="str">
        <f t="shared" si="16"/>
        <v/>
      </c>
      <c r="I355" s="4" t="str">
        <f t="shared" si="17"/>
        <v/>
      </c>
    </row>
    <row r="356" spans="1:9" x14ac:dyDescent="0.2">
      <c r="A356" s="4">
        <v>354</v>
      </c>
      <c r="B356" s="4" t="str">
        <f>IF($A356&gt;MAX(CuttingList!$I$3:$I$202),"",MATCH($A356,CuttingList!$H$3:$H$202,1))</f>
        <v/>
      </c>
      <c r="C356" s="3" t="str">
        <f>IF($B356="","",INDEX(CuttingList!$A$3:$A$202,$B356))</f>
        <v/>
      </c>
      <c r="D356" s="4" t="str">
        <f>IF($B356="","",INDEX(CuttingList!$B$3:$B$202,$B356))</f>
        <v/>
      </c>
      <c r="E356" s="4" t="str">
        <f>IF($B356="","",INDEX(CuttingList!$C$3:$C$202,$B356))</f>
        <v/>
      </c>
      <c r="F356" s="3" t="str">
        <f>IF($B356="","",INDEX(CuttingList!$E$3:$E$202,$B356))</f>
        <v/>
      </c>
      <c r="G356" s="4" t="str">
        <f t="shared" si="15"/>
        <v/>
      </c>
      <c r="H356" s="4" t="str">
        <f t="shared" si="16"/>
        <v/>
      </c>
      <c r="I356" s="4" t="str">
        <f t="shared" si="17"/>
        <v/>
      </c>
    </row>
    <row r="357" spans="1:9" x14ac:dyDescent="0.2">
      <c r="A357" s="4">
        <v>355</v>
      </c>
      <c r="B357" s="4" t="str">
        <f>IF($A357&gt;MAX(CuttingList!$I$3:$I$202),"",MATCH($A357,CuttingList!$H$3:$H$202,1))</f>
        <v/>
      </c>
      <c r="C357" s="3" t="str">
        <f>IF($B357="","",INDEX(CuttingList!$A$3:$A$202,$B357))</f>
        <v/>
      </c>
      <c r="D357" s="4" t="str">
        <f>IF($B357="","",INDEX(CuttingList!$B$3:$B$202,$B357))</f>
        <v/>
      </c>
      <c r="E357" s="4" t="str">
        <f>IF($B357="","",INDEX(CuttingList!$C$3:$C$202,$B357))</f>
        <v/>
      </c>
      <c r="F357" s="3" t="str">
        <f>IF($B357="","",INDEX(CuttingList!$E$3:$E$202,$B357))</f>
        <v/>
      </c>
      <c r="G357" s="4" t="str">
        <f t="shared" si="15"/>
        <v/>
      </c>
      <c r="H357" s="4" t="str">
        <f t="shared" si="16"/>
        <v/>
      </c>
      <c r="I357" s="4" t="str">
        <f t="shared" si="17"/>
        <v/>
      </c>
    </row>
    <row r="358" spans="1:9" x14ac:dyDescent="0.2">
      <c r="A358" s="4">
        <v>356</v>
      </c>
      <c r="B358" s="4" t="str">
        <f>IF($A358&gt;MAX(CuttingList!$I$3:$I$202),"",MATCH($A358,CuttingList!$H$3:$H$202,1))</f>
        <v/>
      </c>
      <c r="C358" s="3" t="str">
        <f>IF($B358="","",INDEX(CuttingList!$A$3:$A$202,$B358))</f>
        <v/>
      </c>
      <c r="D358" s="4" t="str">
        <f>IF($B358="","",INDEX(CuttingList!$B$3:$B$202,$B358))</f>
        <v/>
      </c>
      <c r="E358" s="4" t="str">
        <f>IF($B358="","",INDEX(CuttingList!$C$3:$C$202,$B358))</f>
        <v/>
      </c>
      <c r="F358" s="3" t="str">
        <f>IF($B358="","",INDEX(CuttingList!$E$3:$E$202,$B358))</f>
        <v/>
      </c>
      <c r="G358" s="4" t="str">
        <f t="shared" si="15"/>
        <v/>
      </c>
      <c r="H358" s="4" t="str">
        <f t="shared" si="16"/>
        <v/>
      </c>
      <c r="I358" s="4" t="str">
        <f t="shared" si="17"/>
        <v/>
      </c>
    </row>
    <row r="359" spans="1:9" x14ac:dyDescent="0.2">
      <c r="A359" s="4">
        <v>357</v>
      </c>
      <c r="B359" s="4" t="str">
        <f>IF($A359&gt;MAX(CuttingList!$I$3:$I$202),"",MATCH($A359,CuttingList!$H$3:$H$202,1))</f>
        <v/>
      </c>
      <c r="C359" s="3" t="str">
        <f>IF($B359="","",INDEX(CuttingList!$A$3:$A$202,$B359))</f>
        <v/>
      </c>
      <c r="D359" s="4" t="str">
        <f>IF($B359="","",INDEX(CuttingList!$B$3:$B$202,$B359))</f>
        <v/>
      </c>
      <c r="E359" s="4" t="str">
        <f>IF($B359="","",INDEX(CuttingList!$C$3:$C$202,$B359))</f>
        <v/>
      </c>
      <c r="F359" s="3" t="str">
        <f>IF($B359="","",INDEX(CuttingList!$E$3:$E$202,$B359))</f>
        <v/>
      </c>
      <c r="G359" s="4" t="str">
        <f t="shared" si="15"/>
        <v/>
      </c>
      <c r="H359" s="4" t="str">
        <f t="shared" si="16"/>
        <v/>
      </c>
      <c r="I359" s="4" t="str">
        <f t="shared" si="17"/>
        <v/>
      </c>
    </row>
    <row r="360" spans="1:9" x14ac:dyDescent="0.2">
      <c r="A360" s="4">
        <v>358</v>
      </c>
      <c r="B360" s="4" t="str">
        <f>IF($A360&gt;MAX(CuttingList!$I$3:$I$202),"",MATCH($A360,CuttingList!$H$3:$H$202,1))</f>
        <v/>
      </c>
      <c r="C360" s="3" t="str">
        <f>IF($B360="","",INDEX(CuttingList!$A$3:$A$202,$B360))</f>
        <v/>
      </c>
      <c r="D360" s="4" t="str">
        <f>IF($B360="","",INDEX(CuttingList!$B$3:$B$202,$B360))</f>
        <v/>
      </c>
      <c r="E360" s="4" t="str">
        <f>IF($B360="","",INDEX(CuttingList!$C$3:$C$202,$B360))</f>
        <v/>
      </c>
      <c r="F360" s="3" t="str">
        <f>IF($B360="","",INDEX(CuttingList!$E$3:$E$202,$B360))</f>
        <v/>
      </c>
      <c r="G360" s="4" t="str">
        <f t="shared" si="15"/>
        <v/>
      </c>
      <c r="H360" s="4" t="str">
        <f t="shared" si="16"/>
        <v/>
      </c>
      <c r="I360" s="4" t="str">
        <f t="shared" si="17"/>
        <v/>
      </c>
    </row>
    <row r="361" spans="1:9" x14ac:dyDescent="0.2">
      <c r="A361" s="4">
        <v>359</v>
      </c>
      <c r="B361" s="4" t="str">
        <f>IF($A361&gt;MAX(CuttingList!$I$3:$I$202),"",MATCH($A361,CuttingList!$H$3:$H$202,1))</f>
        <v/>
      </c>
      <c r="C361" s="3" t="str">
        <f>IF($B361="","",INDEX(CuttingList!$A$3:$A$202,$B361))</f>
        <v/>
      </c>
      <c r="D361" s="4" t="str">
        <f>IF($B361="","",INDEX(CuttingList!$B$3:$B$202,$B361))</f>
        <v/>
      </c>
      <c r="E361" s="4" t="str">
        <f>IF($B361="","",INDEX(CuttingList!$C$3:$C$202,$B361))</f>
        <v/>
      </c>
      <c r="F361" s="3" t="str">
        <f>IF($B361="","",INDEX(CuttingList!$E$3:$E$202,$B361))</f>
        <v/>
      </c>
      <c r="G361" s="4" t="str">
        <f t="shared" si="15"/>
        <v/>
      </c>
      <c r="H361" s="4" t="str">
        <f t="shared" si="16"/>
        <v/>
      </c>
      <c r="I361" s="4" t="str">
        <f t="shared" si="17"/>
        <v/>
      </c>
    </row>
    <row r="362" spans="1:9" x14ac:dyDescent="0.2">
      <c r="A362" s="4">
        <v>360</v>
      </c>
      <c r="B362" s="4" t="str">
        <f>IF($A362&gt;MAX(CuttingList!$I$3:$I$202),"",MATCH($A362,CuttingList!$H$3:$H$202,1))</f>
        <v/>
      </c>
      <c r="C362" s="3" t="str">
        <f>IF($B362="","",INDEX(CuttingList!$A$3:$A$202,$B362))</f>
        <v/>
      </c>
      <c r="D362" s="4" t="str">
        <f>IF($B362="","",INDEX(CuttingList!$B$3:$B$202,$B362))</f>
        <v/>
      </c>
      <c r="E362" s="4" t="str">
        <f>IF($B362="","",INDEX(CuttingList!$C$3:$C$202,$B362))</f>
        <v/>
      </c>
      <c r="F362" s="3" t="str">
        <f>IF($B362="","",INDEX(CuttingList!$E$3:$E$202,$B362))</f>
        <v/>
      </c>
      <c r="G362" s="4" t="str">
        <f t="shared" si="15"/>
        <v/>
      </c>
      <c r="H362" s="4" t="str">
        <f t="shared" si="16"/>
        <v/>
      </c>
      <c r="I362" s="4" t="str">
        <f t="shared" si="17"/>
        <v/>
      </c>
    </row>
    <row r="363" spans="1:9" x14ac:dyDescent="0.2">
      <c r="A363" s="4">
        <v>361</v>
      </c>
      <c r="B363" s="4" t="str">
        <f>IF($A363&gt;MAX(CuttingList!$I$3:$I$202),"",MATCH($A363,CuttingList!$H$3:$H$202,1))</f>
        <v/>
      </c>
      <c r="C363" s="3" t="str">
        <f>IF($B363="","",INDEX(CuttingList!$A$3:$A$202,$B363))</f>
        <v/>
      </c>
      <c r="D363" s="4" t="str">
        <f>IF($B363="","",INDEX(CuttingList!$B$3:$B$202,$B363))</f>
        <v/>
      </c>
      <c r="E363" s="4" t="str">
        <f>IF($B363="","",INDEX(CuttingList!$C$3:$C$202,$B363))</f>
        <v/>
      </c>
      <c r="F363" s="3" t="str">
        <f>IF($B363="","",INDEX(CuttingList!$E$3:$E$202,$B363))</f>
        <v/>
      </c>
      <c r="G363" s="4" t="str">
        <f t="shared" si="15"/>
        <v/>
      </c>
      <c r="H363" s="4" t="str">
        <f t="shared" si="16"/>
        <v/>
      </c>
      <c r="I363" s="4" t="str">
        <f t="shared" si="17"/>
        <v/>
      </c>
    </row>
    <row r="364" spans="1:9" x14ac:dyDescent="0.2">
      <c r="A364" s="4">
        <v>362</v>
      </c>
      <c r="B364" s="4" t="str">
        <f>IF($A364&gt;MAX(CuttingList!$I$3:$I$202),"",MATCH($A364,CuttingList!$H$3:$H$202,1))</f>
        <v/>
      </c>
      <c r="C364" s="3" t="str">
        <f>IF($B364="","",INDEX(CuttingList!$A$3:$A$202,$B364))</f>
        <v/>
      </c>
      <c r="D364" s="4" t="str">
        <f>IF($B364="","",INDEX(CuttingList!$B$3:$B$202,$B364))</f>
        <v/>
      </c>
      <c r="E364" s="4" t="str">
        <f>IF($B364="","",INDEX(CuttingList!$C$3:$C$202,$B364))</f>
        <v/>
      </c>
      <c r="F364" s="3" t="str">
        <f>IF($B364="","",INDEX(CuttingList!$E$3:$E$202,$B364))</f>
        <v/>
      </c>
      <c r="G364" s="4" t="str">
        <f t="shared" si="15"/>
        <v/>
      </c>
      <c r="H364" s="4" t="str">
        <f t="shared" si="16"/>
        <v/>
      </c>
      <c r="I364" s="4" t="str">
        <f t="shared" si="17"/>
        <v/>
      </c>
    </row>
    <row r="365" spans="1:9" x14ac:dyDescent="0.2">
      <c r="A365" s="4">
        <v>363</v>
      </c>
      <c r="B365" s="4" t="str">
        <f>IF($A365&gt;MAX(CuttingList!$I$3:$I$202),"",MATCH($A365,CuttingList!$H$3:$H$202,1))</f>
        <v/>
      </c>
      <c r="C365" s="3" t="str">
        <f>IF($B365="","",INDEX(CuttingList!$A$3:$A$202,$B365))</f>
        <v/>
      </c>
      <c r="D365" s="4" t="str">
        <f>IF($B365="","",INDEX(CuttingList!$B$3:$B$202,$B365))</f>
        <v/>
      </c>
      <c r="E365" s="4" t="str">
        <f>IF($B365="","",INDEX(CuttingList!$C$3:$C$202,$B365))</f>
        <v/>
      </c>
      <c r="F365" s="3" t="str">
        <f>IF($B365="","",INDEX(CuttingList!$E$3:$E$202,$B365))</f>
        <v/>
      </c>
      <c r="G365" s="4" t="str">
        <f t="shared" si="15"/>
        <v/>
      </c>
      <c r="H365" s="4" t="str">
        <f t="shared" si="16"/>
        <v/>
      </c>
      <c r="I365" s="4" t="str">
        <f t="shared" si="17"/>
        <v/>
      </c>
    </row>
    <row r="366" spans="1:9" x14ac:dyDescent="0.2">
      <c r="A366" s="4">
        <v>364</v>
      </c>
      <c r="B366" s="4" t="str">
        <f>IF($A366&gt;MAX(CuttingList!$I$3:$I$202),"",MATCH($A366,CuttingList!$H$3:$H$202,1))</f>
        <v/>
      </c>
      <c r="C366" s="3" t="str">
        <f>IF($B366="","",INDEX(CuttingList!$A$3:$A$202,$B366))</f>
        <v/>
      </c>
      <c r="D366" s="4" t="str">
        <f>IF($B366="","",INDEX(CuttingList!$B$3:$B$202,$B366))</f>
        <v/>
      </c>
      <c r="E366" s="4" t="str">
        <f>IF($B366="","",INDEX(CuttingList!$C$3:$C$202,$B366))</f>
        <v/>
      </c>
      <c r="F366" s="3" t="str">
        <f>IF($B366="","",INDEX(CuttingList!$E$3:$E$202,$B366))</f>
        <v/>
      </c>
      <c r="G366" s="4" t="str">
        <f t="shared" si="15"/>
        <v/>
      </c>
      <c r="H366" s="4" t="str">
        <f t="shared" si="16"/>
        <v/>
      </c>
      <c r="I366" s="4" t="str">
        <f t="shared" si="17"/>
        <v/>
      </c>
    </row>
    <row r="367" spans="1:9" x14ac:dyDescent="0.2">
      <c r="A367" s="4">
        <v>365</v>
      </c>
      <c r="B367" s="4" t="str">
        <f>IF($A367&gt;MAX(CuttingList!$I$3:$I$202),"",MATCH($A367,CuttingList!$H$3:$H$202,1))</f>
        <v/>
      </c>
      <c r="C367" s="3" t="str">
        <f>IF($B367="","",INDEX(CuttingList!$A$3:$A$202,$B367))</f>
        <v/>
      </c>
      <c r="D367" s="4" t="str">
        <f>IF($B367="","",INDEX(CuttingList!$B$3:$B$202,$B367))</f>
        <v/>
      </c>
      <c r="E367" s="4" t="str">
        <f>IF($B367="","",INDEX(CuttingList!$C$3:$C$202,$B367))</f>
        <v/>
      </c>
      <c r="F367" s="3" t="str">
        <f>IF($B367="","",INDEX(CuttingList!$E$3:$E$202,$B367))</f>
        <v/>
      </c>
      <c r="G367" s="4" t="str">
        <f t="shared" si="15"/>
        <v/>
      </c>
      <c r="H367" s="4" t="str">
        <f t="shared" si="16"/>
        <v/>
      </c>
      <c r="I367" s="4" t="str">
        <f t="shared" si="17"/>
        <v/>
      </c>
    </row>
    <row r="368" spans="1:9" x14ac:dyDescent="0.2">
      <c r="A368" s="4">
        <v>366</v>
      </c>
      <c r="B368" s="4" t="str">
        <f>IF($A368&gt;MAX(CuttingList!$I$3:$I$202),"",MATCH($A368,CuttingList!$H$3:$H$202,1))</f>
        <v/>
      </c>
      <c r="C368" s="3" t="str">
        <f>IF($B368="","",INDEX(CuttingList!$A$3:$A$202,$B368))</f>
        <v/>
      </c>
      <c r="D368" s="4" t="str">
        <f>IF($B368="","",INDEX(CuttingList!$B$3:$B$202,$B368))</f>
        <v/>
      </c>
      <c r="E368" s="4" t="str">
        <f>IF($B368="","",INDEX(CuttingList!$C$3:$C$202,$B368))</f>
        <v/>
      </c>
      <c r="F368" s="3" t="str">
        <f>IF($B368="","",INDEX(CuttingList!$E$3:$E$202,$B368))</f>
        <v/>
      </c>
      <c r="G368" s="4" t="str">
        <f t="shared" si="15"/>
        <v/>
      </c>
      <c r="H368" s="4" t="str">
        <f t="shared" si="16"/>
        <v/>
      </c>
      <c r="I368" s="4" t="str">
        <f t="shared" si="17"/>
        <v/>
      </c>
    </row>
    <row r="369" spans="1:9" x14ac:dyDescent="0.2">
      <c r="A369" s="4">
        <v>367</v>
      </c>
      <c r="B369" s="4" t="str">
        <f>IF($A369&gt;MAX(CuttingList!$I$3:$I$202),"",MATCH($A369,CuttingList!$H$3:$H$202,1))</f>
        <v/>
      </c>
      <c r="C369" s="3" t="str">
        <f>IF($B369="","",INDEX(CuttingList!$A$3:$A$202,$B369))</f>
        <v/>
      </c>
      <c r="D369" s="4" t="str">
        <f>IF($B369="","",INDEX(CuttingList!$B$3:$B$202,$B369))</f>
        <v/>
      </c>
      <c r="E369" s="4" t="str">
        <f>IF($B369="","",INDEX(CuttingList!$C$3:$C$202,$B369))</f>
        <v/>
      </c>
      <c r="F369" s="3" t="str">
        <f>IF($B369="","",INDEX(CuttingList!$E$3:$E$202,$B369))</f>
        <v/>
      </c>
      <c r="G369" s="4" t="str">
        <f t="shared" si="15"/>
        <v/>
      </c>
      <c r="H369" s="4" t="str">
        <f t="shared" si="16"/>
        <v/>
      </c>
      <c r="I369" s="4" t="str">
        <f t="shared" si="17"/>
        <v/>
      </c>
    </row>
    <row r="370" spans="1:9" x14ac:dyDescent="0.2">
      <c r="A370" s="4">
        <v>368</v>
      </c>
      <c r="B370" s="4" t="str">
        <f>IF($A370&gt;MAX(CuttingList!$I$3:$I$202),"",MATCH($A370,CuttingList!$H$3:$H$202,1))</f>
        <v/>
      </c>
      <c r="C370" s="3" t="str">
        <f>IF($B370="","",INDEX(CuttingList!$A$3:$A$202,$B370))</f>
        <v/>
      </c>
      <c r="D370" s="4" t="str">
        <f>IF($B370="","",INDEX(CuttingList!$B$3:$B$202,$B370))</f>
        <v/>
      </c>
      <c r="E370" s="4" t="str">
        <f>IF($B370="","",INDEX(CuttingList!$C$3:$C$202,$B370))</f>
        <v/>
      </c>
      <c r="F370" s="3" t="str">
        <f>IF($B370="","",INDEX(CuttingList!$E$3:$E$202,$B370))</f>
        <v/>
      </c>
      <c r="G370" s="4" t="str">
        <f t="shared" si="15"/>
        <v/>
      </c>
      <c r="H370" s="4" t="str">
        <f t="shared" si="16"/>
        <v/>
      </c>
      <c r="I370" s="4" t="str">
        <f t="shared" si="17"/>
        <v/>
      </c>
    </row>
    <row r="371" spans="1:9" x14ac:dyDescent="0.2">
      <c r="A371" s="4">
        <v>369</v>
      </c>
      <c r="B371" s="4" t="str">
        <f>IF($A371&gt;MAX(CuttingList!$I$3:$I$202),"",MATCH($A371,CuttingList!$H$3:$H$202,1))</f>
        <v/>
      </c>
      <c r="C371" s="3" t="str">
        <f>IF($B371="","",INDEX(CuttingList!$A$3:$A$202,$B371))</f>
        <v/>
      </c>
      <c r="D371" s="4" t="str">
        <f>IF($B371="","",INDEX(CuttingList!$B$3:$B$202,$B371))</f>
        <v/>
      </c>
      <c r="E371" s="4" t="str">
        <f>IF($B371="","",INDEX(CuttingList!$C$3:$C$202,$B371))</f>
        <v/>
      </c>
      <c r="F371" s="3" t="str">
        <f>IF($B371="","",INDEX(CuttingList!$E$3:$E$202,$B371))</f>
        <v/>
      </c>
      <c r="G371" s="4" t="str">
        <f t="shared" si="15"/>
        <v/>
      </c>
      <c r="H371" s="4" t="str">
        <f t="shared" si="16"/>
        <v/>
      </c>
      <c r="I371" s="4" t="str">
        <f t="shared" si="17"/>
        <v/>
      </c>
    </row>
    <row r="372" spans="1:9" x14ac:dyDescent="0.2">
      <c r="A372" s="4">
        <v>370</v>
      </c>
      <c r="B372" s="4" t="str">
        <f>IF($A372&gt;MAX(CuttingList!$I$3:$I$202),"",MATCH($A372,CuttingList!$H$3:$H$202,1))</f>
        <v/>
      </c>
      <c r="C372" s="3" t="str">
        <f>IF($B372="","",INDEX(CuttingList!$A$3:$A$202,$B372))</f>
        <v/>
      </c>
      <c r="D372" s="4" t="str">
        <f>IF($B372="","",INDEX(CuttingList!$B$3:$B$202,$B372))</f>
        <v/>
      </c>
      <c r="E372" s="4" t="str">
        <f>IF($B372="","",INDEX(CuttingList!$C$3:$C$202,$B372))</f>
        <v/>
      </c>
      <c r="F372" s="3" t="str">
        <f>IF($B372="","",INDEX(CuttingList!$E$3:$E$202,$B372))</f>
        <v/>
      </c>
      <c r="G372" s="4" t="str">
        <f t="shared" si="15"/>
        <v/>
      </c>
      <c r="H372" s="4" t="str">
        <f t="shared" si="16"/>
        <v/>
      </c>
      <c r="I372" s="4" t="str">
        <f t="shared" si="17"/>
        <v/>
      </c>
    </row>
    <row r="373" spans="1:9" x14ac:dyDescent="0.2">
      <c r="A373" s="4">
        <v>371</v>
      </c>
      <c r="B373" s="4" t="str">
        <f>IF($A373&gt;MAX(CuttingList!$I$3:$I$202),"",MATCH($A373,CuttingList!$H$3:$H$202,1))</f>
        <v/>
      </c>
      <c r="C373" s="3" t="str">
        <f>IF($B373="","",INDEX(CuttingList!$A$3:$A$202,$B373))</f>
        <v/>
      </c>
      <c r="D373" s="4" t="str">
        <f>IF($B373="","",INDEX(CuttingList!$B$3:$B$202,$B373))</f>
        <v/>
      </c>
      <c r="E373" s="4" t="str">
        <f>IF($B373="","",INDEX(CuttingList!$C$3:$C$202,$B373))</f>
        <v/>
      </c>
      <c r="F373" s="3" t="str">
        <f>IF($B373="","",INDEX(CuttingList!$E$3:$E$202,$B373))</f>
        <v/>
      </c>
      <c r="G373" s="4" t="str">
        <f t="shared" si="15"/>
        <v/>
      </c>
      <c r="H373" s="4" t="str">
        <f t="shared" si="16"/>
        <v/>
      </c>
      <c r="I373" s="4" t="str">
        <f t="shared" si="17"/>
        <v/>
      </c>
    </row>
    <row r="374" spans="1:9" x14ac:dyDescent="0.2">
      <c r="A374" s="4">
        <v>372</v>
      </c>
      <c r="B374" s="4" t="str">
        <f>IF($A374&gt;MAX(CuttingList!$I$3:$I$202),"",MATCH($A374,CuttingList!$H$3:$H$202,1))</f>
        <v/>
      </c>
      <c r="C374" s="3" t="str">
        <f>IF($B374="","",INDEX(CuttingList!$A$3:$A$202,$B374))</f>
        <v/>
      </c>
      <c r="D374" s="4" t="str">
        <f>IF($B374="","",INDEX(CuttingList!$B$3:$B$202,$B374))</f>
        <v/>
      </c>
      <c r="E374" s="4" t="str">
        <f>IF($B374="","",INDEX(CuttingList!$C$3:$C$202,$B374))</f>
        <v/>
      </c>
      <c r="F374" s="3" t="str">
        <f>IF($B374="","",INDEX(CuttingList!$E$3:$E$202,$B374))</f>
        <v/>
      </c>
      <c r="G374" s="4" t="str">
        <f t="shared" si="15"/>
        <v/>
      </c>
      <c r="H374" s="4" t="str">
        <f t="shared" si="16"/>
        <v/>
      </c>
      <c r="I374" s="4" t="str">
        <f t="shared" si="17"/>
        <v/>
      </c>
    </row>
    <row r="375" spans="1:9" x14ac:dyDescent="0.2">
      <c r="A375" s="4">
        <v>373</v>
      </c>
      <c r="B375" s="4" t="str">
        <f>IF($A375&gt;MAX(CuttingList!$I$3:$I$202),"",MATCH($A375,CuttingList!$H$3:$H$202,1))</f>
        <v/>
      </c>
      <c r="C375" s="3" t="str">
        <f>IF($B375="","",INDEX(CuttingList!$A$3:$A$202,$B375))</f>
        <v/>
      </c>
      <c r="D375" s="4" t="str">
        <f>IF($B375="","",INDEX(CuttingList!$B$3:$B$202,$B375))</f>
        <v/>
      </c>
      <c r="E375" s="4" t="str">
        <f>IF($B375="","",INDEX(CuttingList!$C$3:$C$202,$B375))</f>
        <v/>
      </c>
      <c r="F375" s="3" t="str">
        <f>IF($B375="","",INDEX(CuttingList!$E$3:$E$202,$B375))</f>
        <v/>
      </c>
      <c r="G375" s="4" t="str">
        <f t="shared" si="15"/>
        <v/>
      </c>
      <c r="H375" s="4" t="str">
        <f t="shared" si="16"/>
        <v/>
      </c>
      <c r="I375" s="4" t="str">
        <f t="shared" si="17"/>
        <v/>
      </c>
    </row>
    <row r="376" spans="1:9" x14ac:dyDescent="0.2">
      <c r="A376" s="4">
        <v>374</v>
      </c>
      <c r="B376" s="4" t="str">
        <f>IF($A376&gt;MAX(CuttingList!$I$3:$I$202),"",MATCH($A376,CuttingList!$H$3:$H$202,1))</f>
        <v/>
      </c>
      <c r="C376" s="3" t="str">
        <f>IF($B376="","",INDEX(CuttingList!$A$3:$A$202,$B376))</f>
        <v/>
      </c>
      <c r="D376" s="4" t="str">
        <f>IF($B376="","",INDEX(CuttingList!$B$3:$B$202,$B376))</f>
        <v/>
      </c>
      <c r="E376" s="4" t="str">
        <f>IF($B376="","",INDEX(CuttingList!$C$3:$C$202,$B376))</f>
        <v/>
      </c>
      <c r="F376" s="3" t="str">
        <f>IF($B376="","",INDEX(CuttingList!$E$3:$E$202,$B376))</f>
        <v/>
      </c>
      <c r="G376" s="4" t="str">
        <f t="shared" si="15"/>
        <v/>
      </c>
      <c r="H376" s="4" t="str">
        <f t="shared" si="16"/>
        <v/>
      </c>
      <c r="I376" s="4" t="str">
        <f t="shared" si="17"/>
        <v/>
      </c>
    </row>
    <row r="377" spans="1:9" x14ac:dyDescent="0.2">
      <c r="A377" s="4">
        <v>375</v>
      </c>
      <c r="B377" s="4" t="str">
        <f>IF($A377&gt;MAX(CuttingList!$I$3:$I$202),"",MATCH($A377,CuttingList!$H$3:$H$202,1))</f>
        <v/>
      </c>
      <c r="C377" s="3" t="str">
        <f>IF($B377="","",INDEX(CuttingList!$A$3:$A$202,$B377))</f>
        <v/>
      </c>
      <c r="D377" s="4" t="str">
        <f>IF($B377="","",INDEX(CuttingList!$B$3:$B$202,$B377))</f>
        <v/>
      </c>
      <c r="E377" s="4" t="str">
        <f>IF($B377="","",INDEX(CuttingList!$C$3:$C$202,$B377))</f>
        <v/>
      </c>
      <c r="F377" s="3" t="str">
        <f>IF($B377="","",INDEX(CuttingList!$E$3:$E$202,$B377))</f>
        <v/>
      </c>
      <c r="G377" s="4" t="str">
        <f t="shared" si="15"/>
        <v/>
      </c>
      <c r="H377" s="4" t="str">
        <f t="shared" si="16"/>
        <v/>
      </c>
      <c r="I377" s="4" t="str">
        <f t="shared" si="17"/>
        <v/>
      </c>
    </row>
    <row r="378" spans="1:9" x14ac:dyDescent="0.2">
      <c r="A378" s="4">
        <v>376</v>
      </c>
      <c r="B378" s="4" t="str">
        <f>IF($A378&gt;MAX(CuttingList!$I$3:$I$202),"",MATCH($A378,CuttingList!$H$3:$H$202,1))</f>
        <v/>
      </c>
      <c r="C378" s="3" t="str">
        <f>IF($B378="","",INDEX(CuttingList!$A$3:$A$202,$B378))</f>
        <v/>
      </c>
      <c r="D378" s="4" t="str">
        <f>IF($B378="","",INDEX(CuttingList!$B$3:$B$202,$B378))</f>
        <v/>
      </c>
      <c r="E378" s="4" t="str">
        <f>IF($B378="","",INDEX(CuttingList!$C$3:$C$202,$B378))</f>
        <v/>
      </c>
      <c r="F378" s="3" t="str">
        <f>IF($B378="","",INDEX(CuttingList!$E$3:$E$202,$B378))</f>
        <v/>
      </c>
      <c r="G378" s="4" t="str">
        <f t="shared" si="15"/>
        <v/>
      </c>
      <c r="H378" s="4" t="str">
        <f t="shared" si="16"/>
        <v/>
      </c>
      <c r="I378" s="4" t="str">
        <f t="shared" si="17"/>
        <v/>
      </c>
    </row>
    <row r="379" spans="1:9" x14ac:dyDescent="0.2">
      <c r="A379" s="4">
        <v>377</v>
      </c>
      <c r="B379" s="4" t="str">
        <f>IF($A379&gt;MAX(CuttingList!$I$3:$I$202),"",MATCH($A379,CuttingList!$H$3:$H$202,1))</f>
        <v/>
      </c>
      <c r="C379" s="3" t="str">
        <f>IF($B379="","",INDEX(CuttingList!$A$3:$A$202,$B379))</f>
        <v/>
      </c>
      <c r="D379" s="4" t="str">
        <f>IF($B379="","",INDEX(CuttingList!$B$3:$B$202,$B379))</f>
        <v/>
      </c>
      <c r="E379" s="4" t="str">
        <f>IF($B379="","",INDEX(CuttingList!$C$3:$C$202,$B379))</f>
        <v/>
      </c>
      <c r="F379" s="3" t="str">
        <f>IF($B379="","",INDEX(CuttingList!$E$3:$E$202,$B379))</f>
        <v/>
      </c>
      <c r="G379" s="4" t="str">
        <f t="shared" si="15"/>
        <v/>
      </c>
      <c r="H379" s="4" t="str">
        <f t="shared" si="16"/>
        <v/>
      </c>
      <c r="I379" s="4" t="str">
        <f t="shared" si="17"/>
        <v/>
      </c>
    </row>
    <row r="380" spans="1:9" x14ac:dyDescent="0.2">
      <c r="A380" s="4">
        <v>378</v>
      </c>
      <c r="B380" s="4" t="str">
        <f>IF($A380&gt;MAX(CuttingList!$I$3:$I$202),"",MATCH($A380,CuttingList!$H$3:$H$202,1))</f>
        <v/>
      </c>
      <c r="C380" s="3" t="str">
        <f>IF($B380="","",INDEX(CuttingList!$A$3:$A$202,$B380))</f>
        <v/>
      </c>
      <c r="D380" s="4" t="str">
        <f>IF($B380="","",INDEX(CuttingList!$B$3:$B$202,$B380))</f>
        <v/>
      </c>
      <c r="E380" s="4" t="str">
        <f>IF($B380="","",INDEX(CuttingList!$C$3:$C$202,$B380))</f>
        <v/>
      </c>
      <c r="F380" s="3" t="str">
        <f>IF($B380="","",INDEX(CuttingList!$E$3:$E$202,$B380))</f>
        <v/>
      </c>
      <c r="G380" s="4" t="str">
        <f t="shared" si="15"/>
        <v/>
      </c>
      <c r="H380" s="4" t="str">
        <f t="shared" si="16"/>
        <v/>
      </c>
      <c r="I380" s="4" t="str">
        <f t="shared" si="17"/>
        <v/>
      </c>
    </row>
    <row r="381" spans="1:9" x14ac:dyDescent="0.2">
      <c r="A381" s="4">
        <v>379</v>
      </c>
      <c r="B381" s="4" t="str">
        <f>IF($A381&gt;MAX(CuttingList!$I$3:$I$202),"",MATCH($A381,CuttingList!$H$3:$H$202,1))</f>
        <v/>
      </c>
      <c r="C381" s="3" t="str">
        <f>IF($B381="","",INDEX(CuttingList!$A$3:$A$202,$B381))</f>
        <v/>
      </c>
      <c r="D381" s="4" t="str">
        <f>IF($B381="","",INDEX(CuttingList!$B$3:$B$202,$B381))</f>
        <v/>
      </c>
      <c r="E381" s="4" t="str">
        <f>IF($B381="","",INDEX(CuttingList!$C$3:$C$202,$B381))</f>
        <v/>
      </c>
      <c r="F381" s="3" t="str">
        <f>IF($B381="","",INDEX(CuttingList!$E$3:$E$202,$B381))</f>
        <v/>
      </c>
      <c r="G381" s="4" t="str">
        <f t="shared" si="15"/>
        <v/>
      </c>
      <c r="H381" s="4" t="str">
        <f t="shared" si="16"/>
        <v/>
      </c>
      <c r="I381" s="4" t="str">
        <f t="shared" si="17"/>
        <v/>
      </c>
    </row>
    <row r="382" spans="1:9" x14ac:dyDescent="0.2">
      <c r="A382" s="4">
        <v>380</v>
      </c>
      <c r="B382" s="4" t="str">
        <f>IF($A382&gt;MAX(CuttingList!$I$3:$I$202),"",MATCH($A382,CuttingList!$H$3:$H$202,1))</f>
        <v/>
      </c>
      <c r="C382" s="3" t="str">
        <f>IF($B382="","",INDEX(CuttingList!$A$3:$A$202,$B382))</f>
        <v/>
      </c>
      <c r="D382" s="4" t="str">
        <f>IF($B382="","",INDEX(CuttingList!$B$3:$B$202,$B382))</f>
        <v/>
      </c>
      <c r="E382" s="4" t="str">
        <f>IF($B382="","",INDEX(CuttingList!$C$3:$C$202,$B382))</f>
        <v/>
      </c>
      <c r="F382" s="3" t="str">
        <f>IF($B382="","",INDEX(CuttingList!$E$3:$E$202,$B382))</f>
        <v/>
      </c>
      <c r="G382" s="4" t="str">
        <f t="shared" si="15"/>
        <v/>
      </c>
      <c r="H382" s="4" t="str">
        <f t="shared" si="16"/>
        <v/>
      </c>
      <c r="I382" s="4" t="str">
        <f t="shared" si="17"/>
        <v/>
      </c>
    </row>
    <row r="383" spans="1:9" x14ac:dyDescent="0.2">
      <c r="A383" s="4">
        <v>381</v>
      </c>
      <c r="B383" s="4" t="str">
        <f>IF($A383&gt;MAX(CuttingList!$I$3:$I$202),"",MATCH($A383,CuttingList!$H$3:$H$202,1))</f>
        <v/>
      </c>
      <c r="C383" s="3" t="str">
        <f>IF($B383="","",INDEX(CuttingList!$A$3:$A$202,$B383))</f>
        <v/>
      </c>
      <c r="D383" s="4" t="str">
        <f>IF($B383="","",INDEX(CuttingList!$B$3:$B$202,$B383))</f>
        <v/>
      </c>
      <c r="E383" s="4" t="str">
        <f>IF($B383="","",INDEX(CuttingList!$C$3:$C$202,$B383))</f>
        <v/>
      </c>
      <c r="F383" s="3" t="str">
        <f>IF($B383="","",INDEX(CuttingList!$E$3:$E$202,$B383))</f>
        <v/>
      </c>
      <c r="G383" s="4" t="str">
        <f t="shared" si="15"/>
        <v/>
      </c>
      <c r="H383" s="4" t="str">
        <f t="shared" si="16"/>
        <v/>
      </c>
      <c r="I383" s="4" t="str">
        <f t="shared" si="17"/>
        <v/>
      </c>
    </row>
    <row r="384" spans="1:9" x14ac:dyDescent="0.2">
      <c r="A384" s="4">
        <v>382</v>
      </c>
      <c r="B384" s="4" t="str">
        <f>IF($A384&gt;MAX(CuttingList!$I$3:$I$202),"",MATCH($A384,CuttingList!$H$3:$H$202,1))</f>
        <v/>
      </c>
      <c r="C384" s="3" t="str">
        <f>IF($B384="","",INDEX(CuttingList!$A$3:$A$202,$B384))</f>
        <v/>
      </c>
      <c r="D384" s="4" t="str">
        <f>IF($B384="","",INDEX(CuttingList!$B$3:$B$202,$B384))</f>
        <v/>
      </c>
      <c r="E384" s="4" t="str">
        <f>IF($B384="","",INDEX(CuttingList!$C$3:$C$202,$B384))</f>
        <v/>
      </c>
      <c r="F384" s="3" t="str">
        <f>IF($B384="","",INDEX(CuttingList!$E$3:$E$202,$B384))</f>
        <v/>
      </c>
      <c r="G384" s="4" t="str">
        <f t="shared" si="15"/>
        <v/>
      </c>
      <c r="H384" s="4" t="str">
        <f t="shared" si="16"/>
        <v/>
      </c>
      <c r="I384" s="4" t="str">
        <f t="shared" si="17"/>
        <v/>
      </c>
    </row>
    <row r="385" spans="1:9" x14ac:dyDescent="0.2">
      <c r="A385" s="4">
        <v>383</v>
      </c>
      <c r="B385" s="4" t="str">
        <f>IF($A385&gt;MAX(CuttingList!$I$3:$I$202),"",MATCH($A385,CuttingList!$H$3:$H$202,1))</f>
        <v/>
      </c>
      <c r="C385" s="3" t="str">
        <f>IF($B385="","",INDEX(CuttingList!$A$3:$A$202,$B385))</f>
        <v/>
      </c>
      <c r="D385" s="4" t="str">
        <f>IF($B385="","",INDEX(CuttingList!$B$3:$B$202,$B385))</f>
        <v/>
      </c>
      <c r="E385" s="4" t="str">
        <f>IF($B385="","",INDEX(CuttingList!$C$3:$C$202,$B385))</f>
        <v/>
      </c>
      <c r="F385" s="3" t="str">
        <f>IF($B385="","",INDEX(CuttingList!$E$3:$E$202,$B385))</f>
        <v/>
      </c>
      <c r="G385" s="4" t="str">
        <f t="shared" si="15"/>
        <v/>
      </c>
      <c r="H385" s="4" t="str">
        <f t="shared" si="16"/>
        <v/>
      </c>
      <c r="I385" s="4" t="str">
        <f t="shared" si="17"/>
        <v/>
      </c>
    </row>
    <row r="386" spans="1:9" x14ac:dyDescent="0.2">
      <c r="A386" s="4">
        <v>384</v>
      </c>
      <c r="B386" s="4" t="str">
        <f>IF($A386&gt;MAX(CuttingList!$I$3:$I$202),"",MATCH($A386,CuttingList!$H$3:$H$202,1))</f>
        <v/>
      </c>
      <c r="C386" s="3" t="str">
        <f>IF($B386="","",INDEX(CuttingList!$A$3:$A$202,$B386))</f>
        <v/>
      </c>
      <c r="D386" s="4" t="str">
        <f>IF($B386="","",INDEX(CuttingList!$B$3:$B$202,$B386))</f>
        <v/>
      </c>
      <c r="E386" s="4" t="str">
        <f>IF($B386="","",INDEX(CuttingList!$C$3:$C$202,$B386))</f>
        <v/>
      </c>
      <c r="F386" s="3" t="str">
        <f>IF($B386="","",INDEX(CuttingList!$E$3:$E$202,$B386))</f>
        <v/>
      </c>
      <c r="G386" s="4" t="str">
        <f t="shared" si="15"/>
        <v/>
      </c>
      <c r="H386" s="4" t="str">
        <f t="shared" si="16"/>
        <v/>
      </c>
      <c r="I386" s="4" t="str">
        <f t="shared" si="17"/>
        <v/>
      </c>
    </row>
    <row r="387" spans="1:9" x14ac:dyDescent="0.2">
      <c r="A387" s="4">
        <v>385</v>
      </c>
      <c r="B387" s="4" t="str">
        <f>IF($A387&gt;MAX(CuttingList!$I$3:$I$202),"",MATCH($A387,CuttingList!$H$3:$H$202,1))</f>
        <v/>
      </c>
      <c r="C387" s="3" t="str">
        <f>IF($B387="","",INDEX(CuttingList!$A$3:$A$202,$B387))</f>
        <v/>
      </c>
      <c r="D387" s="4" t="str">
        <f>IF($B387="","",INDEX(CuttingList!$B$3:$B$202,$B387))</f>
        <v/>
      </c>
      <c r="E387" s="4" t="str">
        <f>IF($B387="","",INDEX(CuttingList!$C$3:$C$202,$B387))</f>
        <v/>
      </c>
      <c r="F387" s="3" t="str">
        <f>IF($B387="","",INDEX(CuttingList!$E$3:$E$202,$B387))</f>
        <v/>
      </c>
      <c r="G387" s="4" t="str">
        <f t="shared" ref="G387:G402" si="18">IF(OR($D387="",$E387=""),"",($D387*$E387)/1000000)</f>
        <v/>
      </c>
      <c r="H387" s="4" t="str">
        <f t="shared" ref="H387:H402" si="19">IF(OR($D387="",$E387=""),"",MAX($D387,$E387))</f>
        <v/>
      </c>
      <c r="I387" s="4" t="str">
        <f t="shared" ref="I387:I402" si="20">IF($E387="","",$E387)</f>
        <v/>
      </c>
    </row>
    <row r="388" spans="1:9" x14ac:dyDescent="0.2">
      <c r="A388" s="4">
        <v>386</v>
      </c>
      <c r="B388" s="4" t="str">
        <f>IF($A388&gt;MAX(CuttingList!$I$3:$I$202),"",MATCH($A388,CuttingList!$H$3:$H$202,1))</f>
        <v/>
      </c>
      <c r="C388" s="3" t="str">
        <f>IF($B388="","",INDEX(CuttingList!$A$3:$A$202,$B388))</f>
        <v/>
      </c>
      <c r="D388" s="4" t="str">
        <f>IF($B388="","",INDEX(CuttingList!$B$3:$B$202,$B388))</f>
        <v/>
      </c>
      <c r="E388" s="4" t="str">
        <f>IF($B388="","",INDEX(CuttingList!$C$3:$C$202,$B388))</f>
        <v/>
      </c>
      <c r="F388" s="3" t="str">
        <f>IF($B388="","",INDEX(CuttingList!$E$3:$E$202,$B388))</f>
        <v/>
      </c>
      <c r="G388" s="4" t="str">
        <f t="shared" si="18"/>
        <v/>
      </c>
      <c r="H388" s="4" t="str">
        <f t="shared" si="19"/>
        <v/>
      </c>
      <c r="I388" s="4" t="str">
        <f t="shared" si="20"/>
        <v/>
      </c>
    </row>
    <row r="389" spans="1:9" x14ac:dyDescent="0.2">
      <c r="A389" s="4">
        <v>387</v>
      </c>
      <c r="B389" s="4" t="str">
        <f>IF($A389&gt;MAX(CuttingList!$I$3:$I$202),"",MATCH($A389,CuttingList!$H$3:$H$202,1))</f>
        <v/>
      </c>
      <c r="C389" s="3" t="str">
        <f>IF($B389="","",INDEX(CuttingList!$A$3:$A$202,$B389))</f>
        <v/>
      </c>
      <c r="D389" s="4" t="str">
        <f>IF($B389="","",INDEX(CuttingList!$B$3:$B$202,$B389))</f>
        <v/>
      </c>
      <c r="E389" s="4" t="str">
        <f>IF($B389="","",INDEX(CuttingList!$C$3:$C$202,$B389))</f>
        <v/>
      </c>
      <c r="F389" s="3" t="str">
        <f>IF($B389="","",INDEX(CuttingList!$E$3:$E$202,$B389))</f>
        <v/>
      </c>
      <c r="G389" s="4" t="str">
        <f t="shared" si="18"/>
        <v/>
      </c>
      <c r="H389" s="4" t="str">
        <f t="shared" si="19"/>
        <v/>
      </c>
      <c r="I389" s="4" t="str">
        <f t="shared" si="20"/>
        <v/>
      </c>
    </row>
    <row r="390" spans="1:9" x14ac:dyDescent="0.2">
      <c r="A390" s="4">
        <v>388</v>
      </c>
      <c r="B390" s="4" t="str">
        <f>IF($A390&gt;MAX(CuttingList!$I$3:$I$202),"",MATCH($A390,CuttingList!$H$3:$H$202,1))</f>
        <v/>
      </c>
      <c r="C390" s="3" t="str">
        <f>IF($B390="","",INDEX(CuttingList!$A$3:$A$202,$B390))</f>
        <v/>
      </c>
      <c r="D390" s="4" t="str">
        <f>IF($B390="","",INDEX(CuttingList!$B$3:$B$202,$B390))</f>
        <v/>
      </c>
      <c r="E390" s="4" t="str">
        <f>IF($B390="","",INDEX(CuttingList!$C$3:$C$202,$B390))</f>
        <v/>
      </c>
      <c r="F390" s="3" t="str">
        <f>IF($B390="","",INDEX(CuttingList!$E$3:$E$202,$B390))</f>
        <v/>
      </c>
      <c r="G390" s="4" t="str">
        <f t="shared" si="18"/>
        <v/>
      </c>
      <c r="H390" s="4" t="str">
        <f t="shared" si="19"/>
        <v/>
      </c>
      <c r="I390" s="4" t="str">
        <f t="shared" si="20"/>
        <v/>
      </c>
    </row>
    <row r="391" spans="1:9" x14ac:dyDescent="0.2">
      <c r="A391" s="4">
        <v>389</v>
      </c>
      <c r="B391" s="4" t="str">
        <f>IF($A391&gt;MAX(CuttingList!$I$3:$I$202),"",MATCH($A391,CuttingList!$H$3:$H$202,1))</f>
        <v/>
      </c>
      <c r="C391" s="3" t="str">
        <f>IF($B391="","",INDEX(CuttingList!$A$3:$A$202,$B391))</f>
        <v/>
      </c>
      <c r="D391" s="4" t="str">
        <f>IF($B391="","",INDEX(CuttingList!$B$3:$B$202,$B391))</f>
        <v/>
      </c>
      <c r="E391" s="4" t="str">
        <f>IF($B391="","",INDEX(CuttingList!$C$3:$C$202,$B391))</f>
        <v/>
      </c>
      <c r="F391" s="3" t="str">
        <f>IF($B391="","",INDEX(CuttingList!$E$3:$E$202,$B391))</f>
        <v/>
      </c>
      <c r="G391" s="4" t="str">
        <f t="shared" si="18"/>
        <v/>
      </c>
      <c r="H391" s="4" t="str">
        <f t="shared" si="19"/>
        <v/>
      </c>
      <c r="I391" s="4" t="str">
        <f t="shared" si="20"/>
        <v/>
      </c>
    </row>
    <row r="392" spans="1:9" x14ac:dyDescent="0.2">
      <c r="A392" s="4">
        <v>390</v>
      </c>
      <c r="B392" s="4" t="str">
        <f>IF($A392&gt;MAX(CuttingList!$I$3:$I$202),"",MATCH($A392,CuttingList!$H$3:$H$202,1))</f>
        <v/>
      </c>
      <c r="C392" s="3" t="str">
        <f>IF($B392="","",INDEX(CuttingList!$A$3:$A$202,$B392))</f>
        <v/>
      </c>
      <c r="D392" s="4" t="str">
        <f>IF($B392="","",INDEX(CuttingList!$B$3:$B$202,$B392))</f>
        <v/>
      </c>
      <c r="E392" s="4" t="str">
        <f>IF($B392="","",INDEX(CuttingList!$C$3:$C$202,$B392))</f>
        <v/>
      </c>
      <c r="F392" s="3" t="str">
        <f>IF($B392="","",INDEX(CuttingList!$E$3:$E$202,$B392))</f>
        <v/>
      </c>
      <c r="G392" s="4" t="str">
        <f t="shared" si="18"/>
        <v/>
      </c>
      <c r="H392" s="4" t="str">
        <f t="shared" si="19"/>
        <v/>
      </c>
      <c r="I392" s="4" t="str">
        <f t="shared" si="20"/>
        <v/>
      </c>
    </row>
    <row r="393" spans="1:9" x14ac:dyDescent="0.2">
      <c r="A393" s="4">
        <v>391</v>
      </c>
      <c r="B393" s="4" t="str">
        <f>IF($A393&gt;MAX(CuttingList!$I$3:$I$202),"",MATCH($A393,CuttingList!$H$3:$H$202,1))</f>
        <v/>
      </c>
      <c r="C393" s="3" t="str">
        <f>IF($B393="","",INDEX(CuttingList!$A$3:$A$202,$B393))</f>
        <v/>
      </c>
      <c r="D393" s="4" t="str">
        <f>IF($B393="","",INDEX(CuttingList!$B$3:$B$202,$B393))</f>
        <v/>
      </c>
      <c r="E393" s="4" t="str">
        <f>IF($B393="","",INDEX(CuttingList!$C$3:$C$202,$B393))</f>
        <v/>
      </c>
      <c r="F393" s="3" t="str">
        <f>IF($B393="","",INDEX(CuttingList!$E$3:$E$202,$B393))</f>
        <v/>
      </c>
      <c r="G393" s="4" t="str">
        <f t="shared" si="18"/>
        <v/>
      </c>
      <c r="H393" s="4" t="str">
        <f t="shared" si="19"/>
        <v/>
      </c>
      <c r="I393" s="4" t="str">
        <f t="shared" si="20"/>
        <v/>
      </c>
    </row>
    <row r="394" spans="1:9" x14ac:dyDescent="0.2">
      <c r="A394" s="4">
        <v>392</v>
      </c>
      <c r="B394" s="4" t="str">
        <f>IF($A394&gt;MAX(CuttingList!$I$3:$I$202),"",MATCH($A394,CuttingList!$H$3:$H$202,1))</f>
        <v/>
      </c>
      <c r="C394" s="3" t="str">
        <f>IF($B394="","",INDEX(CuttingList!$A$3:$A$202,$B394))</f>
        <v/>
      </c>
      <c r="D394" s="4" t="str">
        <f>IF($B394="","",INDEX(CuttingList!$B$3:$B$202,$B394))</f>
        <v/>
      </c>
      <c r="E394" s="4" t="str">
        <f>IF($B394="","",INDEX(CuttingList!$C$3:$C$202,$B394))</f>
        <v/>
      </c>
      <c r="F394" s="3" t="str">
        <f>IF($B394="","",INDEX(CuttingList!$E$3:$E$202,$B394))</f>
        <v/>
      </c>
      <c r="G394" s="4" t="str">
        <f t="shared" si="18"/>
        <v/>
      </c>
      <c r="H394" s="4" t="str">
        <f t="shared" si="19"/>
        <v/>
      </c>
      <c r="I394" s="4" t="str">
        <f t="shared" si="20"/>
        <v/>
      </c>
    </row>
    <row r="395" spans="1:9" x14ac:dyDescent="0.2">
      <c r="A395" s="4">
        <v>393</v>
      </c>
      <c r="B395" s="4" t="str">
        <f>IF($A395&gt;MAX(CuttingList!$I$3:$I$202),"",MATCH($A395,CuttingList!$H$3:$H$202,1))</f>
        <v/>
      </c>
      <c r="C395" s="3" t="str">
        <f>IF($B395="","",INDEX(CuttingList!$A$3:$A$202,$B395))</f>
        <v/>
      </c>
      <c r="D395" s="4" t="str">
        <f>IF($B395="","",INDEX(CuttingList!$B$3:$B$202,$B395))</f>
        <v/>
      </c>
      <c r="E395" s="4" t="str">
        <f>IF($B395="","",INDEX(CuttingList!$C$3:$C$202,$B395))</f>
        <v/>
      </c>
      <c r="F395" s="3" t="str">
        <f>IF($B395="","",INDEX(CuttingList!$E$3:$E$202,$B395))</f>
        <v/>
      </c>
      <c r="G395" s="4" t="str">
        <f t="shared" si="18"/>
        <v/>
      </c>
      <c r="H395" s="4" t="str">
        <f t="shared" si="19"/>
        <v/>
      </c>
      <c r="I395" s="4" t="str">
        <f t="shared" si="20"/>
        <v/>
      </c>
    </row>
    <row r="396" spans="1:9" x14ac:dyDescent="0.2">
      <c r="A396" s="4">
        <v>394</v>
      </c>
      <c r="B396" s="4" t="str">
        <f>IF($A396&gt;MAX(CuttingList!$I$3:$I$202),"",MATCH($A396,CuttingList!$H$3:$H$202,1))</f>
        <v/>
      </c>
      <c r="C396" s="3" t="str">
        <f>IF($B396="","",INDEX(CuttingList!$A$3:$A$202,$B396))</f>
        <v/>
      </c>
      <c r="D396" s="4" t="str">
        <f>IF($B396="","",INDEX(CuttingList!$B$3:$B$202,$B396))</f>
        <v/>
      </c>
      <c r="E396" s="4" t="str">
        <f>IF($B396="","",INDEX(CuttingList!$C$3:$C$202,$B396))</f>
        <v/>
      </c>
      <c r="F396" s="3" t="str">
        <f>IF($B396="","",INDEX(CuttingList!$E$3:$E$202,$B396))</f>
        <v/>
      </c>
      <c r="G396" s="4" t="str">
        <f t="shared" si="18"/>
        <v/>
      </c>
      <c r="H396" s="4" t="str">
        <f t="shared" si="19"/>
        <v/>
      </c>
      <c r="I396" s="4" t="str">
        <f t="shared" si="20"/>
        <v/>
      </c>
    </row>
    <row r="397" spans="1:9" x14ac:dyDescent="0.2">
      <c r="A397" s="4">
        <v>395</v>
      </c>
      <c r="B397" s="4" t="str">
        <f>IF($A397&gt;MAX(CuttingList!$I$3:$I$202),"",MATCH($A397,CuttingList!$H$3:$H$202,1))</f>
        <v/>
      </c>
      <c r="C397" s="3" t="str">
        <f>IF($B397="","",INDEX(CuttingList!$A$3:$A$202,$B397))</f>
        <v/>
      </c>
      <c r="D397" s="4" t="str">
        <f>IF($B397="","",INDEX(CuttingList!$B$3:$B$202,$B397))</f>
        <v/>
      </c>
      <c r="E397" s="4" t="str">
        <f>IF($B397="","",INDEX(CuttingList!$C$3:$C$202,$B397))</f>
        <v/>
      </c>
      <c r="F397" s="3" t="str">
        <f>IF($B397="","",INDEX(CuttingList!$E$3:$E$202,$B397))</f>
        <v/>
      </c>
      <c r="G397" s="4" t="str">
        <f t="shared" si="18"/>
        <v/>
      </c>
      <c r="H397" s="4" t="str">
        <f t="shared" si="19"/>
        <v/>
      </c>
      <c r="I397" s="4" t="str">
        <f t="shared" si="20"/>
        <v/>
      </c>
    </row>
    <row r="398" spans="1:9" x14ac:dyDescent="0.2">
      <c r="A398" s="4">
        <v>396</v>
      </c>
      <c r="B398" s="4" t="str">
        <f>IF($A398&gt;MAX(CuttingList!$I$3:$I$202),"",MATCH($A398,CuttingList!$H$3:$H$202,1))</f>
        <v/>
      </c>
      <c r="C398" s="3" t="str">
        <f>IF($B398="","",INDEX(CuttingList!$A$3:$A$202,$B398))</f>
        <v/>
      </c>
      <c r="D398" s="4" t="str">
        <f>IF($B398="","",INDEX(CuttingList!$B$3:$B$202,$B398))</f>
        <v/>
      </c>
      <c r="E398" s="4" t="str">
        <f>IF($B398="","",INDEX(CuttingList!$C$3:$C$202,$B398))</f>
        <v/>
      </c>
      <c r="F398" s="3" t="str">
        <f>IF($B398="","",INDEX(CuttingList!$E$3:$E$202,$B398))</f>
        <v/>
      </c>
      <c r="G398" s="4" t="str">
        <f t="shared" si="18"/>
        <v/>
      </c>
      <c r="H398" s="4" t="str">
        <f t="shared" si="19"/>
        <v/>
      </c>
      <c r="I398" s="4" t="str">
        <f t="shared" si="20"/>
        <v/>
      </c>
    </row>
    <row r="399" spans="1:9" x14ac:dyDescent="0.2">
      <c r="A399" s="4">
        <v>397</v>
      </c>
      <c r="B399" s="4" t="str">
        <f>IF($A399&gt;MAX(CuttingList!$I$3:$I$202),"",MATCH($A399,CuttingList!$H$3:$H$202,1))</f>
        <v/>
      </c>
      <c r="C399" s="3" t="str">
        <f>IF($B399="","",INDEX(CuttingList!$A$3:$A$202,$B399))</f>
        <v/>
      </c>
      <c r="D399" s="4" t="str">
        <f>IF($B399="","",INDEX(CuttingList!$B$3:$B$202,$B399))</f>
        <v/>
      </c>
      <c r="E399" s="4" t="str">
        <f>IF($B399="","",INDEX(CuttingList!$C$3:$C$202,$B399))</f>
        <v/>
      </c>
      <c r="F399" s="3" t="str">
        <f>IF($B399="","",INDEX(CuttingList!$E$3:$E$202,$B399))</f>
        <v/>
      </c>
      <c r="G399" s="4" t="str">
        <f t="shared" si="18"/>
        <v/>
      </c>
      <c r="H399" s="4" t="str">
        <f t="shared" si="19"/>
        <v/>
      </c>
      <c r="I399" s="4" t="str">
        <f t="shared" si="20"/>
        <v/>
      </c>
    </row>
    <row r="400" spans="1:9" x14ac:dyDescent="0.2">
      <c r="A400" s="4">
        <v>398</v>
      </c>
      <c r="B400" s="4" t="str">
        <f>IF($A400&gt;MAX(CuttingList!$I$3:$I$202),"",MATCH($A400,CuttingList!$H$3:$H$202,1))</f>
        <v/>
      </c>
      <c r="C400" s="3" t="str">
        <f>IF($B400="","",INDEX(CuttingList!$A$3:$A$202,$B400))</f>
        <v/>
      </c>
      <c r="D400" s="4" t="str">
        <f>IF($B400="","",INDEX(CuttingList!$B$3:$B$202,$B400))</f>
        <v/>
      </c>
      <c r="E400" s="4" t="str">
        <f>IF($B400="","",INDEX(CuttingList!$C$3:$C$202,$B400))</f>
        <v/>
      </c>
      <c r="F400" s="3" t="str">
        <f>IF($B400="","",INDEX(CuttingList!$E$3:$E$202,$B400))</f>
        <v/>
      </c>
      <c r="G400" s="4" t="str">
        <f t="shared" si="18"/>
        <v/>
      </c>
      <c r="H400" s="4" t="str">
        <f t="shared" si="19"/>
        <v/>
      </c>
      <c r="I400" s="4" t="str">
        <f t="shared" si="20"/>
        <v/>
      </c>
    </row>
    <row r="401" spans="1:9" x14ac:dyDescent="0.2">
      <c r="A401" s="4">
        <v>399</v>
      </c>
      <c r="B401" s="4" t="str">
        <f>IF($A401&gt;MAX(CuttingList!$I$3:$I$202),"",MATCH($A401,CuttingList!$H$3:$H$202,1))</f>
        <v/>
      </c>
      <c r="C401" s="3" t="str">
        <f>IF($B401="","",INDEX(CuttingList!$A$3:$A$202,$B401))</f>
        <v/>
      </c>
      <c r="D401" s="4" t="str">
        <f>IF($B401="","",INDEX(CuttingList!$B$3:$B$202,$B401))</f>
        <v/>
      </c>
      <c r="E401" s="4" t="str">
        <f>IF($B401="","",INDEX(CuttingList!$C$3:$C$202,$B401))</f>
        <v/>
      </c>
      <c r="F401" s="3" t="str">
        <f>IF($B401="","",INDEX(CuttingList!$E$3:$E$202,$B401))</f>
        <v/>
      </c>
      <c r="G401" s="4" t="str">
        <f t="shared" si="18"/>
        <v/>
      </c>
      <c r="H401" s="4" t="str">
        <f t="shared" si="19"/>
        <v/>
      </c>
      <c r="I401" s="4" t="str">
        <f t="shared" si="20"/>
        <v/>
      </c>
    </row>
    <row r="402" spans="1:9" x14ac:dyDescent="0.2">
      <c r="A402" s="4">
        <v>400</v>
      </c>
      <c r="B402" s="4" t="str">
        <f>IF($A402&gt;MAX(CuttingList!$I$3:$I$202),"",MATCH($A402,CuttingList!$H$3:$H$202,1))</f>
        <v/>
      </c>
      <c r="C402" s="3" t="str">
        <f>IF($B402="","",INDEX(CuttingList!$A$3:$A$202,$B402))</f>
        <v/>
      </c>
      <c r="D402" s="4" t="str">
        <f>IF($B402="","",INDEX(CuttingList!$B$3:$B$202,$B402))</f>
        <v/>
      </c>
      <c r="E402" s="4" t="str">
        <f>IF($B402="","",INDEX(CuttingList!$C$3:$C$202,$B402))</f>
        <v/>
      </c>
      <c r="F402" s="3" t="str">
        <f>IF($B402="","",INDEX(CuttingList!$E$3:$E$202,$B402))</f>
        <v/>
      </c>
      <c r="G402" s="4" t="str">
        <f t="shared" si="18"/>
        <v/>
      </c>
      <c r="H402" s="4" t="str">
        <f t="shared" si="19"/>
        <v/>
      </c>
      <c r="I402" s="4" t="str">
        <f t="shared" si="20"/>
        <v/>
      </c>
    </row>
  </sheetData>
  <mergeCells count="1">
    <mergeCell ref="A1:I1"/>
  </mergeCells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2"/>
  <sheetViews>
    <sheetView showGridLines="0" workbookViewId="0">
      <pane ySplit="2" topLeftCell="A3" activePane="bottomLeft" state="frozen"/>
      <selection pane="bottomLeft" activeCell="C35" sqref="C35"/>
    </sheetView>
  </sheetViews>
  <sheetFormatPr baseColWidth="10" defaultColWidth="8.83203125" defaultRowHeight="15" x14ac:dyDescent="0.2"/>
  <cols>
    <col min="1" max="1" width="8.5" customWidth="1"/>
    <col min="2" max="4" width="11.33203125" customWidth="1"/>
    <col min="5" max="5" width="12.83203125" bestFit="1" customWidth="1"/>
    <col min="6" max="7" width="11.33203125" customWidth="1"/>
    <col min="8" max="8" width="13.5" bestFit="1" customWidth="1"/>
  </cols>
  <sheetData>
    <row r="1" spans="1:8" ht="24" customHeight="1" x14ac:dyDescent="0.2">
      <c r="A1" s="36" t="s">
        <v>59</v>
      </c>
      <c r="B1" s="29"/>
      <c r="C1" s="29"/>
      <c r="D1" s="29"/>
      <c r="E1" s="29"/>
      <c r="F1" s="29"/>
      <c r="G1" s="29"/>
      <c r="H1" s="29"/>
    </row>
    <row r="2" spans="1:8" x14ac:dyDescent="0.2">
      <c r="A2" s="15" t="s">
        <v>33</v>
      </c>
      <c r="B2" s="15" t="s">
        <v>14</v>
      </c>
      <c r="C2" s="15" t="s">
        <v>28</v>
      </c>
      <c r="D2" s="15" t="s">
        <v>29</v>
      </c>
      <c r="E2" s="15" t="s">
        <v>30</v>
      </c>
      <c r="F2" s="15" t="s">
        <v>23</v>
      </c>
      <c r="G2" s="15" t="s">
        <v>31</v>
      </c>
      <c r="H2" s="15" t="s">
        <v>32</v>
      </c>
    </row>
    <row r="3" spans="1:8" x14ac:dyDescent="0.2">
      <c r="A3" s="4">
        <v>1</v>
      </c>
      <c r="B3" s="3" t="str">
        <f>IF(Pieces!$C3="","",Pieces!$C3)</f>
        <v/>
      </c>
      <c r="C3" s="4" t="str">
        <f>IF(Pieces!$D3="","",Pieces!$D3)</f>
        <v/>
      </c>
      <c r="D3" s="4" t="str">
        <f>IF(Pieces!$E3="","",Pieces!$E3)</f>
        <v/>
      </c>
      <c r="E3" s="3" t="str">
        <f>IF(Pieces!$F3="","",Pieces!$F3)</f>
        <v/>
      </c>
      <c r="F3" s="4" t="str">
        <f>IF(Pieces!$G3="","",Pieces!$G3)</f>
        <v/>
      </c>
      <c r="G3" s="4" t="str">
        <f>IF(Pieces!$H3="","",Pieces!$H3)</f>
        <v/>
      </c>
      <c r="H3" s="4" t="str">
        <f>IF(Pieces!$I3="","",Pieces!$I3)</f>
        <v/>
      </c>
    </row>
    <row r="4" spans="1:8" x14ac:dyDescent="0.2">
      <c r="A4" s="4">
        <v>2</v>
      </c>
      <c r="B4" s="3" t="str">
        <f>IF(Pieces!$C5="","",Pieces!$C5)</f>
        <v/>
      </c>
      <c r="C4" s="4" t="str">
        <f>IF(Pieces!$D5="","",Pieces!$D5)</f>
        <v/>
      </c>
      <c r="D4" s="4" t="str">
        <f>IF(Pieces!$E5="","",Pieces!$E5)</f>
        <v/>
      </c>
      <c r="E4" s="3" t="str">
        <f>IF(Pieces!$F5="","",Pieces!$F5)</f>
        <v/>
      </c>
      <c r="F4" s="4" t="str">
        <f>IF(Pieces!$G5="","",Pieces!$G5)</f>
        <v/>
      </c>
      <c r="G4" s="4" t="str">
        <f>IF(Pieces!$H5="","",Pieces!$H5)</f>
        <v/>
      </c>
      <c r="H4" s="4" t="str">
        <f>IF(Pieces!$I5="","",Pieces!$I5)</f>
        <v/>
      </c>
    </row>
    <row r="5" spans="1:8" x14ac:dyDescent="0.2">
      <c r="A5" s="4">
        <v>3</v>
      </c>
      <c r="B5" s="3" t="str">
        <f>IF(Pieces!$C6="","",Pieces!$C6)</f>
        <v/>
      </c>
      <c r="C5" s="4" t="str">
        <f>IF(Pieces!$D6="","",Pieces!$D6)</f>
        <v/>
      </c>
      <c r="D5" s="4" t="str">
        <f>IF(Pieces!$E6="","",Pieces!$E6)</f>
        <v/>
      </c>
      <c r="E5" s="3" t="str">
        <f>IF(Pieces!$F6="","",Pieces!$F6)</f>
        <v/>
      </c>
      <c r="F5" s="4" t="str">
        <f>IF(Pieces!$G6="","",Pieces!$G6)</f>
        <v/>
      </c>
      <c r="G5" s="4" t="str">
        <f>IF(Pieces!$H6="","",Pieces!$H6)</f>
        <v/>
      </c>
      <c r="H5" s="4" t="str">
        <f>IF(Pieces!$I6="","",Pieces!$I6)</f>
        <v/>
      </c>
    </row>
    <row r="6" spans="1:8" x14ac:dyDescent="0.2">
      <c r="A6" s="4">
        <v>4</v>
      </c>
      <c r="B6" s="3" t="str">
        <f>IF(Pieces!$C7="","",Pieces!$C7)</f>
        <v/>
      </c>
      <c r="C6" s="4" t="str">
        <f>IF(Pieces!$D7="","",Pieces!$D7)</f>
        <v/>
      </c>
      <c r="D6" s="4" t="str">
        <f>IF(Pieces!$E7="","",Pieces!$E7)</f>
        <v/>
      </c>
      <c r="E6" s="3" t="str">
        <f>IF(Pieces!$F7="","",Pieces!$F7)</f>
        <v/>
      </c>
      <c r="F6" s="4" t="str">
        <f>IF(Pieces!$G7="","",Pieces!$G7)</f>
        <v/>
      </c>
      <c r="G6" s="4" t="str">
        <f>IF(Pieces!$H7="","",Pieces!$H7)</f>
        <v/>
      </c>
      <c r="H6" s="4" t="str">
        <f>IF(Pieces!$I7="","",Pieces!$I7)</f>
        <v/>
      </c>
    </row>
    <row r="7" spans="1:8" x14ac:dyDescent="0.2">
      <c r="A7" s="4">
        <v>5</v>
      </c>
      <c r="B7" s="3" t="str">
        <f>IF(Pieces!$C8="","",Pieces!$C8)</f>
        <v/>
      </c>
      <c r="C7" s="4" t="str">
        <f>IF(Pieces!$D8="","",Pieces!$D8)</f>
        <v/>
      </c>
      <c r="D7" s="4" t="str">
        <f>IF(Pieces!$E8="","",Pieces!$E8)</f>
        <v/>
      </c>
      <c r="E7" s="3" t="str">
        <f>IF(Pieces!$F8="","",Pieces!$F8)</f>
        <v/>
      </c>
      <c r="F7" s="4" t="str">
        <f>IF(Pieces!$G8="","",Pieces!$G8)</f>
        <v/>
      </c>
      <c r="G7" s="4" t="str">
        <f>IF(Pieces!$H8="","",Pieces!$H8)</f>
        <v/>
      </c>
      <c r="H7" s="4" t="str">
        <f>IF(Pieces!$I8="","",Pieces!$I8)</f>
        <v/>
      </c>
    </row>
    <row r="8" spans="1:8" x14ac:dyDescent="0.2">
      <c r="A8" s="4">
        <v>6</v>
      </c>
      <c r="B8" s="3" t="str">
        <f>IF(Pieces!$C9="","",Pieces!$C9)</f>
        <v/>
      </c>
      <c r="C8" s="4" t="str">
        <f>IF(Pieces!$D9="","",Pieces!$D9)</f>
        <v/>
      </c>
      <c r="D8" s="4" t="str">
        <f>IF(Pieces!$E9="","",Pieces!$E9)</f>
        <v/>
      </c>
      <c r="E8" s="3" t="str">
        <f>IF(Pieces!$F9="","",Pieces!$F9)</f>
        <v/>
      </c>
      <c r="F8" s="4" t="str">
        <f>IF(Pieces!$G9="","",Pieces!$G9)</f>
        <v/>
      </c>
      <c r="G8" s="4" t="str">
        <f>IF(Pieces!$H9="","",Pieces!$H9)</f>
        <v/>
      </c>
      <c r="H8" s="4" t="str">
        <f>IF(Pieces!$I9="","",Pieces!$I9)</f>
        <v/>
      </c>
    </row>
    <row r="9" spans="1:8" x14ac:dyDescent="0.2">
      <c r="A9" s="4">
        <v>7</v>
      </c>
      <c r="B9" s="3" t="str">
        <f>IF(Pieces!$C4="","",Pieces!$C4)</f>
        <v/>
      </c>
      <c r="C9" s="4" t="str">
        <f>IF(Pieces!$D4="","",Pieces!$D4)</f>
        <v/>
      </c>
      <c r="D9" s="4" t="str">
        <f>IF(Pieces!$E4="","",Pieces!$E4)</f>
        <v/>
      </c>
      <c r="E9" s="3" t="str">
        <f>IF(Pieces!$F4="","",Pieces!$F4)</f>
        <v/>
      </c>
      <c r="F9" s="4" t="str">
        <f>IF(Pieces!$G4="","",Pieces!$G4)</f>
        <v/>
      </c>
      <c r="G9" s="4" t="str">
        <f>IF(Pieces!$H4="","",Pieces!$H4)</f>
        <v/>
      </c>
      <c r="H9" s="4" t="str">
        <f>IF(Pieces!$I4="","",Pieces!$I4)</f>
        <v/>
      </c>
    </row>
    <row r="10" spans="1:8" x14ac:dyDescent="0.2">
      <c r="A10" s="4">
        <v>8</v>
      </c>
      <c r="B10" s="3" t="str">
        <f>IF(Pieces!$C12="","",Pieces!$C12)</f>
        <v/>
      </c>
      <c r="C10" s="4" t="str">
        <f>IF(Pieces!$D12="","",Pieces!$D12)</f>
        <v/>
      </c>
      <c r="D10" s="4" t="str">
        <f>IF(Pieces!$E12="","",Pieces!$E12)</f>
        <v/>
      </c>
      <c r="E10" s="3" t="str">
        <f>IF(Pieces!$F12="","",Pieces!$F12)</f>
        <v/>
      </c>
      <c r="F10" s="4" t="str">
        <f>IF(Pieces!$G12="","",Pieces!$G12)</f>
        <v/>
      </c>
      <c r="G10" s="4" t="str">
        <f>IF(Pieces!$H12="","",Pieces!$H12)</f>
        <v/>
      </c>
      <c r="H10" s="4" t="str">
        <f>IF(Pieces!$I12="","",Pieces!$I12)</f>
        <v/>
      </c>
    </row>
    <row r="11" spans="1:8" x14ac:dyDescent="0.2">
      <c r="A11" s="4">
        <v>9</v>
      </c>
      <c r="B11" s="3" t="str">
        <f>IF(Pieces!$C13="","",Pieces!$C13)</f>
        <v/>
      </c>
      <c r="C11" s="4" t="str">
        <f>IF(Pieces!$D13="","",Pieces!$D13)</f>
        <v/>
      </c>
      <c r="D11" s="4" t="str">
        <f>IF(Pieces!$E13="","",Pieces!$E13)</f>
        <v/>
      </c>
      <c r="E11" s="3" t="str">
        <f>IF(Pieces!$F13="","",Pieces!$F13)</f>
        <v/>
      </c>
      <c r="F11" s="4" t="str">
        <f>IF(Pieces!$G13="","",Pieces!$G13)</f>
        <v/>
      </c>
      <c r="G11" s="4" t="str">
        <f>IF(Pieces!$H13="","",Pieces!$H13)</f>
        <v/>
      </c>
      <c r="H11" s="4" t="str">
        <f>IF(Pieces!$I13="","",Pieces!$I13)</f>
        <v/>
      </c>
    </row>
    <row r="12" spans="1:8" x14ac:dyDescent="0.2">
      <c r="A12" s="4">
        <v>10</v>
      </c>
      <c r="B12" s="3" t="str">
        <f>IF(Pieces!$C14="","",Pieces!$C14)</f>
        <v/>
      </c>
      <c r="C12" s="4" t="str">
        <f>IF(Pieces!$D14="","",Pieces!$D14)</f>
        <v/>
      </c>
      <c r="D12" s="4" t="str">
        <f>IF(Pieces!$E14="","",Pieces!$E14)</f>
        <v/>
      </c>
      <c r="E12" s="3" t="str">
        <f>IF(Pieces!$F14="","",Pieces!$F14)</f>
        <v/>
      </c>
      <c r="F12" s="4" t="str">
        <f>IF(Pieces!$G14="","",Pieces!$G14)</f>
        <v/>
      </c>
      <c r="G12" s="4" t="str">
        <f>IF(Pieces!$H14="","",Pieces!$H14)</f>
        <v/>
      </c>
      <c r="H12" s="4" t="str">
        <f>IF(Pieces!$I14="","",Pieces!$I14)</f>
        <v/>
      </c>
    </row>
    <row r="13" spans="1:8" x14ac:dyDescent="0.2">
      <c r="A13" s="4">
        <v>11</v>
      </c>
      <c r="B13" s="3" t="str">
        <f>IF(Pieces!$C15="","",Pieces!$C15)</f>
        <v/>
      </c>
      <c r="C13" s="4" t="str">
        <f>IF(Pieces!$D15="","",Pieces!$D15)</f>
        <v/>
      </c>
      <c r="D13" s="4" t="str">
        <f>IF(Pieces!$E15="","",Pieces!$E15)</f>
        <v/>
      </c>
      <c r="E13" s="3" t="str">
        <f>IF(Pieces!$F15="","",Pieces!$F15)</f>
        <v/>
      </c>
      <c r="F13" s="4" t="str">
        <f>IF(Pieces!$G15="","",Pieces!$G15)</f>
        <v/>
      </c>
      <c r="G13" s="4" t="str">
        <f>IF(Pieces!$H15="","",Pieces!$H15)</f>
        <v/>
      </c>
      <c r="H13" s="4" t="str">
        <f>IF(Pieces!$I15="","",Pieces!$I15)</f>
        <v/>
      </c>
    </row>
    <row r="14" spans="1:8" x14ac:dyDescent="0.2">
      <c r="A14" s="4">
        <v>12</v>
      </c>
      <c r="B14" s="3" t="str">
        <f>IF(Pieces!$C16="","",Pieces!$C16)</f>
        <v/>
      </c>
      <c r="C14" s="4" t="str">
        <f>IF(Pieces!$D16="","",Pieces!$D16)</f>
        <v/>
      </c>
      <c r="D14" s="4" t="str">
        <f>IF(Pieces!$E16="","",Pieces!$E16)</f>
        <v/>
      </c>
      <c r="E14" s="3" t="str">
        <f>IF(Pieces!$F16="","",Pieces!$F16)</f>
        <v/>
      </c>
      <c r="F14" s="4" t="str">
        <f>IF(Pieces!$G16="","",Pieces!$G16)</f>
        <v/>
      </c>
      <c r="G14" s="4" t="str">
        <f>IF(Pieces!$H16="","",Pieces!$H16)</f>
        <v/>
      </c>
      <c r="H14" s="4" t="str">
        <f>IF(Pieces!$I16="","",Pieces!$I16)</f>
        <v/>
      </c>
    </row>
    <row r="15" spans="1:8" x14ac:dyDescent="0.2">
      <c r="A15" s="4">
        <v>13</v>
      </c>
      <c r="B15" s="3" t="str">
        <f>IF(Pieces!$C10="","",Pieces!$C10)</f>
        <v/>
      </c>
      <c r="C15" s="4" t="str">
        <f>IF(Pieces!$D10="","",Pieces!$D10)</f>
        <v/>
      </c>
      <c r="D15" s="4" t="str">
        <f>IF(Pieces!$E10="","",Pieces!$E10)</f>
        <v/>
      </c>
      <c r="E15" s="3" t="str">
        <f>IF(Pieces!$F10="","",Pieces!$F10)</f>
        <v/>
      </c>
      <c r="F15" s="4" t="str">
        <f>IF(Pieces!$G10="","",Pieces!$G10)</f>
        <v/>
      </c>
      <c r="G15" s="4" t="str">
        <f>IF(Pieces!$H10="","",Pieces!$H10)</f>
        <v/>
      </c>
      <c r="H15" s="4" t="str">
        <f>IF(Pieces!$I10="","",Pieces!$I10)</f>
        <v/>
      </c>
    </row>
    <row r="16" spans="1:8" x14ac:dyDescent="0.2">
      <c r="A16" s="4">
        <v>14</v>
      </c>
      <c r="B16" s="3" t="str">
        <f>IF(Pieces!$C11="","",Pieces!$C11)</f>
        <v/>
      </c>
      <c r="C16" s="4" t="str">
        <f>IF(Pieces!$D11="","",Pieces!$D11)</f>
        <v/>
      </c>
      <c r="D16" s="4" t="str">
        <f>IF(Pieces!$E11="","",Pieces!$E11)</f>
        <v/>
      </c>
      <c r="E16" s="3" t="str">
        <f>IF(Pieces!$F11="","",Pieces!$F11)</f>
        <v/>
      </c>
      <c r="F16" s="4" t="str">
        <f>IF(Pieces!$G11="","",Pieces!$G11)</f>
        <v/>
      </c>
      <c r="G16" s="4" t="str">
        <f>IF(Pieces!$H11="","",Pieces!$H11)</f>
        <v/>
      </c>
      <c r="H16" s="4" t="str">
        <f>IF(Pieces!$I11="","",Pieces!$I11)</f>
        <v/>
      </c>
    </row>
    <row r="17" spans="1:8" x14ac:dyDescent="0.2">
      <c r="A17" s="4">
        <v>15</v>
      </c>
      <c r="B17" s="3" t="str">
        <f>IF(Pieces!$C17="","",Pieces!$C17)</f>
        <v/>
      </c>
      <c r="C17" s="4" t="str">
        <f>IF(Pieces!$D17="","",Pieces!$D17)</f>
        <v/>
      </c>
      <c r="D17" s="4" t="str">
        <f>IF(Pieces!$E17="","",Pieces!$E17)</f>
        <v/>
      </c>
      <c r="E17" s="3" t="str">
        <f>IF(Pieces!$F17="","",Pieces!$F17)</f>
        <v/>
      </c>
      <c r="F17" s="4" t="str">
        <f>IF(Pieces!$G17="","",Pieces!$G17)</f>
        <v/>
      </c>
      <c r="G17" s="4" t="str">
        <f>IF(Pieces!$H17="","",Pieces!$H17)</f>
        <v/>
      </c>
      <c r="H17" s="4" t="str">
        <f>IF(Pieces!$I17="","",Pieces!$I17)</f>
        <v/>
      </c>
    </row>
    <row r="18" spans="1:8" x14ac:dyDescent="0.2">
      <c r="A18" s="4">
        <v>16</v>
      </c>
      <c r="B18" s="3" t="str">
        <f>IF(Pieces!$C18="","",Pieces!$C18)</f>
        <v/>
      </c>
      <c r="C18" s="4" t="str">
        <f>IF(Pieces!$D18="","",Pieces!$D18)</f>
        <v/>
      </c>
      <c r="D18" s="4" t="str">
        <f>IF(Pieces!$E18="","",Pieces!$E18)</f>
        <v/>
      </c>
      <c r="E18" s="3" t="str">
        <f>IF(Pieces!$F18="","",Pieces!$F18)</f>
        <v/>
      </c>
      <c r="F18" s="4" t="str">
        <f>IF(Pieces!$G18="","",Pieces!$G18)</f>
        <v/>
      </c>
      <c r="G18" s="4" t="str">
        <f>IF(Pieces!$H18="","",Pieces!$H18)</f>
        <v/>
      </c>
      <c r="H18" s="4" t="str">
        <f>IF(Pieces!$I18="","",Pieces!$I18)</f>
        <v/>
      </c>
    </row>
    <row r="19" spans="1:8" x14ac:dyDescent="0.2">
      <c r="A19" s="4">
        <v>17</v>
      </c>
      <c r="B19" s="3" t="str">
        <f>IF(Pieces!$C19="","",Pieces!$C19)</f>
        <v/>
      </c>
      <c r="C19" s="4" t="str">
        <f>IF(Pieces!$D19="","",Pieces!$D19)</f>
        <v/>
      </c>
      <c r="D19" s="4" t="str">
        <f>IF(Pieces!$E19="","",Pieces!$E19)</f>
        <v/>
      </c>
      <c r="E19" s="3" t="str">
        <f>IF(Pieces!$F19="","",Pieces!$F19)</f>
        <v/>
      </c>
      <c r="F19" s="4" t="str">
        <f>IF(Pieces!$G19="","",Pieces!$G19)</f>
        <v/>
      </c>
      <c r="G19" s="4" t="str">
        <f>IF(Pieces!$H19="","",Pieces!$H19)</f>
        <v/>
      </c>
      <c r="H19" s="4" t="str">
        <f>IF(Pieces!$I19="","",Pieces!$I19)</f>
        <v/>
      </c>
    </row>
    <row r="20" spans="1:8" x14ac:dyDescent="0.2">
      <c r="A20" s="4">
        <v>18</v>
      </c>
      <c r="B20" s="3" t="str">
        <f>IF(Pieces!$C20="","",Pieces!$C20)</f>
        <v/>
      </c>
      <c r="C20" s="4" t="str">
        <f>IF(Pieces!$D20="","",Pieces!$D20)</f>
        <v/>
      </c>
      <c r="D20" s="4" t="str">
        <f>IF(Pieces!$E20="","",Pieces!$E20)</f>
        <v/>
      </c>
      <c r="E20" s="3" t="str">
        <f>IF(Pieces!$F20="","",Pieces!$F20)</f>
        <v/>
      </c>
      <c r="F20" s="4" t="str">
        <f>IF(Pieces!$G20="","",Pieces!$G20)</f>
        <v/>
      </c>
      <c r="G20" s="4" t="str">
        <f>IF(Pieces!$H20="","",Pieces!$H20)</f>
        <v/>
      </c>
      <c r="H20" s="4" t="str">
        <f>IF(Pieces!$I20="","",Pieces!$I20)</f>
        <v/>
      </c>
    </row>
    <row r="21" spans="1:8" x14ac:dyDescent="0.2">
      <c r="A21" s="4">
        <v>19</v>
      </c>
      <c r="B21" s="3" t="str">
        <f>IF(Pieces!$C21="","",Pieces!$C21)</f>
        <v/>
      </c>
      <c r="C21" s="4" t="str">
        <f>IF(Pieces!$D21="","",Pieces!$D21)</f>
        <v/>
      </c>
      <c r="D21" s="4" t="str">
        <f>IF(Pieces!$E21="","",Pieces!$E21)</f>
        <v/>
      </c>
      <c r="E21" s="3" t="str">
        <f>IF(Pieces!$F21="","",Pieces!$F21)</f>
        <v/>
      </c>
      <c r="F21" s="4" t="str">
        <f>IF(Pieces!$G21="","",Pieces!$G21)</f>
        <v/>
      </c>
      <c r="G21" s="4" t="str">
        <f>IF(Pieces!$H21="","",Pieces!$H21)</f>
        <v/>
      </c>
      <c r="H21" s="4" t="str">
        <f>IF(Pieces!$I21="","",Pieces!$I21)</f>
        <v/>
      </c>
    </row>
    <row r="22" spans="1:8" x14ac:dyDescent="0.2">
      <c r="A22" s="4">
        <v>20</v>
      </c>
      <c r="B22" s="3" t="str">
        <f>IF(Pieces!$C22="","",Pieces!$C22)</f>
        <v/>
      </c>
      <c r="C22" s="4" t="str">
        <f>IF(Pieces!$D22="","",Pieces!$D22)</f>
        <v/>
      </c>
      <c r="D22" s="4" t="str">
        <f>IF(Pieces!$E22="","",Pieces!$E22)</f>
        <v/>
      </c>
      <c r="E22" s="3" t="str">
        <f>IF(Pieces!$F22="","",Pieces!$F22)</f>
        <v/>
      </c>
      <c r="F22" s="4" t="str">
        <f>IF(Pieces!$G22="","",Pieces!$G22)</f>
        <v/>
      </c>
      <c r="G22" s="4" t="str">
        <f>IF(Pieces!$H22="","",Pieces!$H22)</f>
        <v/>
      </c>
      <c r="H22" s="4" t="str">
        <f>IF(Pieces!$I22="","",Pieces!$I22)</f>
        <v/>
      </c>
    </row>
    <row r="23" spans="1:8" x14ac:dyDescent="0.2">
      <c r="A23" s="4">
        <v>21</v>
      </c>
      <c r="B23" s="3" t="str">
        <f>IF(Pieces!$C23="","",Pieces!$C23)</f>
        <v/>
      </c>
      <c r="C23" s="4" t="str">
        <f>IF(Pieces!$D23="","",Pieces!$D23)</f>
        <v/>
      </c>
      <c r="D23" s="4" t="str">
        <f>IF(Pieces!$E23="","",Pieces!$E23)</f>
        <v/>
      </c>
      <c r="E23" s="3" t="str">
        <f>IF(Pieces!$F23="","",Pieces!$F23)</f>
        <v/>
      </c>
      <c r="F23" s="4" t="str">
        <f>IF(Pieces!$G23="","",Pieces!$G23)</f>
        <v/>
      </c>
      <c r="G23" s="4" t="str">
        <f>IF(Pieces!$H23="","",Pieces!$H23)</f>
        <v/>
      </c>
      <c r="H23" s="4" t="str">
        <f>IF(Pieces!$I23="","",Pieces!$I23)</f>
        <v/>
      </c>
    </row>
    <row r="24" spans="1:8" x14ac:dyDescent="0.2">
      <c r="A24" s="4">
        <v>22</v>
      </c>
      <c r="B24" s="3" t="str">
        <f>IF(Pieces!$C24="","",Pieces!$C24)</f>
        <v/>
      </c>
      <c r="C24" s="4" t="str">
        <f>IF(Pieces!$D24="","",Pieces!$D24)</f>
        <v/>
      </c>
      <c r="D24" s="4" t="str">
        <f>IF(Pieces!$E24="","",Pieces!$E24)</f>
        <v/>
      </c>
      <c r="E24" s="3" t="str">
        <f>IF(Pieces!$F24="","",Pieces!$F24)</f>
        <v/>
      </c>
      <c r="F24" s="4" t="str">
        <f>IF(Pieces!$G24="","",Pieces!$G24)</f>
        <v/>
      </c>
      <c r="G24" s="4" t="str">
        <f>IF(Pieces!$H24="","",Pieces!$H24)</f>
        <v/>
      </c>
      <c r="H24" s="4" t="str">
        <f>IF(Pieces!$I24="","",Pieces!$I24)</f>
        <v/>
      </c>
    </row>
    <row r="25" spans="1:8" x14ac:dyDescent="0.2">
      <c r="A25" s="4">
        <v>23</v>
      </c>
      <c r="B25" s="3" t="str">
        <f>IF(Pieces!$C25="","",Pieces!$C25)</f>
        <v/>
      </c>
      <c r="C25" s="4" t="str">
        <f>IF(Pieces!$D25="","",Pieces!$D25)</f>
        <v/>
      </c>
      <c r="D25" s="4" t="str">
        <f>IF(Pieces!$E25="","",Pieces!$E25)</f>
        <v/>
      </c>
      <c r="E25" s="3" t="str">
        <f>IF(Pieces!$F25="","",Pieces!$F25)</f>
        <v/>
      </c>
      <c r="F25" s="4" t="str">
        <f>IF(Pieces!$G25="","",Pieces!$G25)</f>
        <v/>
      </c>
      <c r="G25" s="4" t="str">
        <f>IF(Pieces!$H25="","",Pieces!$H25)</f>
        <v/>
      </c>
      <c r="H25" s="4" t="str">
        <f>IF(Pieces!$I25="","",Pieces!$I25)</f>
        <v/>
      </c>
    </row>
    <row r="26" spans="1:8" x14ac:dyDescent="0.2">
      <c r="A26" s="4">
        <v>24</v>
      </c>
      <c r="B26" s="3" t="str">
        <f>IF(Pieces!$C26="","",Pieces!$C26)</f>
        <v/>
      </c>
      <c r="C26" s="4" t="str">
        <f>IF(Pieces!$D26="","",Pieces!$D26)</f>
        <v/>
      </c>
      <c r="D26" s="4" t="str">
        <f>IF(Pieces!$E26="","",Pieces!$E26)</f>
        <v/>
      </c>
      <c r="E26" s="3" t="str">
        <f>IF(Pieces!$F26="","",Pieces!$F26)</f>
        <v/>
      </c>
      <c r="F26" s="4" t="str">
        <f>IF(Pieces!$G26="","",Pieces!$G26)</f>
        <v/>
      </c>
      <c r="G26" s="4" t="str">
        <f>IF(Pieces!$H26="","",Pieces!$H26)</f>
        <v/>
      </c>
      <c r="H26" s="4" t="str">
        <f>IF(Pieces!$I26="","",Pieces!$I26)</f>
        <v/>
      </c>
    </row>
    <row r="27" spans="1:8" x14ac:dyDescent="0.2">
      <c r="A27" s="4">
        <v>25</v>
      </c>
      <c r="B27" s="3" t="str">
        <f>IF(Pieces!$C27="","",Pieces!$C27)</f>
        <v/>
      </c>
      <c r="C27" s="4" t="str">
        <f>IF(Pieces!$D27="","",Pieces!$D27)</f>
        <v/>
      </c>
      <c r="D27" s="4" t="str">
        <f>IF(Pieces!$E27="","",Pieces!$E27)</f>
        <v/>
      </c>
      <c r="E27" s="3" t="str">
        <f>IF(Pieces!$F27="","",Pieces!$F27)</f>
        <v/>
      </c>
      <c r="F27" s="4" t="str">
        <f>IF(Pieces!$G27="","",Pieces!$G27)</f>
        <v/>
      </c>
      <c r="G27" s="4" t="str">
        <f>IF(Pieces!$H27="","",Pieces!$H27)</f>
        <v/>
      </c>
      <c r="H27" s="4" t="str">
        <f>IF(Pieces!$I27="","",Pieces!$I27)</f>
        <v/>
      </c>
    </row>
    <row r="28" spans="1:8" x14ac:dyDescent="0.2">
      <c r="A28" s="4">
        <v>26</v>
      </c>
      <c r="B28" s="3" t="str">
        <f>IF(Pieces!$C28="","",Pieces!$C28)</f>
        <v/>
      </c>
      <c r="C28" s="4" t="str">
        <f>IF(Pieces!$D28="","",Pieces!$D28)</f>
        <v/>
      </c>
      <c r="D28" s="4" t="str">
        <f>IF(Pieces!$E28="","",Pieces!$E28)</f>
        <v/>
      </c>
      <c r="E28" s="3" t="str">
        <f>IF(Pieces!$F28="","",Pieces!$F28)</f>
        <v/>
      </c>
      <c r="F28" s="4" t="str">
        <f>IF(Pieces!$G28="","",Pieces!$G28)</f>
        <v/>
      </c>
      <c r="G28" s="4" t="str">
        <f>IF(Pieces!$H28="","",Pieces!$H28)</f>
        <v/>
      </c>
      <c r="H28" s="4" t="str">
        <f>IF(Pieces!$I28="","",Pieces!$I28)</f>
        <v/>
      </c>
    </row>
    <row r="29" spans="1:8" x14ac:dyDescent="0.2">
      <c r="A29" s="4">
        <v>27</v>
      </c>
      <c r="B29" s="3" t="str">
        <f>IF(Pieces!$C29="","",Pieces!$C29)</f>
        <v/>
      </c>
      <c r="C29" s="4" t="str">
        <f>IF(Pieces!$D29="","",Pieces!$D29)</f>
        <v/>
      </c>
      <c r="D29" s="4" t="str">
        <f>IF(Pieces!$E29="","",Pieces!$E29)</f>
        <v/>
      </c>
      <c r="E29" s="3" t="str">
        <f>IF(Pieces!$F29="","",Pieces!$F29)</f>
        <v/>
      </c>
      <c r="F29" s="4" t="str">
        <f>IF(Pieces!$G29="","",Pieces!$G29)</f>
        <v/>
      </c>
      <c r="G29" s="4" t="str">
        <f>IF(Pieces!$H29="","",Pieces!$H29)</f>
        <v/>
      </c>
      <c r="H29" s="4" t="str">
        <f>IF(Pieces!$I29="","",Pieces!$I29)</f>
        <v/>
      </c>
    </row>
    <row r="30" spans="1:8" x14ac:dyDescent="0.2">
      <c r="A30" s="4">
        <v>28</v>
      </c>
      <c r="B30" s="3" t="str">
        <f>IF(Pieces!$C30="","",Pieces!$C30)</f>
        <v/>
      </c>
      <c r="C30" s="4" t="str">
        <f>IF(Pieces!$D30="","",Pieces!$D30)</f>
        <v/>
      </c>
      <c r="D30" s="4" t="str">
        <f>IF(Pieces!$E30="","",Pieces!$E30)</f>
        <v/>
      </c>
      <c r="E30" s="3" t="str">
        <f>IF(Pieces!$F30="","",Pieces!$F30)</f>
        <v/>
      </c>
      <c r="F30" s="4" t="str">
        <f>IF(Pieces!$G30="","",Pieces!$G30)</f>
        <v/>
      </c>
      <c r="G30" s="4" t="str">
        <f>IF(Pieces!$H30="","",Pieces!$H30)</f>
        <v/>
      </c>
      <c r="H30" s="4" t="str">
        <f>IF(Pieces!$I30="","",Pieces!$I30)</f>
        <v/>
      </c>
    </row>
    <row r="31" spans="1:8" x14ac:dyDescent="0.2">
      <c r="A31" s="4">
        <v>29</v>
      </c>
      <c r="B31" s="3" t="str">
        <f>IF(Pieces!$C31="","",Pieces!$C31)</f>
        <v/>
      </c>
      <c r="C31" s="4" t="str">
        <f>IF(Pieces!$D31="","",Pieces!$D31)</f>
        <v/>
      </c>
      <c r="D31" s="4" t="str">
        <f>IF(Pieces!$E31="","",Pieces!$E31)</f>
        <v/>
      </c>
      <c r="E31" s="3" t="str">
        <f>IF(Pieces!$F31="","",Pieces!$F31)</f>
        <v/>
      </c>
      <c r="F31" s="4" t="str">
        <f>IF(Pieces!$G31="","",Pieces!$G31)</f>
        <v/>
      </c>
      <c r="G31" s="4" t="str">
        <f>IF(Pieces!$H31="","",Pieces!$H31)</f>
        <v/>
      </c>
      <c r="H31" s="4" t="str">
        <f>IF(Pieces!$I31="","",Pieces!$I31)</f>
        <v/>
      </c>
    </row>
    <row r="32" spans="1:8" x14ac:dyDescent="0.2">
      <c r="A32" s="4">
        <v>30</v>
      </c>
      <c r="B32" s="3" t="str">
        <f>IF(Pieces!$C32="","",Pieces!$C32)</f>
        <v/>
      </c>
      <c r="C32" s="4" t="str">
        <f>IF(Pieces!$D32="","",Pieces!$D32)</f>
        <v/>
      </c>
      <c r="D32" s="4" t="str">
        <f>IF(Pieces!$E32="","",Pieces!$E32)</f>
        <v/>
      </c>
      <c r="E32" s="3" t="str">
        <f>IF(Pieces!$F32="","",Pieces!$F32)</f>
        <v/>
      </c>
      <c r="F32" s="4" t="str">
        <f>IF(Pieces!$G32="","",Pieces!$G32)</f>
        <v/>
      </c>
      <c r="G32" s="4" t="str">
        <f>IF(Pieces!$H32="","",Pieces!$H32)</f>
        <v/>
      </c>
      <c r="H32" s="4" t="str">
        <f>IF(Pieces!$I32="","",Pieces!$I32)</f>
        <v/>
      </c>
    </row>
    <row r="33" spans="1:8" x14ac:dyDescent="0.2">
      <c r="A33" s="4">
        <v>31</v>
      </c>
      <c r="B33" s="3" t="str">
        <f>IF(Pieces!$C33="","",Pieces!$C33)</f>
        <v/>
      </c>
      <c r="C33" s="4" t="str">
        <f>IF(Pieces!$D33="","",Pieces!$D33)</f>
        <v/>
      </c>
      <c r="D33" s="4" t="str">
        <f>IF(Pieces!$E33="","",Pieces!$E33)</f>
        <v/>
      </c>
      <c r="E33" s="3" t="str">
        <f>IF(Pieces!$F33="","",Pieces!$F33)</f>
        <v/>
      </c>
      <c r="F33" s="4" t="str">
        <f>IF(Pieces!$G33="","",Pieces!$G33)</f>
        <v/>
      </c>
      <c r="G33" s="4" t="str">
        <f>IF(Pieces!$H33="","",Pieces!$H33)</f>
        <v/>
      </c>
      <c r="H33" s="4" t="str">
        <f>IF(Pieces!$I33="","",Pieces!$I33)</f>
        <v/>
      </c>
    </row>
    <row r="34" spans="1:8" x14ac:dyDescent="0.2">
      <c r="A34" s="4">
        <v>32</v>
      </c>
      <c r="B34" s="3" t="str">
        <f>IF(Pieces!$C34="","",Pieces!$C34)</f>
        <v/>
      </c>
      <c r="C34" s="4" t="str">
        <f>IF(Pieces!$D34="","",Pieces!$D34)</f>
        <v/>
      </c>
      <c r="D34" s="4" t="str">
        <f>IF(Pieces!$E34="","",Pieces!$E34)</f>
        <v/>
      </c>
      <c r="E34" s="3" t="str">
        <f>IF(Pieces!$F34="","",Pieces!$F34)</f>
        <v/>
      </c>
      <c r="F34" s="4" t="str">
        <f>IF(Pieces!$G34="","",Pieces!$G34)</f>
        <v/>
      </c>
      <c r="G34" s="4" t="str">
        <f>IF(Pieces!$H34="","",Pieces!$H34)</f>
        <v/>
      </c>
      <c r="H34" s="4" t="str">
        <f>IF(Pieces!$I34="","",Pieces!$I34)</f>
        <v/>
      </c>
    </row>
    <row r="35" spans="1:8" x14ac:dyDescent="0.2">
      <c r="A35" s="4">
        <v>33</v>
      </c>
      <c r="B35" s="3" t="str">
        <f>IF(Pieces!$C35="","",Pieces!$C35)</f>
        <v/>
      </c>
      <c r="C35" s="4" t="str">
        <f>IF(Pieces!$D35="","",Pieces!$D35)</f>
        <v/>
      </c>
      <c r="D35" s="4" t="str">
        <f>IF(Pieces!$E35="","",Pieces!$E35)</f>
        <v/>
      </c>
      <c r="E35" s="3" t="str">
        <f>IF(Pieces!$F35="","",Pieces!$F35)</f>
        <v/>
      </c>
      <c r="F35" s="4" t="str">
        <f>IF(Pieces!$G35="","",Pieces!$G35)</f>
        <v/>
      </c>
      <c r="G35" s="4" t="str">
        <f>IF(Pieces!$H35="","",Pieces!$H35)</f>
        <v/>
      </c>
      <c r="H35" s="4" t="str">
        <f>IF(Pieces!$I35="","",Pieces!$I35)</f>
        <v/>
      </c>
    </row>
    <row r="36" spans="1:8" x14ac:dyDescent="0.2">
      <c r="A36" s="4">
        <v>34</v>
      </c>
      <c r="B36" s="3" t="str">
        <f>IF(Pieces!$C36="","",Pieces!$C36)</f>
        <v/>
      </c>
      <c r="C36" s="4" t="str">
        <f>IF(Pieces!$D36="","",Pieces!$D36)</f>
        <v/>
      </c>
      <c r="D36" s="4" t="str">
        <f>IF(Pieces!$E36="","",Pieces!$E36)</f>
        <v/>
      </c>
      <c r="E36" s="3" t="str">
        <f>IF(Pieces!$F36="","",Pieces!$F36)</f>
        <v/>
      </c>
      <c r="F36" s="4" t="str">
        <f>IF(Pieces!$G36="","",Pieces!$G36)</f>
        <v/>
      </c>
      <c r="G36" s="4" t="str">
        <f>IF(Pieces!$H36="","",Pieces!$H36)</f>
        <v/>
      </c>
      <c r="H36" s="4" t="str">
        <f>IF(Pieces!$I36="","",Pieces!$I36)</f>
        <v/>
      </c>
    </row>
    <row r="37" spans="1:8" x14ac:dyDescent="0.2">
      <c r="A37" s="4">
        <v>35</v>
      </c>
      <c r="B37" s="3" t="str">
        <f>IF(Pieces!$C37="","",Pieces!$C37)</f>
        <v/>
      </c>
      <c r="C37" s="4" t="str">
        <f>IF(Pieces!$D37="","",Pieces!$D37)</f>
        <v/>
      </c>
      <c r="D37" s="4" t="str">
        <f>IF(Pieces!$E37="","",Pieces!$E37)</f>
        <v/>
      </c>
      <c r="E37" s="3" t="str">
        <f>IF(Pieces!$F37="","",Pieces!$F37)</f>
        <v/>
      </c>
      <c r="F37" s="4" t="str">
        <f>IF(Pieces!$G37="","",Pieces!$G37)</f>
        <v/>
      </c>
      <c r="G37" s="4" t="str">
        <f>IF(Pieces!$H37="","",Pieces!$H37)</f>
        <v/>
      </c>
      <c r="H37" s="4" t="str">
        <f>IF(Pieces!$I37="","",Pieces!$I37)</f>
        <v/>
      </c>
    </row>
    <row r="38" spans="1:8" x14ac:dyDescent="0.2">
      <c r="A38" s="4">
        <v>36</v>
      </c>
      <c r="B38" s="3" t="str">
        <f>IF(Pieces!$C38="","",Pieces!$C38)</f>
        <v/>
      </c>
      <c r="C38" s="4" t="str">
        <f>IF(Pieces!$D38="","",Pieces!$D38)</f>
        <v/>
      </c>
      <c r="D38" s="4" t="str">
        <f>IF(Pieces!$E38="","",Pieces!$E38)</f>
        <v/>
      </c>
      <c r="E38" s="3" t="str">
        <f>IF(Pieces!$F38="","",Pieces!$F38)</f>
        <v/>
      </c>
      <c r="F38" s="4" t="str">
        <f>IF(Pieces!$G38="","",Pieces!$G38)</f>
        <v/>
      </c>
      <c r="G38" s="4" t="str">
        <f>IF(Pieces!$H38="","",Pieces!$H38)</f>
        <v/>
      </c>
      <c r="H38" s="4" t="str">
        <f>IF(Pieces!$I38="","",Pieces!$I38)</f>
        <v/>
      </c>
    </row>
    <row r="39" spans="1:8" x14ac:dyDescent="0.2">
      <c r="A39" s="4">
        <v>37</v>
      </c>
      <c r="B39" s="3" t="str">
        <f>IF(Pieces!$C39="","",Pieces!$C39)</f>
        <v/>
      </c>
      <c r="C39" s="4" t="str">
        <f>IF(Pieces!$D39="","",Pieces!$D39)</f>
        <v/>
      </c>
      <c r="D39" s="4" t="str">
        <f>IF(Pieces!$E39="","",Pieces!$E39)</f>
        <v/>
      </c>
      <c r="E39" s="3" t="str">
        <f>IF(Pieces!$F39="","",Pieces!$F39)</f>
        <v/>
      </c>
      <c r="F39" s="4" t="str">
        <f>IF(Pieces!$G39="","",Pieces!$G39)</f>
        <v/>
      </c>
      <c r="G39" s="4" t="str">
        <f>IF(Pieces!$H39="","",Pieces!$H39)</f>
        <v/>
      </c>
      <c r="H39" s="4" t="str">
        <f>IF(Pieces!$I39="","",Pieces!$I39)</f>
        <v/>
      </c>
    </row>
    <row r="40" spans="1:8" x14ac:dyDescent="0.2">
      <c r="A40" s="4">
        <v>38</v>
      </c>
      <c r="B40" s="3" t="str">
        <f>IF(Pieces!$C40="","",Pieces!$C40)</f>
        <v/>
      </c>
      <c r="C40" s="4" t="str">
        <f>IF(Pieces!$D40="","",Pieces!$D40)</f>
        <v/>
      </c>
      <c r="D40" s="4" t="str">
        <f>IF(Pieces!$E40="","",Pieces!$E40)</f>
        <v/>
      </c>
      <c r="E40" s="3" t="str">
        <f>IF(Pieces!$F40="","",Pieces!$F40)</f>
        <v/>
      </c>
      <c r="F40" s="4" t="str">
        <f>IF(Pieces!$G40="","",Pieces!$G40)</f>
        <v/>
      </c>
      <c r="G40" s="4" t="str">
        <f>IF(Pieces!$H40="","",Pieces!$H40)</f>
        <v/>
      </c>
      <c r="H40" s="4" t="str">
        <f>IF(Pieces!$I40="","",Pieces!$I40)</f>
        <v/>
      </c>
    </row>
    <row r="41" spans="1:8" x14ac:dyDescent="0.2">
      <c r="A41" s="4">
        <v>39</v>
      </c>
      <c r="B41" s="3" t="str">
        <f>IF(Pieces!$C41="","",Pieces!$C41)</f>
        <v/>
      </c>
      <c r="C41" s="4" t="str">
        <f>IF(Pieces!$D41="","",Pieces!$D41)</f>
        <v/>
      </c>
      <c r="D41" s="4" t="str">
        <f>IF(Pieces!$E41="","",Pieces!$E41)</f>
        <v/>
      </c>
      <c r="E41" s="3" t="str">
        <f>IF(Pieces!$F41="","",Pieces!$F41)</f>
        <v/>
      </c>
      <c r="F41" s="4" t="str">
        <f>IF(Pieces!$G41="","",Pieces!$G41)</f>
        <v/>
      </c>
      <c r="G41" s="4" t="str">
        <f>IF(Pieces!$H41="","",Pieces!$H41)</f>
        <v/>
      </c>
      <c r="H41" s="4" t="str">
        <f>IF(Pieces!$I41="","",Pieces!$I41)</f>
        <v/>
      </c>
    </row>
    <row r="42" spans="1:8" x14ac:dyDescent="0.2">
      <c r="A42" s="4">
        <v>40</v>
      </c>
      <c r="B42" s="3" t="str">
        <f>IF(Pieces!$C42="","",Pieces!$C42)</f>
        <v/>
      </c>
      <c r="C42" s="4" t="str">
        <f>IF(Pieces!$D42="","",Pieces!$D42)</f>
        <v/>
      </c>
      <c r="D42" s="4" t="str">
        <f>IF(Pieces!$E42="","",Pieces!$E42)</f>
        <v/>
      </c>
      <c r="E42" s="3" t="str">
        <f>IF(Pieces!$F42="","",Pieces!$F42)</f>
        <v/>
      </c>
      <c r="F42" s="4" t="str">
        <f>IF(Pieces!$G42="","",Pieces!$G42)</f>
        <v/>
      </c>
      <c r="G42" s="4" t="str">
        <f>IF(Pieces!$H42="","",Pieces!$H42)</f>
        <v/>
      </c>
      <c r="H42" s="4" t="str">
        <f>IF(Pieces!$I42="","",Pieces!$I42)</f>
        <v/>
      </c>
    </row>
    <row r="43" spans="1:8" x14ac:dyDescent="0.2">
      <c r="A43" s="4">
        <v>41</v>
      </c>
      <c r="B43" s="3" t="str">
        <f>IF(Pieces!$C43="","",Pieces!$C43)</f>
        <v/>
      </c>
      <c r="C43" s="4" t="str">
        <f>IF(Pieces!$D43="","",Pieces!$D43)</f>
        <v/>
      </c>
      <c r="D43" s="4" t="str">
        <f>IF(Pieces!$E43="","",Pieces!$E43)</f>
        <v/>
      </c>
      <c r="E43" s="3" t="str">
        <f>IF(Pieces!$F43="","",Pieces!$F43)</f>
        <v/>
      </c>
      <c r="F43" s="4" t="str">
        <f>IF(Pieces!$G43="","",Pieces!$G43)</f>
        <v/>
      </c>
      <c r="G43" s="4" t="str">
        <f>IF(Pieces!$H43="","",Pieces!$H43)</f>
        <v/>
      </c>
      <c r="H43" s="4" t="str">
        <f>IF(Pieces!$I43="","",Pieces!$I43)</f>
        <v/>
      </c>
    </row>
    <row r="44" spans="1:8" x14ac:dyDescent="0.2">
      <c r="A44" s="4">
        <v>42</v>
      </c>
      <c r="B44" s="3" t="str">
        <f>IF(Pieces!$C44="","",Pieces!$C44)</f>
        <v/>
      </c>
      <c r="C44" s="4" t="str">
        <f>IF(Pieces!$D44="","",Pieces!$D44)</f>
        <v/>
      </c>
      <c r="D44" s="4" t="str">
        <f>IF(Pieces!$E44="","",Pieces!$E44)</f>
        <v/>
      </c>
      <c r="E44" s="3" t="str">
        <f>IF(Pieces!$F44="","",Pieces!$F44)</f>
        <v/>
      </c>
      <c r="F44" s="4" t="str">
        <f>IF(Pieces!$G44="","",Pieces!$G44)</f>
        <v/>
      </c>
      <c r="G44" s="4" t="str">
        <f>IF(Pieces!$H44="","",Pieces!$H44)</f>
        <v/>
      </c>
      <c r="H44" s="4" t="str">
        <f>IF(Pieces!$I44="","",Pieces!$I44)</f>
        <v/>
      </c>
    </row>
    <row r="45" spans="1:8" x14ac:dyDescent="0.2">
      <c r="A45" s="4">
        <v>43</v>
      </c>
      <c r="B45" s="3" t="str">
        <f>IF(Pieces!$C45="","",Pieces!$C45)</f>
        <v/>
      </c>
      <c r="C45" s="4" t="str">
        <f>IF(Pieces!$D45="","",Pieces!$D45)</f>
        <v/>
      </c>
      <c r="D45" s="4" t="str">
        <f>IF(Pieces!$E45="","",Pieces!$E45)</f>
        <v/>
      </c>
      <c r="E45" s="3" t="str">
        <f>IF(Pieces!$F45="","",Pieces!$F45)</f>
        <v/>
      </c>
      <c r="F45" s="4" t="str">
        <f>IF(Pieces!$G45="","",Pieces!$G45)</f>
        <v/>
      </c>
      <c r="G45" s="4" t="str">
        <f>IF(Pieces!$H45="","",Pieces!$H45)</f>
        <v/>
      </c>
      <c r="H45" s="4" t="str">
        <f>IF(Pieces!$I45="","",Pieces!$I45)</f>
        <v/>
      </c>
    </row>
    <row r="46" spans="1:8" x14ac:dyDescent="0.2">
      <c r="A46" s="4">
        <v>44</v>
      </c>
      <c r="B46" s="3" t="str">
        <f>IF(Pieces!$C46="","",Pieces!$C46)</f>
        <v/>
      </c>
      <c r="C46" s="4" t="str">
        <f>IF(Pieces!$D46="","",Pieces!$D46)</f>
        <v/>
      </c>
      <c r="D46" s="4" t="str">
        <f>IF(Pieces!$E46="","",Pieces!$E46)</f>
        <v/>
      </c>
      <c r="E46" s="3" t="str">
        <f>IF(Pieces!$F46="","",Pieces!$F46)</f>
        <v/>
      </c>
      <c r="F46" s="4" t="str">
        <f>IF(Pieces!$G46="","",Pieces!$G46)</f>
        <v/>
      </c>
      <c r="G46" s="4" t="str">
        <f>IF(Pieces!$H46="","",Pieces!$H46)</f>
        <v/>
      </c>
      <c r="H46" s="4" t="str">
        <f>IF(Pieces!$I46="","",Pieces!$I46)</f>
        <v/>
      </c>
    </row>
    <row r="47" spans="1:8" x14ac:dyDescent="0.2">
      <c r="A47" s="4">
        <v>45</v>
      </c>
      <c r="B47" s="3" t="str">
        <f>IF(Pieces!$C47="","",Pieces!$C47)</f>
        <v/>
      </c>
      <c r="C47" s="4" t="str">
        <f>IF(Pieces!$D47="","",Pieces!$D47)</f>
        <v/>
      </c>
      <c r="D47" s="4" t="str">
        <f>IF(Pieces!$E47="","",Pieces!$E47)</f>
        <v/>
      </c>
      <c r="E47" s="3" t="str">
        <f>IF(Pieces!$F47="","",Pieces!$F47)</f>
        <v/>
      </c>
      <c r="F47" s="4" t="str">
        <f>IF(Pieces!$G47="","",Pieces!$G47)</f>
        <v/>
      </c>
      <c r="G47" s="4" t="str">
        <f>IF(Pieces!$H47="","",Pieces!$H47)</f>
        <v/>
      </c>
      <c r="H47" s="4" t="str">
        <f>IF(Pieces!$I47="","",Pieces!$I47)</f>
        <v/>
      </c>
    </row>
    <row r="48" spans="1:8" x14ac:dyDescent="0.2">
      <c r="A48" s="4">
        <v>46</v>
      </c>
      <c r="B48" s="3" t="str">
        <f>IF(Pieces!$C48="","",Pieces!$C48)</f>
        <v/>
      </c>
      <c r="C48" s="4" t="str">
        <f>IF(Pieces!$D48="","",Pieces!$D48)</f>
        <v/>
      </c>
      <c r="D48" s="4" t="str">
        <f>IF(Pieces!$E48="","",Pieces!$E48)</f>
        <v/>
      </c>
      <c r="E48" s="3" t="str">
        <f>IF(Pieces!$F48="","",Pieces!$F48)</f>
        <v/>
      </c>
      <c r="F48" s="4" t="str">
        <f>IF(Pieces!$G48="","",Pieces!$G48)</f>
        <v/>
      </c>
      <c r="G48" s="4" t="str">
        <f>IF(Pieces!$H48="","",Pieces!$H48)</f>
        <v/>
      </c>
      <c r="H48" s="4" t="str">
        <f>IF(Pieces!$I48="","",Pieces!$I48)</f>
        <v/>
      </c>
    </row>
    <row r="49" spans="1:8" x14ac:dyDescent="0.2">
      <c r="A49" s="4">
        <v>47</v>
      </c>
      <c r="B49" s="3" t="str">
        <f>IF(Pieces!$C49="","",Pieces!$C49)</f>
        <v/>
      </c>
      <c r="C49" s="4" t="str">
        <f>IF(Pieces!$D49="","",Pieces!$D49)</f>
        <v/>
      </c>
      <c r="D49" s="4" t="str">
        <f>IF(Pieces!$E49="","",Pieces!$E49)</f>
        <v/>
      </c>
      <c r="E49" s="3" t="str">
        <f>IF(Pieces!$F49="","",Pieces!$F49)</f>
        <v/>
      </c>
      <c r="F49" s="4" t="str">
        <f>IF(Pieces!$G49="","",Pieces!$G49)</f>
        <v/>
      </c>
      <c r="G49" s="4" t="str">
        <f>IF(Pieces!$H49="","",Pieces!$H49)</f>
        <v/>
      </c>
      <c r="H49" s="4" t="str">
        <f>IF(Pieces!$I49="","",Pieces!$I49)</f>
        <v/>
      </c>
    </row>
    <row r="50" spans="1:8" x14ac:dyDescent="0.2">
      <c r="A50" s="4">
        <v>48</v>
      </c>
      <c r="B50" s="3" t="str">
        <f>IF(Pieces!$C50="","",Pieces!$C50)</f>
        <v/>
      </c>
      <c r="C50" s="4" t="str">
        <f>IF(Pieces!$D50="","",Pieces!$D50)</f>
        <v/>
      </c>
      <c r="D50" s="4" t="str">
        <f>IF(Pieces!$E50="","",Pieces!$E50)</f>
        <v/>
      </c>
      <c r="E50" s="3" t="str">
        <f>IF(Pieces!$F50="","",Pieces!$F50)</f>
        <v/>
      </c>
      <c r="F50" s="4" t="str">
        <f>IF(Pieces!$G50="","",Pieces!$G50)</f>
        <v/>
      </c>
      <c r="G50" s="4" t="str">
        <f>IF(Pieces!$H50="","",Pieces!$H50)</f>
        <v/>
      </c>
      <c r="H50" s="4" t="str">
        <f>IF(Pieces!$I50="","",Pieces!$I50)</f>
        <v/>
      </c>
    </row>
    <row r="51" spans="1:8" x14ac:dyDescent="0.2">
      <c r="A51" s="4">
        <v>49</v>
      </c>
      <c r="B51" s="3" t="str">
        <f>IF(Pieces!$C51="","",Pieces!$C51)</f>
        <v/>
      </c>
      <c r="C51" s="4" t="str">
        <f>IF(Pieces!$D51="","",Pieces!$D51)</f>
        <v/>
      </c>
      <c r="D51" s="4" t="str">
        <f>IF(Pieces!$E51="","",Pieces!$E51)</f>
        <v/>
      </c>
      <c r="E51" s="3" t="str">
        <f>IF(Pieces!$F51="","",Pieces!$F51)</f>
        <v/>
      </c>
      <c r="F51" s="4" t="str">
        <f>IF(Pieces!$G51="","",Pieces!$G51)</f>
        <v/>
      </c>
      <c r="G51" s="4" t="str">
        <f>IF(Pieces!$H51="","",Pieces!$H51)</f>
        <v/>
      </c>
      <c r="H51" s="4" t="str">
        <f>IF(Pieces!$I51="","",Pieces!$I51)</f>
        <v/>
      </c>
    </row>
    <row r="52" spans="1:8" x14ac:dyDescent="0.2">
      <c r="A52" s="4">
        <v>50</v>
      </c>
      <c r="B52" s="3" t="str">
        <f>IF(Pieces!$C52="","",Pieces!$C52)</f>
        <v/>
      </c>
      <c r="C52" s="4" t="str">
        <f>IF(Pieces!$D52="","",Pieces!$D52)</f>
        <v/>
      </c>
      <c r="D52" s="4" t="str">
        <f>IF(Pieces!$E52="","",Pieces!$E52)</f>
        <v/>
      </c>
      <c r="E52" s="3" t="str">
        <f>IF(Pieces!$F52="","",Pieces!$F52)</f>
        <v/>
      </c>
      <c r="F52" s="4" t="str">
        <f>IF(Pieces!$G52="","",Pieces!$G52)</f>
        <v/>
      </c>
      <c r="G52" s="4" t="str">
        <f>IF(Pieces!$H52="","",Pieces!$H52)</f>
        <v/>
      </c>
      <c r="H52" s="4" t="str">
        <f>IF(Pieces!$I52="","",Pieces!$I52)</f>
        <v/>
      </c>
    </row>
    <row r="53" spans="1:8" x14ac:dyDescent="0.2">
      <c r="A53" s="4">
        <v>51</v>
      </c>
      <c r="B53" s="3" t="str">
        <f>IF(Pieces!$C53="","",Pieces!$C53)</f>
        <v/>
      </c>
      <c r="C53" s="4" t="str">
        <f>IF(Pieces!$D53="","",Pieces!$D53)</f>
        <v/>
      </c>
      <c r="D53" s="4" t="str">
        <f>IF(Pieces!$E53="","",Pieces!$E53)</f>
        <v/>
      </c>
      <c r="E53" s="3" t="str">
        <f>IF(Pieces!$F53="","",Pieces!$F53)</f>
        <v/>
      </c>
      <c r="F53" s="4" t="str">
        <f>IF(Pieces!$G53="","",Pieces!$G53)</f>
        <v/>
      </c>
      <c r="G53" s="4" t="str">
        <f>IF(Pieces!$H53="","",Pieces!$H53)</f>
        <v/>
      </c>
      <c r="H53" s="4" t="str">
        <f>IF(Pieces!$I53="","",Pieces!$I53)</f>
        <v/>
      </c>
    </row>
    <row r="54" spans="1:8" x14ac:dyDescent="0.2">
      <c r="A54" s="4">
        <v>52</v>
      </c>
      <c r="B54" s="3" t="str">
        <f>IF(Pieces!$C54="","",Pieces!$C54)</f>
        <v/>
      </c>
      <c r="C54" s="4" t="str">
        <f>IF(Pieces!$D54="","",Pieces!$D54)</f>
        <v/>
      </c>
      <c r="D54" s="4" t="str">
        <f>IF(Pieces!$E54="","",Pieces!$E54)</f>
        <v/>
      </c>
      <c r="E54" s="3" t="str">
        <f>IF(Pieces!$F54="","",Pieces!$F54)</f>
        <v/>
      </c>
      <c r="F54" s="4" t="str">
        <f>IF(Pieces!$G54="","",Pieces!$G54)</f>
        <v/>
      </c>
      <c r="G54" s="4" t="str">
        <f>IF(Pieces!$H54="","",Pieces!$H54)</f>
        <v/>
      </c>
      <c r="H54" s="4" t="str">
        <f>IF(Pieces!$I54="","",Pieces!$I54)</f>
        <v/>
      </c>
    </row>
    <row r="55" spans="1:8" x14ac:dyDescent="0.2">
      <c r="A55" s="4">
        <v>53</v>
      </c>
      <c r="B55" s="3" t="str">
        <f>IF(Pieces!$C55="","",Pieces!$C55)</f>
        <v/>
      </c>
      <c r="C55" s="4" t="str">
        <f>IF(Pieces!$D55="","",Pieces!$D55)</f>
        <v/>
      </c>
      <c r="D55" s="4" t="str">
        <f>IF(Pieces!$E55="","",Pieces!$E55)</f>
        <v/>
      </c>
      <c r="E55" s="3" t="str">
        <f>IF(Pieces!$F55="","",Pieces!$F55)</f>
        <v/>
      </c>
      <c r="F55" s="4" t="str">
        <f>IF(Pieces!$G55="","",Pieces!$G55)</f>
        <v/>
      </c>
      <c r="G55" s="4" t="str">
        <f>IF(Pieces!$H55="","",Pieces!$H55)</f>
        <v/>
      </c>
      <c r="H55" s="4" t="str">
        <f>IF(Pieces!$I55="","",Pieces!$I55)</f>
        <v/>
      </c>
    </row>
    <row r="56" spans="1:8" x14ac:dyDescent="0.2">
      <c r="A56" s="4">
        <v>54</v>
      </c>
      <c r="B56" s="3" t="str">
        <f>IF(Pieces!$C56="","",Pieces!$C56)</f>
        <v/>
      </c>
      <c r="C56" s="4" t="str">
        <f>IF(Pieces!$D56="","",Pieces!$D56)</f>
        <v/>
      </c>
      <c r="D56" s="4" t="str">
        <f>IF(Pieces!$E56="","",Pieces!$E56)</f>
        <v/>
      </c>
      <c r="E56" s="3" t="str">
        <f>IF(Pieces!$F56="","",Pieces!$F56)</f>
        <v/>
      </c>
      <c r="F56" s="4" t="str">
        <f>IF(Pieces!$G56="","",Pieces!$G56)</f>
        <v/>
      </c>
      <c r="G56" s="4" t="str">
        <f>IF(Pieces!$H56="","",Pieces!$H56)</f>
        <v/>
      </c>
      <c r="H56" s="4" t="str">
        <f>IF(Pieces!$I56="","",Pieces!$I56)</f>
        <v/>
      </c>
    </row>
    <row r="57" spans="1:8" x14ac:dyDescent="0.2">
      <c r="A57" s="4">
        <v>55</v>
      </c>
      <c r="B57" s="3" t="str">
        <f>IF(Pieces!$C57="","",Pieces!$C57)</f>
        <v/>
      </c>
      <c r="C57" s="4" t="str">
        <f>IF(Pieces!$D57="","",Pieces!$D57)</f>
        <v/>
      </c>
      <c r="D57" s="4" t="str">
        <f>IF(Pieces!$E57="","",Pieces!$E57)</f>
        <v/>
      </c>
      <c r="E57" s="3" t="str">
        <f>IF(Pieces!$F57="","",Pieces!$F57)</f>
        <v/>
      </c>
      <c r="F57" s="4" t="str">
        <f>IF(Pieces!$G57="","",Pieces!$G57)</f>
        <v/>
      </c>
      <c r="G57" s="4" t="str">
        <f>IF(Pieces!$H57="","",Pieces!$H57)</f>
        <v/>
      </c>
      <c r="H57" s="4" t="str">
        <f>IF(Pieces!$I57="","",Pieces!$I57)</f>
        <v/>
      </c>
    </row>
    <row r="58" spans="1:8" x14ac:dyDescent="0.2">
      <c r="A58" s="4">
        <v>56</v>
      </c>
      <c r="B58" s="3" t="str">
        <f>IF(Pieces!$C58="","",Pieces!$C58)</f>
        <v/>
      </c>
      <c r="C58" s="4" t="str">
        <f>IF(Pieces!$D58="","",Pieces!$D58)</f>
        <v/>
      </c>
      <c r="D58" s="4" t="str">
        <f>IF(Pieces!$E58="","",Pieces!$E58)</f>
        <v/>
      </c>
      <c r="E58" s="3" t="str">
        <f>IF(Pieces!$F58="","",Pieces!$F58)</f>
        <v/>
      </c>
      <c r="F58" s="4" t="str">
        <f>IF(Pieces!$G58="","",Pieces!$G58)</f>
        <v/>
      </c>
      <c r="G58" s="4" t="str">
        <f>IF(Pieces!$H58="","",Pieces!$H58)</f>
        <v/>
      </c>
      <c r="H58" s="4" t="str">
        <f>IF(Pieces!$I58="","",Pieces!$I58)</f>
        <v/>
      </c>
    </row>
    <row r="59" spans="1:8" x14ac:dyDescent="0.2">
      <c r="A59" s="4">
        <v>57</v>
      </c>
      <c r="B59" s="3" t="str">
        <f>IF(Pieces!$C59="","",Pieces!$C59)</f>
        <v/>
      </c>
      <c r="C59" s="4" t="str">
        <f>IF(Pieces!$D59="","",Pieces!$D59)</f>
        <v/>
      </c>
      <c r="D59" s="4" t="str">
        <f>IF(Pieces!$E59="","",Pieces!$E59)</f>
        <v/>
      </c>
      <c r="E59" s="3" t="str">
        <f>IF(Pieces!$F59="","",Pieces!$F59)</f>
        <v/>
      </c>
      <c r="F59" s="4" t="str">
        <f>IF(Pieces!$G59="","",Pieces!$G59)</f>
        <v/>
      </c>
      <c r="G59" s="4" t="str">
        <f>IF(Pieces!$H59="","",Pieces!$H59)</f>
        <v/>
      </c>
      <c r="H59" s="4" t="str">
        <f>IF(Pieces!$I59="","",Pieces!$I59)</f>
        <v/>
      </c>
    </row>
    <row r="60" spans="1:8" x14ac:dyDescent="0.2">
      <c r="A60" s="4">
        <v>58</v>
      </c>
      <c r="B60" s="3" t="str">
        <f>IF(Pieces!$C60="","",Pieces!$C60)</f>
        <v/>
      </c>
      <c r="C60" s="4" t="str">
        <f>IF(Pieces!$D60="","",Pieces!$D60)</f>
        <v/>
      </c>
      <c r="D60" s="4" t="str">
        <f>IF(Pieces!$E60="","",Pieces!$E60)</f>
        <v/>
      </c>
      <c r="E60" s="3" t="str">
        <f>IF(Pieces!$F60="","",Pieces!$F60)</f>
        <v/>
      </c>
      <c r="F60" s="4" t="str">
        <f>IF(Pieces!$G60="","",Pieces!$G60)</f>
        <v/>
      </c>
      <c r="G60" s="4" t="str">
        <f>IF(Pieces!$H60="","",Pieces!$H60)</f>
        <v/>
      </c>
      <c r="H60" s="4" t="str">
        <f>IF(Pieces!$I60="","",Pieces!$I60)</f>
        <v/>
      </c>
    </row>
    <row r="61" spans="1:8" x14ac:dyDescent="0.2">
      <c r="A61" s="4">
        <v>59</v>
      </c>
      <c r="B61" s="3" t="str">
        <f>IF(Pieces!$C61="","",Pieces!$C61)</f>
        <v/>
      </c>
      <c r="C61" s="4" t="str">
        <f>IF(Pieces!$D61="","",Pieces!$D61)</f>
        <v/>
      </c>
      <c r="D61" s="4" t="str">
        <f>IF(Pieces!$E61="","",Pieces!$E61)</f>
        <v/>
      </c>
      <c r="E61" s="3" t="str">
        <f>IF(Pieces!$F61="","",Pieces!$F61)</f>
        <v/>
      </c>
      <c r="F61" s="4" t="str">
        <f>IF(Pieces!$G61="","",Pieces!$G61)</f>
        <v/>
      </c>
      <c r="G61" s="4" t="str">
        <f>IF(Pieces!$H61="","",Pieces!$H61)</f>
        <v/>
      </c>
      <c r="H61" s="4" t="str">
        <f>IF(Pieces!$I61="","",Pieces!$I61)</f>
        <v/>
      </c>
    </row>
    <row r="62" spans="1:8" x14ac:dyDescent="0.2">
      <c r="A62" s="4">
        <v>60</v>
      </c>
      <c r="B62" s="3" t="str">
        <f>IF(Pieces!$C62="","",Pieces!$C62)</f>
        <v/>
      </c>
      <c r="C62" s="4" t="str">
        <f>IF(Pieces!$D62="","",Pieces!$D62)</f>
        <v/>
      </c>
      <c r="D62" s="4" t="str">
        <f>IF(Pieces!$E62="","",Pieces!$E62)</f>
        <v/>
      </c>
      <c r="E62" s="3" t="str">
        <f>IF(Pieces!$F62="","",Pieces!$F62)</f>
        <v/>
      </c>
      <c r="F62" s="4" t="str">
        <f>IF(Pieces!$G62="","",Pieces!$G62)</f>
        <v/>
      </c>
      <c r="G62" s="4" t="str">
        <f>IF(Pieces!$H62="","",Pieces!$H62)</f>
        <v/>
      </c>
      <c r="H62" s="4" t="str">
        <f>IF(Pieces!$I62="","",Pieces!$I62)</f>
        <v/>
      </c>
    </row>
    <row r="63" spans="1:8" x14ac:dyDescent="0.2">
      <c r="A63" s="4">
        <v>61</v>
      </c>
      <c r="B63" s="3" t="str">
        <f>IF(Pieces!$C63="","",Pieces!$C63)</f>
        <v/>
      </c>
      <c r="C63" s="4" t="str">
        <f>IF(Pieces!$D63="","",Pieces!$D63)</f>
        <v/>
      </c>
      <c r="D63" s="4" t="str">
        <f>IF(Pieces!$E63="","",Pieces!$E63)</f>
        <v/>
      </c>
      <c r="E63" s="3" t="str">
        <f>IF(Pieces!$F63="","",Pieces!$F63)</f>
        <v/>
      </c>
      <c r="F63" s="4" t="str">
        <f>IF(Pieces!$G63="","",Pieces!$G63)</f>
        <v/>
      </c>
      <c r="G63" s="4" t="str">
        <f>IF(Pieces!$H63="","",Pieces!$H63)</f>
        <v/>
      </c>
      <c r="H63" s="4" t="str">
        <f>IF(Pieces!$I63="","",Pieces!$I63)</f>
        <v/>
      </c>
    </row>
    <row r="64" spans="1:8" x14ac:dyDescent="0.2">
      <c r="A64" s="4">
        <v>62</v>
      </c>
      <c r="B64" s="3" t="str">
        <f>IF(Pieces!$C64="","",Pieces!$C64)</f>
        <v/>
      </c>
      <c r="C64" s="4" t="str">
        <f>IF(Pieces!$D64="","",Pieces!$D64)</f>
        <v/>
      </c>
      <c r="D64" s="4" t="str">
        <f>IF(Pieces!$E64="","",Pieces!$E64)</f>
        <v/>
      </c>
      <c r="E64" s="3" t="str">
        <f>IF(Pieces!$F64="","",Pieces!$F64)</f>
        <v/>
      </c>
      <c r="F64" s="4" t="str">
        <f>IF(Pieces!$G64="","",Pieces!$G64)</f>
        <v/>
      </c>
      <c r="G64" s="4" t="str">
        <f>IF(Pieces!$H64="","",Pieces!$H64)</f>
        <v/>
      </c>
      <c r="H64" s="4" t="str">
        <f>IF(Pieces!$I64="","",Pieces!$I64)</f>
        <v/>
      </c>
    </row>
    <row r="65" spans="1:8" x14ac:dyDescent="0.2">
      <c r="A65" s="4">
        <v>63</v>
      </c>
      <c r="B65" s="3" t="str">
        <f>IF(Pieces!$C65="","",Pieces!$C65)</f>
        <v/>
      </c>
      <c r="C65" s="4" t="str">
        <f>IF(Pieces!$D65="","",Pieces!$D65)</f>
        <v/>
      </c>
      <c r="D65" s="4" t="str">
        <f>IF(Pieces!$E65="","",Pieces!$E65)</f>
        <v/>
      </c>
      <c r="E65" s="3" t="str">
        <f>IF(Pieces!$F65="","",Pieces!$F65)</f>
        <v/>
      </c>
      <c r="F65" s="4" t="str">
        <f>IF(Pieces!$G65="","",Pieces!$G65)</f>
        <v/>
      </c>
      <c r="G65" s="4" t="str">
        <f>IF(Pieces!$H65="","",Pieces!$H65)</f>
        <v/>
      </c>
      <c r="H65" s="4" t="str">
        <f>IF(Pieces!$I65="","",Pieces!$I65)</f>
        <v/>
      </c>
    </row>
    <row r="66" spans="1:8" x14ac:dyDescent="0.2">
      <c r="A66" s="4">
        <v>64</v>
      </c>
      <c r="B66" s="3" t="str">
        <f>IF(Pieces!$C66="","",Pieces!$C66)</f>
        <v/>
      </c>
      <c r="C66" s="4" t="str">
        <f>IF(Pieces!$D66="","",Pieces!$D66)</f>
        <v/>
      </c>
      <c r="D66" s="4" t="str">
        <f>IF(Pieces!$E66="","",Pieces!$E66)</f>
        <v/>
      </c>
      <c r="E66" s="3" t="str">
        <f>IF(Pieces!$F66="","",Pieces!$F66)</f>
        <v/>
      </c>
      <c r="F66" s="4" t="str">
        <f>IF(Pieces!$G66="","",Pieces!$G66)</f>
        <v/>
      </c>
      <c r="G66" s="4" t="str">
        <f>IF(Pieces!$H66="","",Pieces!$H66)</f>
        <v/>
      </c>
      <c r="H66" s="4" t="str">
        <f>IF(Pieces!$I66="","",Pieces!$I66)</f>
        <v/>
      </c>
    </row>
    <row r="67" spans="1:8" x14ac:dyDescent="0.2">
      <c r="A67" s="4">
        <v>65</v>
      </c>
      <c r="B67" s="3" t="str">
        <f>IF(Pieces!$C67="","",Pieces!$C67)</f>
        <v/>
      </c>
      <c r="C67" s="4" t="str">
        <f>IF(Pieces!$D67="","",Pieces!$D67)</f>
        <v/>
      </c>
      <c r="D67" s="4" t="str">
        <f>IF(Pieces!$E67="","",Pieces!$E67)</f>
        <v/>
      </c>
      <c r="E67" s="3" t="str">
        <f>IF(Pieces!$F67="","",Pieces!$F67)</f>
        <v/>
      </c>
      <c r="F67" s="4" t="str">
        <f>IF(Pieces!$G67="","",Pieces!$G67)</f>
        <v/>
      </c>
      <c r="G67" s="4" t="str">
        <f>IF(Pieces!$H67="","",Pieces!$H67)</f>
        <v/>
      </c>
      <c r="H67" s="4" t="str">
        <f>IF(Pieces!$I67="","",Pieces!$I67)</f>
        <v/>
      </c>
    </row>
    <row r="68" spans="1:8" x14ac:dyDescent="0.2">
      <c r="A68" s="4">
        <v>66</v>
      </c>
      <c r="B68" s="3" t="str">
        <f>IF(Pieces!$C68="","",Pieces!$C68)</f>
        <v/>
      </c>
      <c r="C68" s="4" t="str">
        <f>IF(Pieces!$D68="","",Pieces!$D68)</f>
        <v/>
      </c>
      <c r="D68" s="4" t="str">
        <f>IF(Pieces!$E68="","",Pieces!$E68)</f>
        <v/>
      </c>
      <c r="E68" s="3" t="str">
        <f>IF(Pieces!$F68="","",Pieces!$F68)</f>
        <v/>
      </c>
      <c r="F68" s="4" t="str">
        <f>IF(Pieces!$G68="","",Pieces!$G68)</f>
        <v/>
      </c>
      <c r="G68" s="4" t="str">
        <f>IF(Pieces!$H68="","",Pieces!$H68)</f>
        <v/>
      </c>
      <c r="H68" s="4" t="str">
        <f>IF(Pieces!$I68="","",Pieces!$I68)</f>
        <v/>
      </c>
    </row>
    <row r="69" spans="1:8" x14ac:dyDescent="0.2">
      <c r="A69" s="4">
        <v>67</v>
      </c>
      <c r="B69" s="3" t="str">
        <f>IF(Pieces!$C69="","",Pieces!$C69)</f>
        <v/>
      </c>
      <c r="C69" s="4" t="str">
        <f>IF(Pieces!$D69="","",Pieces!$D69)</f>
        <v/>
      </c>
      <c r="D69" s="4" t="str">
        <f>IF(Pieces!$E69="","",Pieces!$E69)</f>
        <v/>
      </c>
      <c r="E69" s="3" t="str">
        <f>IF(Pieces!$F69="","",Pieces!$F69)</f>
        <v/>
      </c>
      <c r="F69" s="4" t="str">
        <f>IF(Pieces!$G69="","",Pieces!$G69)</f>
        <v/>
      </c>
      <c r="G69" s="4" t="str">
        <f>IF(Pieces!$H69="","",Pieces!$H69)</f>
        <v/>
      </c>
      <c r="H69" s="4" t="str">
        <f>IF(Pieces!$I69="","",Pieces!$I69)</f>
        <v/>
      </c>
    </row>
    <row r="70" spans="1:8" x14ac:dyDescent="0.2">
      <c r="A70" s="4">
        <v>68</v>
      </c>
      <c r="B70" s="3" t="str">
        <f>IF(Pieces!$C70="","",Pieces!$C70)</f>
        <v/>
      </c>
      <c r="C70" s="4" t="str">
        <f>IF(Pieces!$D70="","",Pieces!$D70)</f>
        <v/>
      </c>
      <c r="D70" s="4" t="str">
        <f>IF(Pieces!$E70="","",Pieces!$E70)</f>
        <v/>
      </c>
      <c r="E70" s="3" t="str">
        <f>IF(Pieces!$F70="","",Pieces!$F70)</f>
        <v/>
      </c>
      <c r="F70" s="4" t="str">
        <f>IF(Pieces!$G70="","",Pieces!$G70)</f>
        <v/>
      </c>
      <c r="G70" s="4" t="str">
        <f>IF(Pieces!$H70="","",Pieces!$H70)</f>
        <v/>
      </c>
      <c r="H70" s="4" t="str">
        <f>IF(Pieces!$I70="","",Pieces!$I70)</f>
        <v/>
      </c>
    </row>
    <row r="71" spans="1:8" x14ac:dyDescent="0.2">
      <c r="A71" s="4">
        <v>69</v>
      </c>
      <c r="B71" s="3" t="str">
        <f>IF(Pieces!$C71="","",Pieces!$C71)</f>
        <v/>
      </c>
      <c r="C71" s="4" t="str">
        <f>IF(Pieces!$D71="","",Pieces!$D71)</f>
        <v/>
      </c>
      <c r="D71" s="4" t="str">
        <f>IF(Pieces!$E71="","",Pieces!$E71)</f>
        <v/>
      </c>
      <c r="E71" s="3" t="str">
        <f>IF(Pieces!$F71="","",Pieces!$F71)</f>
        <v/>
      </c>
      <c r="F71" s="4" t="str">
        <f>IF(Pieces!$G71="","",Pieces!$G71)</f>
        <v/>
      </c>
      <c r="G71" s="4" t="str">
        <f>IF(Pieces!$H71="","",Pieces!$H71)</f>
        <v/>
      </c>
      <c r="H71" s="4" t="str">
        <f>IF(Pieces!$I71="","",Pieces!$I71)</f>
        <v/>
      </c>
    </row>
    <row r="72" spans="1:8" x14ac:dyDescent="0.2">
      <c r="A72" s="4">
        <v>70</v>
      </c>
      <c r="B72" s="3" t="str">
        <f>IF(Pieces!$C72="","",Pieces!$C72)</f>
        <v/>
      </c>
      <c r="C72" s="4" t="str">
        <f>IF(Pieces!$D72="","",Pieces!$D72)</f>
        <v/>
      </c>
      <c r="D72" s="4" t="str">
        <f>IF(Pieces!$E72="","",Pieces!$E72)</f>
        <v/>
      </c>
      <c r="E72" s="3" t="str">
        <f>IF(Pieces!$F72="","",Pieces!$F72)</f>
        <v/>
      </c>
      <c r="F72" s="4" t="str">
        <f>IF(Pieces!$G72="","",Pieces!$G72)</f>
        <v/>
      </c>
      <c r="G72" s="4" t="str">
        <f>IF(Pieces!$H72="","",Pieces!$H72)</f>
        <v/>
      </c>
      <c r="H72" s="4" t="str">
        <f>IF(Pieces!$I72="","",Pieces!$I72)</f>
        <v/>
      </c>
    </row>
    <row r="73" spans="1:8" x14ac:dyDescent="0.2">
      <c r="A73" s="4">
        <v>71</v>
      </c>
      <c r="B73" s="3" t="str">
        <f>IF(Pieces!$C73="","",Pieces!$C73)</f>
        <v/>
      </c>
      <c r="C73" s="4" t="str">
        <f>IF(Pieces!$D73="","",Pieces!$D73)</f>
        <v/>
      </c>
      <c r="D73" s="4" t="str">
        <f>IF(Pieces!$E73="","",Pieces!$E73)</f>
        <v/>
      </c>
      <c r="E73" s="3" t="str">
        <f>IF(Pieces!$F73="","",Pieces!$F73)</f>
        <v/>
      </c>
      <c r="F73" s="4" t="str">
        <f>IF(Pieces!$G73="","",Pieces!$G73)</f>
        <v/>
      </c>
      <c r="G73" s="4" t="str">
        <f>IF(Pieces!$H73="","",Pieces!$H73)</f>
        <v/>
      </c>
      <c r="H73" s="4" t="str">
        <f>IF(Pieces!$I73="","",Pieces!$I73)</f>
        <v/>
      </c>
    </row>
    <row r="74" spans="1:8" x14ac:dyDescent="0.2">
      <c r="A74" s="4">
        <v>72</v>
      </c>
      <c r="B74" s="3" t="str">
        <f>IF(Pieces!$C74="","",Pieces!$C74)</f>
        <v/>
      </c>
      <c r="C74" s="4" t="str">
        <f>IF(Pieces!$D74="","",Pieces!$D74)</f>
        <v/>
      </c>
      <c r="D74" s="4" t="str">
        <f>IF(Pieces!$E74="","",Pieces!$E74)</f>
        <v/>
      </c>
      <c r="E74" s="3" t="str">
        <f>IF(Pieces!$F74="","",Pieces!$F74)</f>
        <v/>
      </c>
      <c r="F74" s="4" t="str">
        <f>IF(Pieces!$G74="","",Pieces!$G74)</f>
        <v/>
      </c>
      <c r="G74" s="4" t="str">
        <f>IF(Pieces!$H74="","",Pieces!$H74)</f>
        <v/>
      </c>
      <c r="H74" s="4" t="str">
        <f>IF(Pieces!$I74="","",Pieces!$I74)</f>
        <v/>
      </c>
    </row>
    <row r="75" spans="1:8" x14ac:dyDescent="0.2">
      <c r="A75" s="4">
        <v>73</v>
      </c>
      <c r="B75" s="3" t="str">
        <f>IF(Pieces!$C75="","",Pieces!$C75)</f>
        <v/>
      </c>
      <c r="C75" s="4" t="str">
        <f>IF(Pieces!$D75="","",Pieces!$D75)</f>
        <v/>
      </c>
      <c r="D75" s="4" t="str">
        <f>IF(Pieces!$E75="","",Pieces!$E75)</f>
        <v/>
      </c>
      <c r="E75" s="3" t="str">
        <f>IF(Pieces!$F75="","",Pieces!$F75)</f>
        <v/>
      </c>
      <c r="F75" s="4" t="str">
        <f>IF(Pieces!$G75="","",Pieces!$G75)</f>
        <v/>
      </c>
      <c r="G75" s="4" t="str">
        <f>IF(Pieces!$H75="","",Pieces!$H75)</f>
        <v/>
      </c>
      <c r="H75" s="4" t="str">
        <f>IF(Pieces!$I75="","",Pieces!$I75)</f>
        <v/>
      </c>
    </row>
    <row r="76" spans="1:8" x14ac:dyDescent="0.2">
      <c r="A76" s="4">
        <v>74</v>
      </c>
      <c r="B76" s="3" t="str">
        <f>IF(Pieces!$C76="","",Pieces!$C76)</f>
        <v/>
      </c>
      <c r="C76" s="4" t="str">
        <f>IF(Pieces!$D76="","",Pieces!$D76)</f>
        <v/>
      </c>
      <c r="D76" s="4" t="str">
        <f>IF(Pieces!$E76="","",Pieces!$E76)</f>
        <v/>
      </c>
      <c r="E76" s="3" t="str">
        <f>IF(Pieces!$F76="","",Pieces!$F76)</f>
        <v/>
      </c>
      <c r="F76" s="4" t="str">
        <f>IF(Pieces!$G76="","",Pieces!$G76)</f>
        <v/>
      </c>
      <c r="G76" s="4" t="str">
        <f>IF(Pieces!$H76="","",Pieces!$H76)</f>
        <v/>
      </c>
      <c r="H76" s="4" t="str">
        <f>IF(Pieces!$I76="","",Pieces!$I76)</f>
        <v/>
      </c>
    </row>
    <row r="77" spans="1:8" x14ac:dyDescent="0.2">
      <c r="A77" s="4">
        <v>75</v>
      </c>
      <c r="B77" s="3" t="str">
        <f>IF(Pieces!$C77="","",Pieces!$C77)</f>
        <v/>
      </c>
      <c r="C77" s="4" t="str">
        <f>IF(Pieces!$D77="","",Pieces!$D77)</f>
        <v/>
      </c>
      <c r="D77" s="4" t="str">
        <f>IF(Pieces!$E77="","",Pieces!$E77)</f>
        <v/>
      </c>
      <c r="E77" s="3" t="str">
        <f>IF(Pieces!$F77="","",Pieces!$F77)</f>
        <v/>
      </c>
      <c r="F77" s="4" t="str">
        <f>IF(Pieces!$G77="","",Pieces!$G77)</f>
        <v/>
      </c>
      <c r="G77" s="4" t="str">
        <f>IF(Pieces!$H77="","",Pieces!$H77)</f>
        <v/>
      </c>
      <c r="H77" s="4" t="str">
        <f>IF(Pieces!$I77="","",Pieces!$I77)</f>
        <v/>
      </c>
    </row>
    <row r="78" spans="1:8" x14ac:dyDescent="0.2">
      <c r="A78" s="4">
        <v>76</v>
      </c>
      <c r="B78" s="3" t="str">
        <f>IF(Pieces!$C78="","",Pieces!$C78)</f>
        <v/>
      </c>
      <c r="C78" s="4" t="str">
        <f>IF(Pieces!$D78="","",Pieces!$D78)</f>
        <v/>
      </c>
      <c r="D78" s="4" t="str">
        <f>IF(Pieces!$E78="","",Pieces!$E78)</f>
        <v/>
      </c>
      <c r="E78" s="3" t="str">
        <f>IF(Pieces!$F78="","",Pieces!$F78)</f>
        <v/>
      </c>
      <c r="F78" s="4" t="str">
        <f>IF(Pieces!$G78="","",Pieces!$G78)</f>
        <v/>
      </c>
      <c r="G78" s="4" t="str">
        <f>IF(Pieces!$H78="","",Pieces!$H78)</f>
        <v/>
      </c>
      <c r="H78" s="4" t="str">
        <f>IF(Pieces!$I78="","",Pieces!$I78)</f>
        <v/>
      </c>
    </row>
    <row r="79" spans="1:8" x14ac:dyDescent="0.2">
      <c r="A79" s="4">
        <v>77</v>
      </c>
      <c r="B79" s="3" t="str">
        <f>IF(Pieces!$C79="","",Pieces!$C79)</f>
        <v/>
      </c>
      <c r="C79" s="4" t="str">
        <f>IF(Pieces!$D79="","",Pieces!$D79)</f>
        <v/>
      </c>
      <c r="D79" s="4" t="str">
        <f>IF(Pieces!$E79="","",Pieces!$E79)</f>
        <v/>
      </c>
      <c r="E79" s="3" t="str">
        <f>IF(Pieces!$F79="","",Pieces!$F79)</f>
        <v/>
      </c>
      <c r="F79" s="4" t="str">
        <f>IF(Pieces!$G79="","",Pieces!$G79)</f>
        <v/>
      </c>
      <c r="G79" s="4" t="str">
        <f>IF(Pieces!$H79="","",Pieces!$H79)</f>
        <v/>
      </c>
      <c r="H79" s="4" t="str">
        <f>IF(Pieces!$I79="","",Pieces!$I79)</f>
        <v/>
      </c>
    </row>
    <row r="80" spans="1:8" x14ac:dyDescent="0.2">
      <c r="A80" s="4">
        <v>78</v>
      </c>
      <c r="B80" s="3" t="str">
        <f>IF(Pieces!$C80="","",Pieces!$C80)</f>
        <v/>
      </c>
      <c r="C80" s="4" t="str">
        <f>IF(Pieces!$D80="","",Pieces!$D80)</f>
        <v/>
      </c>
      <c r="D80" s="4" t="str">
        <f>IF(Pieces!$E80="","",Pieces!$E80)</f>
        <v/>
      </c>
      <c r="E80" s="3" t="str">
        <f>IF(Pieces!$F80="","",Pieces!$F80)</f>
        <v/>
      </c>
      <c r="F80" s="4" t="str">
        <f>IF(Pieces!$G80="","",Pieces!$G80)</f>
        <v/>
      </c>
      <c r="G80" s="4" t="str">
        <f>IF(Pieces!$H80="","",Pieces!$H80)</f>
        <v/>
      </c>
      <c r="H80" s="4" t="str">
        <f>IF(Pieces!$I80="","",Pieces!$I80)</f>
        <v/>
      </c>
    </row>
    <row r="81" spans="1:8" x14ac:dyDescent="0.2">
      <c r="A81" s="4">
        <v>79</v>
      </c>
      <c r="B81" s="3" t="str">
        <f>IF(Pieces!$C81="","",Pieces!$C81)</f>
        <v/>
      </c>
      <c r="C81" s="4" t="str">
        <f>IF(Pieces!$D81="","",Pieces!$D81)</f>
        <v/>
      </c>
      <c r="D81" s="4" t="str">
        <f>IF(Pieces!$E81="","",Pieces!$E81)</f>
        <v/>
      </c>
      <c r="E81" s="3" t="str">
        <f>IF(Pieces!$F81="","",Pieces!$F81)</f>
        <v/>
      </c>
      <c r="F81" s="4" t="str">
        <f>IF(Pieces!$G81="","",Pieces!$G81)</f>
        <v/>
      </c>
      <c r="G81" s="4" t="str">
        <f>IF(Pieces!$H81="","",Pieces!$H81)</f>
        <v/>
      </c>
      <c r="H81" s="4" t="str">
        <f>IF(Pieces!$I81="","",Pieces!$I81)</f>
        <v/>
      </c>
    </row>
    <row r="82" spans="1:8" x14ac:dyDescent="0.2">
      <c r="A82" s="4">
        <v>80</v>
      </c>
      <c r="B82" s="3" t="str">
        <f>IF(Pieces!$C82="","",Pieces!$C82)</f>
        <v/>
      </c>
      <c r="C82" s="4" t="str">
        <f>IF(Pieces!$D82="","",Pieces!$D82)</f>
        <v/>
      </c>
      <c r="D82" s="4" t="str">
        <f>IF(Pieces!$E82="","",Pieces!$E82)</f>
        <v/>
      </c>
      <c r="E82" s="3" t="str">
        <f>IF(Pieces!$F82="","",Pieces!$F82)</f>
        <v/>
      </c>
      <c r="F82" s="4" t="str">
        <f>IF(Pieces!$G82="","",Pieces!$G82)</f>
        <v/>
      </c>
      <c r="G82" s="4" t="str">
        <f>IF(Pieces!$H82="","",Pieces!$H82)</f>
        <v/>
      </c>
      <c r="H82" s="4" t="str">
        <f>IF(Pieces!$I82="","",Pieces!$I82)</f>
        <v/>
      </c>
    </row>
    <row r="83" spans="1:8" x14ac:dyDescent="0.2">
      <c r="A83" s="4">
        <v>81</v>
      </c>
      <c r="B83" s="3" t="str">
        <f>IF(Pieces!$C83="","",Pieces!$C83)</f>
        <v/>
      </c>
      <c r="C83" s="4" t="str">
        <f>IF(Pieces!$D83="","",Pieces!$D83)</f>
        <v/>
      </c>
      <c r="D83" s="4" t="str">
        <f>IF(Pieces!$E83="","",Pieces!$E83)</f>
        <v/>
      </c>
      <c r="E83" s="3" t="str">
        <f>IF(Pieces!$F83="","",Pieces!$F83)</f>
        <v/>
      </c>
      <c r="F83" s="4" t="str">
        <f>IF(Pieces!$G83="","",Pieces!$G83)</f>
        <v/>
      </c>
      <c r="G83" s="4" t="str">
        <f>IF(Pieces!$H83="","",Pieces!$H83)</f>
        <v/>
      </c>
      <c r="H83" s="4" t="str">
        <f>IF(Pieces!$I83="","",Pieces!$I83)</f>
        <v/>
      </c>
    </row>
    <row r="84" spans="1:8" x14ac:dyDescent="0.2">
      <c r="A84" s="4">
        <v>82</v>
      </c>
      <c r="B84" s="3" t="str">
        <f>IF(Pieces!$C84="","",Pieces!$C84)</f>
        <v/>
      </c>
      <c r="C84" s="4" t="str">
        <f>IF(Pieces!$D84="","",Pieces!$D84)</f>
        <v/>
      </c>
      <c r="D84" s="4" t="str">
        <f>IF(Pieces!$E84="","",Pieces!$E84)</f>
        <v/>
      </c>
      <c r="E84" s="3" t="str">
        <f>IF(Pieces!$F84="","",Pieces!$F84)</f>
        <v/>
      </c>
      <c r="F84" s="4" t="str">
        <f>IF(Pieces!$G84="","",Pieces!$G84)</f>
        <v/>
      </c>
      <c r="G84" s="4" t="str">
        <f>IF(Pieces!$H84="","",Pieces!$H84)</f>
        <v/>
      </c>
      <c r="H84" s="4" t="str">
        <f>IF(Pieces!$I84="","",Pieces!$I84)</f>
        <v/>
      </c>
    </row>
    <row r="85" spans="1:8" x14ac:dyDescent="0.2">
      <c r="A85" s="4">
        <v>83</v>
      </c>
      <c r="B85" s="3" t="str">
        <f>IF(Pieces!$C85="","",Pieces!$C85)</f>
        <v/>
      </c>
      <c r="C85" s="4" t="str">
        <f>IF(Pieces!$D85="","",Pieces!$D85)</f>
        <v/>
      </c>
      <c r="D85" s="4" t="str">
        <f>IF(Pieces!$E85="","",Pieces!$E85)</f>
        <v/>
      </c>
      <c r="E85" s="3" t="str">
        <f>IF(Pieces!$F85="","",Pieces!$F85)</f>
        <v/>
      </c>
      <c r="F85" s="4" t="str">
        <f>IF(Pieces!$G85="","",Pieces!$G85)</f>
        <v/>
      </c>
      <c r="G85" s="4" t="str">
        <f>IF(Pieces!$H85="","",Pieces!$H85)</f>
        <v/>
      </c>
      <c r="H85" s="4" t="str">
        <f>IF(Pieces!$I85="","",Pieces!$I85)</f>
        <v/>
      </c>
    </row>
    <row r="86" spans="1:8" x14ac:dyDescent="0.2">
      <c r="A86" s="4">
        <v>84</v>
      </c>
      <c r="B86" s="3" t="str">
        <f>IF(Pieces!$C86="","",Pieces!$C86)</f>
        <v/>
      </c>
      <c r="C86" s="4" t="str">
        <f>IF(Pieces!$D86="","",Pieces!$D86)</f>
        <v/>
      </c>
      <c r="D86" s="4" t="str">
        <f>IF(Pieces!$E86="","",Pieces!$E86)</f>
        <v/>
      </c>
      <c r="E86" s="3" t="str">
        <f>IF(Pieces!$F86="","",Pieces!$F86)</f>
        <v/>
      </c>
      <c r="F86" s="4" t="str">
        <f>IF(Pieces!$G86="","",Pieces!$G86)</f>
        <v/>
      </c>
      <c r="G86" s="4" t="str">
        <f>IF(Pieces!$H86="","",Pieces!$H86)</f>
        <v/>
      </c>
      <c r="H86" s="4" t="str">
        <f>IF(Pieces!$I86="","",Pieces!$I86)</f>
        <v/>
      </c>
    </row>
    <row r="87" spans="1:8" x14ac:dyDescent="0.2">
      <c r="A87" s="4">
        <v>85</v>
      </c>
      <c r="B87" s="3" t="str">
        <f>IF(Pieces!$C87="","",Pieces!$C87)</f>
        <v/>
      </c>
      <c r="C87" s="4" t="str">
        <f>IF(Pieces!$D87="","",Pieces!$D87)</f>
        <v/>
      </c>
      <c r="D87" s="4" t="str">
        <f>IF(Pieces!$E87="","",Pieces!$E87)</f>
        <v/>
      </c>
      <c r="E87" s="3" t="str">
        <f>IF(Pieces!$F87="","",Pieces!$F87)</f>
        <v/>
      </c>
      <c r="F87" s="4" t="str">
        <f>IF(Pieces!$G87="","",Pieces!$G87)</f>
        <v/>
      </c>
      <c r="G87" s="4" t="str">
        <f>IF(Pieces!$H87="","",Pieces!$H87)</f>
        <v/>
      </c>
      <c r="H87" s="4" t="str">
        <f>IF(Pieces!$I87="","",Pieces!$I87)</f>
        <v/>
      </c>
    </row>
    <row r="88" spans="1:8" x14ac:dyDescent="0.2">
      <c r="A88" s="4">
        <v>86</v>
      </c>
      <c r="B88" s="3" t="str">
        <f>IF(Pieces!$C88="","",Pieces!$C88)</f>
        <v/>
      </c>
      <c r="C88" s="4" t="str">
        <f>IF(Pieces!$D88="","",Pieces!$D88)</f>
        <v/>
      </c>
      <c r="D88" s="4" t="str">
        <f>IF(Pieces!$E88="","",Pieces!$E88)</f>
        <v/>
      </c>
      <c r="E88" s="3" t="str">
        <f>IF(Pieces!$F88="","",Pieces!$F88)</f>
        <v/>
      </c>
      <c r="F88" s="4" t="str">
        <f>IF(Pieces!$G88="","",Pieces!$G88)</f>
        <v/>
      </c>
      <c r="G88" s="4" t="str">
        <f>IF(Pieces!$H88="","",Pieces!$H88)</f>
        <v/>
      </c>
      <c r="H88" s="4" t="str">
        <f>IF(Pieces!$I88="","",Pieces!$I88)</f>
        <v/>
      </c>
    </row>
    <row r="89" spans="1:8" x14ac:dyDescent="0.2">
      <c r="A89" s="4">
        <v>87</v>
      </c>
      <c r="B89" s="3" t="str">
        <f>IF(Pieces!$C89="","",Pieces!$C89)</f>
        <v/>
      </c>
      <c r="C89" s="4" t="str">
        <f>IF(Pieces!$D89="","",Pieces!$D89)</f>
        <v/>
      </c>
      <c r="D89" s="4" t="str">
        <f>IF(Pieces!$E89="","",Pieces!$E89)</f>
        <v/>
      </c>
      <c r="E89" s="3" t="str">
        <f>IF(Pieces!$F89="","",Pieces!$F89)</f>
        <v/>
      </c>
      <c r="F89" s="4" t="str">
        <f>IF(Pieces!$G89="","",Pieces!$G89)</f>
        <v/>
      </c>
      <c r="G89" s="4" t="str">
        <f>IF(Pieces!$H89="","",Pieces!$H89)</f>
        <v/>
      </c>
      <c r="H89" s="4" t="str">
        <f>IF(Pieces!$I89="","",Pieces!$I89)</f>
        <v/>
      </c>
    </row>
    <row r="90" spans="1:8" x14ac:dyDescent="0.2">
      <c r="A90" s="4">
        <v>88</v>
      </c>
      <c r="B90" s="3" t="str">
        <f>IF(Pieces!$C90="","",Pieces!$C90)</f>
        <v/>
      </c>
      <c r="C90" s="4" t="str">
        <f>IF(Pieces!$D90="","",Pieces!$D90)</f>
        <v/>
      </c>
      <c r="D90" s="4" t="str">
        <f>IF(Pieces!$E90="","",Pieces!$E90)</f>
        <v/>
      </c>
      <c r="E90" s="3" t="str">
        <f>IF(Pieces!$F90="","",Pieces!$F90)</f>
        <v/>
      </c>
      <c r="F90" s="4" t="str">
        <f>IF(Pieces!$G90="","",Pieces!$G90)</f>
        <v/>
      </c>
      <c r="G90" s="4" t="str">
        <f>IF(Pieces!$H90="","",Pieces!$H90)</f>
        <v/>
      </c>
      <c r="H90" s="4" t="str">
        <f>IF(Pieces!$I90="","",Pieces!$I90)</f>
        <v/>
      </c>
    </row>
    <row r="91" spans="1:8" x14ac:dyDescent="0.2">
      <c r="A91" s="4">
        <v>89</v>
      </c>
      <c r="B91" s="3" t="str">
        <f>IF(Pieces!$C91="","",Pieces!$C91)</f>
        <v/>
      </c>
      <c r="C91" s="4" t="str">
        <f>IF(Pieces!$D91="","",Pieces!$D91)</f>
        <v/>
      </c>
      <c r="D91" s="4" t="str">
        <f>IF(Pieces!$E91="","",Pieces!$E91)</f>
        <v/>
      </c>
      <c r="E91" s="3" t="str">
        <f>IF(Pieces!$F91="","",Pieces!$F91)</f>
        <v/>
      </c>
      <c r="F91" s="4" t="str">
        <f>IF(Pieces!$G91="","",Pieces!$G91)</f>
        <v/>
      </c>
      <c r="G91" s="4" t="str">
        <f>IF(Pieces!$H91="","",Pieces!$H91)</f>
        <v/>
      </c>
      <c r="H91" s="4" t="str">
        <f>IF(Pieces!$I91="","",Pieces!$I91)</f>
        <v/>
      </c>
    </row>
    <row r="92" spans="1:8" x14ac:dyDescent="0.2">
      <c r="A92" s="4">
        <v>90</v>
      </c>
      <c r="B92" s="3" t="str">
        <f>IF(Pieces!$C92="","",Pieces!$C92)</f>
        <v/>
      </c>
      <c r="C92" s="4" t="str">
        <f>IF(Pieces!$D92="","",Pieces!$D92)</f>
        <v/>
      </c>
      <c r="D92" s="4" t="str">
        <f>IF(Pieces!$E92="","",Pieces!$E92)</f>
        <v/>
      </c>
      <c r="E92" s="3" t="str">
        <f>IF(Pieces!$F92="","",Pieces!$F92)</f>
        <v/>
      </c>
      <c r="F92" s="4" t="str">
        <f>IF(Pieces!$G92="","",Pieces!$G92)</f>
        <v/>
      </c>
      <c r="G92" s="4" t="str">
        <f>IF(Pieces!$H92="","",Pieces!$H92)</f>
        <v/>
      </c>
      <c r="H92" s="4" t="str">
        <f>IF(Pieces!$I92="","",Pieces!$I92)</f>
        <v/>
      </c>
    </row>
    <row r="93" spans="1:8" x14ac:dyDescent="0.2">
      <c r="A93" s="4">
        <v>91</v>
      </c>
      <c r="B93" s="3" t="str">
        <f>IF(Pieces!$C93="","",Pieces!$C93)</f>
        <v/>
      </c>
      <c r="C93" s="4" t="str">
        <f>IF(Pieces!$D93="","",Pieces!$D93)</f>
        <v/>
      </c>
      <c r="D93" s="4" t="str">
        <f>IF(Pieces!$E93="","",Pieces!$E93)</f>
        <v/>
      </c>
      <c r="E93" s="3" t="str">
        <f>IF(Pieces!$F93="","",Pieces!$F93)</f>
        <v/>
      </c>
      <c r="F93" s="4" t="str">
        <f>IF(Pieces!$G93="","",Pieces!$G93)</f>
        <v/>
      </c>
      <c r="G93" s="4" t="str">
        <f>IF(Pieces!$H93="","",Pieces!$H93)</f>
        <v/>
      </c>
      <c r="H93" s="4" t="str">
        <f>IF(Pieces!$I93="","",Pieces!$I93)</f>
        <v/>
      </c>
    </row>
    <row r="94" spans="1:8" x14ac:dyDescent="0.2">
      <c r="A94" s="4">
        <v>92</v>
      </c>
      <c r="B94" s="3" t="str">
        <f>IF(Pieces!$C94="","",Pieces!$C94)</f>
        <v/>
      </c>
      <c r="C94" s="4" t="str">
        <f>IF(Pieces!$D94="","",Pieces!$D94)</f>
        <v/>
      </c>
      <c r="D94" s="4" t="str">
        <f>IF(Pieces!$E94="","",Pieces!$E94)</f>
        <v/>
      </c>
      <c r="E94" s="3" t="str">
        <f>IF(Pieces!$F94="","",Pieces!$F94)</f>
        <v/>
      </c>
      <c r="F94" s="4" t="str">
        <f>IF(Pieces!$G94="","",Pieces!$G94)</f>
        <v/>
      </c>
      <c r="G94" s="4" t="str">
        <f>IF(Pieces!$H94="","",Pieces!$H94)</f>
        <v/>
      </c>
      <c r="H94" s="4" t="str">
        <f>IF(Pieces!$I94="","",Pieces!$I94)</f>
        <v/>
      </c>
    </row>
    <row r="95" spans="1:8" x14ac:dyDescent="0.2">
      <c r="A95" s="4">
        <v>93</v>
      </c>
      <c r="B95" s="3" t="str">
        <f>IF(Pieces!$C95="","",Pieces!$C95)</f>
        <v/>
      </c>
      <c r="C95" s="4" t="str">
        <f>IF(Pieces!$D95="","",Pieces!$D95)</f>
        <v/>
      </c>
      <c r="D95" s="4" t="str">
        <f>IF(Pieces!$E95="","",Pieces!$E95)</f>
        <v/>
      </c>
      <c r="E95" s="3" t="str">
        <f>IF(Pieces!$F95="","",Pieces!$F95)</f>
        <v/>
      </c>
      <c r="F95" s="4" t="str">
        <f>IF(Pieces!$G95="","",Pieces!$G95)</f>
        <v/>
      </c>
      <c r="G95" s="4" t="str">
        <f>IF(Pieces!$H95="","",Pieces!$H95)</f>
        <v/>
      </c>
      <c r="H95" s="4" t="str">
        <f>IF(Pieces!$I95="","",Pieces!$I95)</f>
        <v/>
      </c>
    </row>
    <row r="96" spans="1:8" x14ac:dyDescent="0.2">
      <c r="A96" s="4">
        <v>94</v>
      </c>
      <c r="B96" s="3" t="str">
        <f>IF(Pieces!$C96="","",Pieces!$C96)</f>
        <v/>
      </c>
      <c r="C96" s="4" t="str">
        <f>IF(Pieces!$D96="","",Pieces!$D96)</f>
        <v/>
      </c>
      <c r="D96" s="4" t="str">
        <f>IF(Pieces!$E96="","",Pieces!$E96)</f>
        <v/>
      </c>
      <c r="E96" s="3" t="str">
        <f>IF(Pieces!$F96="","",Pieces!$F96)</f>
        <v/>
      </c>
      <c r="F96" s="4" t="str">
        <f>IF(Pieces!$G96="","",Pieces!$G96)</f>
        <v/>
      </c>
      <c r="G96" s="4" t="str">
        <f>IF(Pieces!$H96="","",Pieces!$H96)</f>
        <v/>
      </c>
      <c r="H96" s="4" t="str">
        <f>IF(Pieces!$I96="","",Pieces!$I96)</f>
        <v/>
      </c>
    </row>
    <row r="97" spans="1:8" x14ac:dyDescent="0.2">
      <c r="A97" s="4">
        <v>95</v>
      </c>
      <c r="B97" s="3" t="str">
        <f>IF(Pieces!$C97="","",Pieces!$C97)</f>
        <v/>
      </c>
      <c r="C97" s="4" t="str">
        <f>IF(Pieces!$D97="","",Pieces!$D97)</f>
        <v/>
      </c>
      <c r="D97" s="4" t="str">
        <f>IF(Pieces!$E97="","",Pieces!$E97)</f>
        <v/>
      </c>
      <c r="E97" s="3" t="str">
        <f>IF(Pieces!$F97="","",Pieces!$F97)</f>
        <v/>
      </c>
      <c r="F97" s="4" t="str">
        <f>IF(Pieces!$G97="","",Pieces!$G97)</f>
        <v/>
      </c>
      <c r="G97" s="4" t="str">
        <f>IF(Pieces!$H97="","",Pieces!$H97)</f>
        <v/>
      </c>
      <c r="H97" s="4" t="str">
        <f>IF(Pieces!$I97="","",Pieces!$I97)</f>
        <v/>
      </c>
    </row>
    <row r="98" spans="1:8" x14ac:dyDescent="0.2">
      <c r="A98" s="4">
        <v>96</v>
      </c>
      <c r="B98" s="3" t="str">
        <f>IF(Pieces!$C98="","",Pieces!$C98)</f>
        <v/>
      </c>
      <c r="C98" s="4" t="str">
        <f>IF(Pieces!$D98="","",Pieces!$D98)</f>
        <v/>
      </c>
      <c r="D98" s="4" t="str">
        <f>IF(Pieces!$E98="","",Pieces!$E98)</f>
        <v/>
      </c>
      <c r="E98" s="3" t="str">
        <f>IF(Pieces!$F98="","",Pieces!$F98)</f>
        <v/>
      </c>
      <c r="F98" s="4" t="str">
        <f>IF(Pieces!$G98="","",Pieces!$G98)</f>
        <v/>
      </c>
      <c r="G98" s="4" t="str">
        <f>IF(Pieces!$H98="","",Pieces!$H98)</f>
        <v/>
      </c>
      <c r="H98" s="4" t="str">
        <f>IF(Pieces!$I98="","",Pieces!$I98)</f>
        <v/>
      </c>
    </row>
    <row r="99" spans="1:8" x14ac:dyDescent="0.2">
      <c r="A99" s="4">
        <v>97</v>
      </c>
      <c r="B99" s="3" t="str">
        <f>IF(Pieces!$C99="","",Pieces!$C99)</f>
        <v/>
      </c>
      <c r="C99" s="4" t="str">
        <f>IF(Pieces!$D99="","",Pieces!$D99)</f>
        <v/>
      </c>
      <c r="D99" s="4" t="str">
        <f>IF(Pieces!$E99="","",Pieces!$E99)</f>
        <v/>
      </c>
      <c r="E99" s="3" t="str">
        <f>IF(Pieces!$F99="","",Pieces!$F99)</f>
        <v/>
      </c>
      <c r="F99" s="4" t="str">
        <f>IF(Pieces!$G99="","",Pieces!$G99)</f>
        <v/>
      </c>
      <c r="G99" s="4" t="str">
        <f>IF(Pieces!$H99="","",Pieces!$H99)</f>
        <v/>
      </c>
      <c r="H99" s="4" t="str">
        <f>IF(Pieces!$I99="","",Pieces!$I99)</f>
        <v/>
      </c>
    </row>
    <row r="100" spans="1:8" x14ac:dyDescent="0.2">
      <c r="A100" s="4">
        <v>98</v>
      </c>
      <c r="B100" s="3" t="str">
        <f>IF(Pieces!$C100="","",Pieces!$C100)</f>
        <v/>
      </c>
      <c r="C100" s="4" t="str">
        <f>IF(Pieces!$D100="","",Pieces!$D100)</f>
        <v/>
      </c>
      <c r="D100" s="4" t="str">
        <f>IF(Pieces!$E100="","",Pieces!$E100)</f>
        <v/>
      </c>
      <c r="E100" s="3" t="str">
        <f>IF(Pieces!$F100="","",Pieces!$F100)</f>
        <v/>
      </c>
      <c r="F100" s="4" t="str">
        <f>IF(Pieces!$G100="","",Pieces!$G100)</f>
        <v/>
      </c>
      <c r="G100" s="4" t="str">
        <f>IF(Pieces!$H100="","",Pieces!$H100)</f>
        <v/>
      </c>
      <c r="H100" s="4" t="str">
        <f>IF(Pieces!$I100="","",Pieces!$I100)</f>
        <v/>
      </c>
    </row>
    <row r="101" spans="1:8" x14ac:dyDescent="0.2">
      <c r="A101" s="4">
        <v>99</v>
      </c>
      <c r="B101" s="3" t="str">
        <f>IF(Pieces!$C101="","",Pieces!$C101)</f>
        <v/>
      </c>
      <c r="C101" s="4" t="str">
        <f>IF(Pieces!$D101="","",Pieces!$D101)</f>
        <v/>
      </c>
      <c r="D101" s="4" t="str">
        <f>IF(Pieces!$E101="","",Pieces!$E101)</f>
        <v/>
      </c>
      <c r="E101" s="3" t="str">
        <f>IF(Pieces!$F101="","",Pieces!$F101)</f>
        <v/>
      </c>
      <c r="F101" s="4" t="str">
        <f>IF(Pieces!$G101="","",Pieces!$G101)</f>
        <v/>
      </c>
      <c r="G101" s="4" t="str">
        <f>IF(Pieces!$H101="","",Pieces!$H101)</f>
        <v/>
      </c>
      <c r="H101" s="4" t="str">
        <f>IF(Pieces!$I101="","",Pieces!$I101)</f>
        <v/>
      </c>
    </row>
    <row r="102" spans="1:8" x14ac:dyDescent="0.2">
      <c r="A102" s="4">
        <v>100</v>
      </c>
      <c r="B102" s="3" t="str">
        <f>IF(Pieces!$C102="","",Pieces!$C102)</f>
        <v/>
      </c>
      <c r="C102" s="4" t="str">
        <f>IF(Pieces!$D102="","",Pieces!$D102)</f>
        <v/>
      </c>
      <c r="D102" s="4" t="str">
        <f>IF(Pieces!$E102="","",Pieces!$E102)</f>
        <v/>
      </c>
      <c r="E102" s="3" t="str">
        <f>IF(Pieces!$F102="","",Pieces!$F102)</f>
        <v/>
      </c>
      <c r="F102" s="4" t="str">
        <f>IF(Pieces!$G102="","",Pieces!$G102)</f>
        <v/>
      </c>
      <c r="G102" s="4" t="str">
        <f>IF(Pieces!$H102="","",Pieces!$H102)</f>
        <v/>
      </c>
      <c r="H102" s="4" t="str">
        <f>IF(Pieces!$I102="","",Pieces!$I102)</f>
        <v/>
      </c>
    </row>
    <row r="103" spans="1:8" x14ac:dyDescent="0.2">
      <c r="A103" s="4">
        <v>101</v>
      </c>
      <c r="B103" s="3" t="str">
        <f>IF(Pieces!$C103="","",Pieces!$C103)</f>
        <v/>
      </c>
      <c r="C103" s="4" t="str">
        <f>IF(Pieces!$D103="","",Pieces!$D103)</f>
        <v/>
      </c>
      <c r="D103" s="4" t="str">
        <f>IF(Pieces!$E103="","",Pieces!$E103)</f>
        <v/>
      </c>
      <c r="E103" s="3" t="str">
        <f>IF(Pieces!$F103="","",Pieces!$F103)</f>
        <v/>
      </c>
      <c r="F103" s="4" t="str">
        <f>IF(Pieces!$G103="","",Pieces!$G103)</f>
        <v/>
      </c>
      <c r="G103" s="4" t="str">
        <f>IF(Pieces!$H103="","",Pieces!$H103)</f>
        <v/>
      </c>
      <c r="H103" s="4" t="str">
        <f>IF(Pieces!$I103="","",Pieces!$I103)</f>
        <v/>
      </c>
    </row>
    <row r="104" spans="1:8" x14ac:dyDescent="0.2">
      <c r="A104" s="4">
        <v>102</v>
      </c>
      <c r="B104" s="3" t="str">
        <f>IF(Pieces!$C104="","",Pieces!$C104)</f>
        <v/>
      </c>
      <c r="C104" s="4" t="str">
        <f>IF(Pieces!$D104="","",Pieces!$D104)</f>
        <v/>
      </c>
      <c r="D104" s="4" t="str">
        <f>IF(Pieces!$E104="","",Pieces!$E104)</f>
        <v/>
      </c>
      <c r="E104" s="3" t="str">
        <f>IF(Pieces!$F104="","",Pieces!$F104)</f>
        <v/>
      </c>
      <c r="F104" s="4" t="str">
        <f>IF(Pieces!$G104="","",Pieces!$G104)</f>
        <v/>
      </c>
      <c r="G104" s="4" t="str">
        <f>IF(Pieces!$H104="","",Pieces!$H104)</f>
        <v/>
      </c>
      <c r="H104" s="4" t="str">
        <f>IF(Pieces!$I104="","",Pieces!$I104)</f>
        <v/>
      </c>
    </row>
    <row r="105" spans="1:8" x14ac:dyDescent="0.2">
      <c r="A105" s="4">
        <v>103</v>
      </c>
      <c r="B105" s="3" t="str">
        <f>IF(Pieces!$C105="","",Pieces!$C105)</f>
        <v/>
      </c>
      <c r="C105" s="4" t="str">
        <f>IF(Pieces!$D105="","",Pieces!$D105)</f>
        <v/>
      </c>
      <c r="D105" s="4" t="str">
        <f>IF(Pieces!$E105="","",Pieces!$E105)</f>
        <v/>
      </c>
      <c r="E105" s="3" t="str">
        <f>IF(Pieces!$F105="","",Pieces!$F105)</f>
        <v/>
      </c>
      <c r="F105" s="4" t="str">
        <f>IF(Pieces!$G105="","",Pieces!$G105)</f>
        <v/>
      </c>
      <c r="G105" s="4" t="str">
        <f>IF(Pieces!$H105="","",Pieces!$H105)</f>
        <v/>
      </c>
      <c r="H105" s="4" t="str">
        <f>IF(Pieces!$I105="","",Pieces!$I105)</f>
        <v/>
      </c>
    </row>
    <row r="106" spans="1:8" x14ac:dyDescent="0.2">
      <c r="A106" s="4">
        <v>104</v>
      </c>
      <c r="B106" s="3" t="str">
        <f>IF(Pieces!$C106="","",Pieces!$C106)</f>
        <v/>
      </c>
      <c r="C106" s="4" t="str">
        <f>IF(Pieces!$D106="","",Pieces!$D106)</f>
        <v/>
      </c>
      <c r="D106" s="4" t="str">
        <f>IF(Pieces!$E106="","",Pieces!$E106)</f>
        <v/>
      </c>
      <c r="E106" s="3" t="str">
        <f>IF(Pieces!$F106="","",Pieces!$F106)</f>
        <v/>
      </c>
      <c r="F106" s="4" t="str">
        <f>IF(Pieces!$G106="","",Pieces!$G106)</f>
        <v/>
      </c>
      <c r="G106" s="4" t="str">
        <f>IF(Pieces!$H106="","",Pieces!$H106)</f>
        <v/>
      </c>
      <c r="H106" s="4" t="str">
        <f>IF(Pieces!$I106="","",Pieces!$I106)</f>
        <v/>
      </c>
    </row>
    <row r="107" spans="1:8" x14ac:dyDescent="0.2">
      <c r="A107" s="4">
        <v>105</v>
      </c>
      <c r="B107" s="3" t="str">
        <f>IF(Pieces!$C107="","",Pieces!$C107)</f>
        <v/>
      </c>
      <c r="C107" s="4" t="str">
        <f>IF(Pieces!$D107="","",Pieces!$D107)</f>
        <v/>
      </c>
      <c r="D107" s="4" t="str">
        <f>IF(Pieces!$E107="","",Pieces!$E107)</f>
        <v/>
      </c>
      <c r="E107" s="3" t="str">
        <f>IF(Pieces!$F107="","",Pieces!$F107)</f>
        <v/>
      </c>
      <c r="F107" s="4" t="str">
        <f>IF(Pieces!$G107="","",Pieces!$G107)</f>
        <v/>
      </c>
      <c r="G107" s="4" t="str">
        <f>IF(Pieces!$H107="","",Pieces!$H107)</f>
        <v/>
      </c>
      <c r="H107" s="4" t="str">
        <f>IF(Pieces!$I107="","",Pieces!$I107)</f>
        <v/>
      </c>
    </row>
    <row r="108" spans="1:8" x14ac:dyDescent="0.2">
      <c r="A108" s="4">
        <v>106</v>
      </c>
      <c r="B108" s="3" t="str">
        <f>IF(Pieces!$C108="","",Pieces!$C108)</f>
        <v/>
      </c>
      <c r="C108" s="4" t="str">
        <f>IF(Pieces!$D108="","",Pieces!$D108)</f>
        <v/>
      </c>
      <c r="D108" s="4" t="str">
        <f>IF(Pieces!$E108="","",Pieces!$E108)</f>
        <v/>
      </c>
      <c r="E108" s="3" t="str">
        <f>IF(Pieces!$F108="","",Pieces!$F108)</f>
        <v/>
      </c>
      <c r="F108" s="4" t="str">
        <f>IF(Pieces!$G108="","",Pieces!$G108)</f>
        <v/>
      </c>
      <c r="G108" s="4" t="str">
        <f>IF(Pieces!$H108="","",Pieces!$H108)</f>
        <v/>
      </c>
      <c r="H108" s="4" t="str">
        <f>IF(Pieces!$I108="","",Pieces!$I108)</f>
        <v/>
      </c>
    </row>
    <row r="109" spans="1:8" x14ac:dyDescent="0.2">
      <c r="A109" s="4">
        <v>107</v>
      </c>
      <c r="B109" s="3" t="str">
        <f>IF(Pieces!$C109="","",Pieces!$C109)</f>
        <v/>
      </c>
      <c r="C109" s="4" t="str">
        <f>IF(Pieces!$D109="","",Pieces!$D109)</f>
        <v/>
      </c>
      <c r="D109" s="4" t="str">
        <f>IF(Pieces!$E109="","",Pieces!$E109)</f>
        <v/>
      </c>
      <c r="E109" s="3" t="str">
        <f>IF(Pieces!$F109="","",Pieces!$F109)</f>
        <v/>
      </c>
      <c r="F109" s="4" t="str">
        <f>IF(Pieces!$G109="","",Pieces!$G109)</f>
        <v/>
      </c>
      <c r="G109" s="4" t="str">
        <f>IF(Pieces!$H109="","",Pieces!$H109)</f>
        <v/>
      </c>
      <c r="H109" s="4" t="str">
        <f>IF(Pieces!$I109="","",Pieces!$I109)</f>
        <v/>
      </c>
    </row>
    <row r="110" spans="1:8" x14ac:dyDescent="0.2">
      <c r="A110" s="4">
        <v>108</v>
      </c>
      <c r="B110" s="3" t="str">
        <f>IF(Pieces!$C110="","",Pieces!$C110)</f>
        <v/>
      </c>
      <c r="C110" s="4" t="str">
        <f>IF(Pieces!$D110="","",Pieces!$D110)</f>
        <v/>
      </c>
      <c r="D110" s="4" t="str">
        <f>IF(Pieces!$E110="","",Pieces!$E110)</f>
        <v/>
      </c>
      <c r="E110" s="3" t="str">
        <f>IF(Pieces!$F110="","",Pieces!$F110)</f>
        <v/>
      </c>
      <c r="F110" s="4" t="str">
        <f>IF(Pieces!$G110="","",Pieces!$G110)</f>
        <v/>
      </c>
      <c r="G110" s="4" t="str">
        <f>IF(Pieces!$H110="","",Pieces!$H110)</f>
        <v/>
      </c>
      <c r="H110" s="4" t="str">
        <f>IF(Pieces!$I110="","",Pieces!$I110)</f>
        <v/>
      </c>
    </row>
    <row r="111" spans="1:8" x14ac:dyDescent="0.2">
      <c r="A111" s="4">
        <v>109</v>
      </c>
      <c r="B111" s="3" t="str">
        <f>IF(Pieces!$C111="","",Pieces!$C111)</f>
        <v/>
      </c>
      <c r="C111" s="4" t="str">
        <f>IF(Pieces!$D111="","",Pieces!$D111)</f>
        <v/>
      </c>
      <c r="D111" s="4" t="str">
        <f>IF(Pieces!$E111="","",Pieces!$E111)</f>
        <v/>
      </c>
      <c r="E111" s="3" t="str">
        <f>IF(Pieces!$F111="","",Pieces!$F111)</f>
        <v/>
      </c>
      <c r="F111" s="4" t="str">
        <f>IF(Pieces!$G111="","",Pieces!$G111)</f>
        <v/>
      </c>
      <c r="G111" s="4" t="str">
        <f>IF(Pieces!$H111="","",Pieces!$H111)</f>
        <v/>
      </c>
      <c r="H111" s="4" t="str">
        <f>IF(Pieces!$I111="","",Pieces!$I111)</f>
        <v/>
      </c>
    </row>
    <row r="112" spans="1:8" x14ac:dyDescent="0.2">
      <c r="A112" s="4">
        <v>110</v>
      </c>
      <c r="B112" s="3" t="str">
        <f>IF(Pieces!$C112="","",Pieces!$C112)</f>
        <v/>
      </c>
      <c r="C112" s="4" t="str">
        <f>IF(Pieces!$D112="","",Pieces!$D112)</f>
        <v/>
      </c>
      <c r="D112" s="4" t="str">
        <f>IF(Pieces!$E112="","",Pieces!$E112)</f>
        <v/>
      </c>
      <c r="E112" s="3" t="str">
        <f>IF(Pieces!$F112="","",Pieces!$F112)</f>
        <v/>
      </c>
      <c r="F112" s="4" t="str">
        <f>IF(Pieces!$G112="","",Pieces!$G112)</f>
        <v/>
      </c>
      <c r="G112" s="4" t="str">
        <f>IF(Pieces!$H112="","",Pieces!$H112)</f>
        <v/>
      </c>
      <c r="H112" s="4" t="str">
        <f>IF(Pieces!$I112="","",Pieces!$I112)</f>
        <v/>
      </c>
    </row>
    <row r="113" spans="1:8" x14ac:dyDescent="0.2">
      <c r="A113" s="4">
        <v>111</v>
      </c>
      <c r="B113" s="3" t="str">
        <f>IF(Pieces!$C113="","",Pieces!$C113)</f>
        <v/>
      </c>
      <c r="C113" s="4" t="str">
        <f>IF(Pieces!$D113="","",Pieces!$D113)</f>
        <v/>
      </c>
      <c r="D113" s="4" t="str">
        <f>IF(Pieces!$E113="","",Pieces!$E113)</f>
        <v/>
      </c>
      <c r="E113" s="3" t="str">
        <f>IF(Pieces!$F113="","",Pieces!$F113)</f>
        <v/>
      </c>
      <c r="F113" s="4" t="str">
        <f>IF(Pieces!$G113="","",Pieces!$G113)</f>
        <v/>
      </c>
      <c r="G113" s="4" t="str">
        <f>IF(Pieces!$H113="","",Pieces!$H113)</f>
        <v/>
      </c>
      <c r="H113" s="4" t="str">
        <f>IF(Pieces!$I113="","",Pieces!$I113)</f>
        <v/>
      </c>
    </row>
    <row r="114" spans="1:8" x14ac:dyDescent="0.2">
      <c r="A114" s="4">
        <v>112</v>
      </c>
      <c r="B114" s="3" t="str">
        <f>IF(Pieces!$C114="","",Pieces!$C114)</f>
        <v/>
      </c>
      <c r="C114" s="4" t="str">
        <f>IF(Pieces!$D114="","",Pieces!$D114)</f>
        <v/>
      </c>
      <c r="D114" s="4" t="str">
        <f>IF(Pieces!$E114="","",Pieces!$E114)</f>
        <v/>
      </c>
      <c r="E114" s="3" t="str">
        <f>IF(Pieces!$F114="","",Pieces!$F114)</f>
        <v/>
      </c>
      <c r="F114" s="4" t="str">
        <f>IF(Pieces!$G114="","",Pieces!$G114)</f>
        <v/>
      </c>
      <c r="G114" s="4" t="str">
        <f>IF(Pieces!$H114="","",Pieces!$H114)</f>
        <v/>
      </c>
      <c r="H114" s="4" t="str">
        <f>IF(Pieces!$I114="","",Pieces!$I114)</f>
        <v/>
      </c>
    </row>
    <row r="115" spans="1:8" x14ac:dyDescent="0.2">
      <c r="A115" s="4">
        <v>113</v>
      </c>
      <c r="B115" s="3" t="str">
        <f>IF(Pieces!$C115="","",Pieces!$C115)</f>
        <v/>
      </c>
      <c r="C115" s="4" t="str">
        <f>IF(Pieces!$D115="","",Pieces!$D115)</f>
        <v/>
      </c>
      <c r="D115" s="4" t="str">
        <f>IF(Pieces!$E115="","",Pieces!$E115)</f>
        <v/>
      </c>
      <c r="E115" s="3" t="str">
        <f>IF(Pieces!$F115="","",Pieces!$F115)</f>
        <v/>
      </c>
      <c r="F115" s="4" t="str">
        <f>IF(Pieces!$G115="","",Pieces!$G115)</f>
        <v/>
      </c>
      <c r="G115" s="4" t="str">
        <f>IF(Pieces!$H115="","",Pieces!$H115)</f>
        <v/>
      </c>
      <c r="H115" s="4" t="str">
        <f>IF(Pieces!$I115="","",Pieces!$I115)</f>
        <v/>
      </c>
    </row>
    <row r="116" spans="1:8" x14ac:dyDescent="0.2">
      <c r="A116" s="4">
        <v>114</v>
      </c>
      <c r="B116" s="3" t="str">
        <f>IF(Pieces!$C116="","",Pieces!$C116)</f>
        <v/>
      </c>
      <c r="C116" s="4" t="str">
        <f>IF(Pieces!$D116="","",Pieces!$D116)</f>
        <v/>
      </c>
      <c r="D116" s="4" t="str">
        <f>IF(Pieces!$E116="","",Pieces!$E116)</f>
        <v/>
      </c>
      <c r="E116" s="3" t="str">
        <f>IF(Pieces!$F116="","",Pieces!$F116)</f>
        <v/>
      </c>
      <c r="F116" s="4" t="str">
        <f>IF(Pieces!$G116="","",Pieces!$G116)</f>
        <v/>
      </c>
      <c r="G116" s="4" t="str">
        <f>IF(Pieces!$H116="","",Pieces!$H116)</f>
        <v/>
      </c>
      <c r="H116" s="4" t="str">
        <f>IF(Pieces!$I116="","",Pieces!$I116)</f>
        <v/>
      </c>
    </row>
    <row r="117" spans="1:8" x14ac:dyDescent="0.2">
      <c r="A117" s="4">
        <v>115</v>
      </c>
      <c r="B117" s="3" t="str">
        <f>IF(Pieces!$C117="","",Pieces!$C117)</f>
        <v/>
      </c>
      <c r="C117" s="4" t="str">
        <f>IF(Pieces!$D117="","",Pieces!$D117)</f>
        <v/>
      </c>
      <c r="D117" s="4" t="str">
        <f>IF(Pieces!$E117="","",Pieces!$E117)</f>
        <v/>
      </c>
      <c r="E117" s="3" t="str">
        <f>IF(Pieces!$F117="","",Pieces!$F117)</f>
        <v/>
      </c>
      <c r="F117" s="4" t="str">
        <f>IF(Pieces!$G117="","",Pieces!$G117)</f>
        <v/>
      </c>
      <c r="G117" s="4" t="str">
        <f>IF(Pieces!$H117="","",Pieces!$H117)</f>
        <v/>
      </c>
      <c r="H117" s="4" t="str">
        <f>IF(Pieces!$I117="","",Pieces!$I117)</f>
        <v/>
      </c>
    </row>
    <row r="118" spans="1:8" x14ac:dyDescent="0.2">
      <c r="A118" s="4">
        <v>116</v>
      </c>
      <c r="B118" s="3" t="str">
        <f>IF(Pieces!$C118="","",Pieces!$C118)</f>
        <v/>
      </c>
      <c r="C118" s="4" t="str">
        <f>IF(Pieces!$D118="","",Pieces!$D118)</f>
        <v/>
      </c>
      <c r="D118" s="4" t="str">
        <f>IF(Pieces!$E118="","",Pieces!$E118)</f>
        <v/>
      </c>
      <c r="E118" s="3" t="str">
        <f>IF(Pieces!$F118="","",Pieces!$F118)</f>
        <v/>
      </c>
      <c r="F118" s="4" t="str">
        <f>IF(Pieces!$G118="","",Pieces!$G118)</f>
        <v/>
      </c>
      <c r="G118" s="4" t="str">
        <f>IF(Pieces!$H118="","",Pieces!$H118)</f>
        <v/>
      </c>
      <c r="H118" s="4" t="str">
        <f>IF(Pieces!$I118="","",Pieces!$I118)</f>
        <v/>
      </c>
    </row>
    <row r="119" spans="1:8" x14ac:dyDescent="0.2">
      <c r="A119" s="4">
        <v>117</v>
      </c>
      <c r="B119" s="3" t="str">
        <f>IF(Pieces!$C119="","",Pieces!$C119)</f>
        <v/>
      </c>
      <c r="C119" s="4" t="str">
        <f>IF(Pieces!$D119="","",Pieces!$D119)</f>
        <v/>
      </c>
      <c r="D119" s="4" t="str">
        <f>IF(Pieces!$E119="","",Pieces!$E119)</f>
        <v/>
      </c>
      <c r="E119" s="3" t="str">
        <f>IF(Pieces!$F119="","",Pieces!$F119)</f>
        <v/>
      </c>
      <c r="F119" s="4" t="str">
        <f>IF(Pieces!$G119="","",Pieces!$G119)</f>
        <v/>
      </c>
      <c r="G119" s="4" t="str">
        <f>IF(Pieces!$H119="","",Pieces!$H119)</f>
        <v/>
      </c>
      <c r="H119" s="4" t="str">
        <f>IF(Pieces!$I119="","",Pieces!$I119)</f>
        <v/>
      </c>
    </row>
    <row r="120" spans="1:8" x14ac:dyDescent="0.2">
      <c r="A120" s="4">
        <v>118</v>
      </c>
      <c r="B120" s="3" t="str">
        <f>IF(Pieces!$C120="","",Pieces!$C120)</f>
        <v/>
      </c>
      <c r="C120" s="4" t="str">
        <f>IF(Pieces!$D120="","",Pieces!$D120)</f>
        <v/>
      </c>
      <c r="D120" s="4" t="str">
        <f>IF(Pieces!$E120="","",Pieces!$E120)</f>
        <v/>
      </c>
      <c r="E120" s="3" t="str">
        <f>IF(Pieces!$F120="","",Pieces!$F120)</f>
        <v/>
      </c>
      <c r="F120" s="4" t="str">
        <f>IF(Pieces!$G120="","",Pieces!$G120)</f>
        <v/>
      </c>
      <c r="G120" s="4" t="str">
        <f>IF(Pieces!$H120="","",Pieces!$H120)</f>
        <v/>
      </c>
      <c r="H120" s="4" t="str">
        <f>IF(Pieces!$I120="","",Pieces!$I120)</f>
        <v/>
      </c>
    </row>
    <row r="121" spans="1:8" x14ac:dyDescent="0.2">
      <c r="A121" s="4">
        <v>119</v>
      </c>
      <c r="B121" s="3" t="str">
        <f>IF(Pieces!$C121="","",Pieces!$C121)</f>
        <v/>
      </c>
      <c r="C121" s="4" t="str">
        <f>IF(Pieces!$D121="","",Pieces!$D121)</f>
        <v/>
      </c>
      <c r="D121" s="4" t="str">
        <f>IF(Pieces!$E121="","",Pieces!$E121)</f>
        <v/>
      </c>
      <c r="E121" s="3" t="str">
        <f>IF(Pieces!$F121="","",Pieces!$F121)</f>
        <v/>
      </c>
      <c r="F121" s="4" t="str">
        <f>IF(Pieces!$G121="","",Pieces!$G121)</f>
        <v/>
      </c>
      <c r="G121" s="4" t="str">
        <f>IF(Pieces!$H121="","",Pieces!$H121)</f>
        <v/>
      </c>
      <c r="H121" s="4" t="str">
        <f>IF(Pieces!$I121="","",Pieces!$I121)</f>
        <v/>
      </c>
    </row>
    <row r="122" spans="1:8" x14ac:dyDescent="0.2">
      <c r="A122" s="4">
        <v>120</v>
      </c>
      <c r="B122" s="3" t="str">
        <f>IF(Pieces!$C122="","",Pieces!$C122)</f>
        <v/>
      </c>
      <c r="C122" s="4" t="str">
        <f>IF(Pieces!$D122="","",Pieces!$D122)</f>
        <v/>
      </c>
      <c r="D122" s="4" t="str">
        <f>IF(Pieces!$E122="","",Pieces!$E122)</f>
        <v/>
      </c>
      <c r="E122" s="3" t="str">
        <f>IF(Pieces!$F122="","",Pieces!$F122)</f>
        <v/>
      </c>
      <c r="F122" s="4" t="str">
        <f>IF(Pieces!$G122="","",Pieces!$G122)</f>
        <v/>
      </c>
      <c r="G122" s="4" t="str">
        <f>IF(Pieces!$H122="","",Pieces!$H122)</f>
        <v/>
      </c>
      <c r="H122" s="4" t="str">
        <f>IF(Pieces!$I122="","",Pieces!$I122)</f>
        <v/>
      </c>
    </row>
    <row r="123" spans="1:8" x14ac:dyDescent="0.2">
      <c r="A123" s="4">
        <v>121</v>
      </c>
      <c r="B123" s="3" t="str">
        <f>IF(Pieces!$C123="","",Pieces!$C123)</f>
        <v/>
      </c>
      <c r="C123" s="4" t="str">
        <f>IF(Pieces!$D123="","",Pieces!$D123)</f>
        <v/>
      </c>
      <c r="D123" s="4" t="str">
        <f>IF(Pieces!$E123="","",Pieces!$E123)</f>
        <v/>
      </c>
      <c r="E123" s="3" t="str">
        <f>IF(Pieces!$F123="","",Pieces!$F123)</f>
        <v/>
      </c>
      <c r="F123" s="4" t="str">
        <f>IF(Pieces!$G123="","",Pieces!$G123)</f>
        <v/>
      </c>
      <c r="G123" s="4" t="str">
        <f>IF(Pieces!$H123="","",Pieces!$H123)</f>
        <v/>
      </c>
      <c r="H123" s="4" t="str">
        <f>IF(Pieces!$I123="","",Pieces!$I123)</f>
        <v/>
      </c>
    </row>
    <row r="124" spans="1:8" x14ac:dyDescent="0.2">
      <c r="A124" s="4">
        <v>122</v>
      </c>
      <c r="B124" s="3" t="str">
        <f>IF(Pieces!$C124="","",Pieces!$C124)</f>
        <v/>
      </c>
      <c r="C124" s="4" t="str">
        <f>IF(Pieces!$D124="","",Pieces!$D124)</f>
        <v/>
      </c>
      <c r="D124" s="4" t="str">
        <f>IF(Pieces!$E124="","",Pieces!$E124)</f>
        <v/>
      </c>
      <c r="E124" s="3" t="str">
        <f>IF(Pieces!$F124="","",Pieces!$F124)</f>
        <v/>
      </c>
      <c r="F124" s="4" t="str">
        <f>IF(Pieces!$G124="","",Pieces!$G124)</f>
        <v/>
      </c>
      <c r="G124" s="4" t="str">
        <f>IF(Pieces!$H124="","",Pieces!$H124)</f>
        <v/>
      </c>
      <c r="H124" s="4" t="str">
        <f>IF(Pieces!$I124="","",Pieces!$I124)</f>
        <v/>
      </c>
    </row>
    <row r="125" spans="1:8" x14ac:dyDescent="0.2">
      <c r="A125" s="4">
        <v>123</v>
      </c>
      <c r="B125" s="3" t="str">
        <f>IF(Pieces!$C125="","",Pieces!$C125)</f>
        <v/>
      </c>
      <c r="C125" s="4" t="str">
        <f>IF(Pieces!$D125="","",Pieces!$D125)</f>
        <v/>
      </c>
      <c r="D125" s="4" t="str">
        <f>IF(Pieces!$E125="","",Pieces!$E125)</f>
        <v/>
      </c>
      <c r="E125" s="3" t="str">
        <f>IF(Pieces!$F125="","",Pieces!$F125)</f>
        <v/>
      </c>
      <c r="F125" s="4" t="str">
        <f>IF(Pieces!$G125="","",Pieces!$G125)</f>
        <v/>
      </c>
      <c r="G125" s="4" t="str">
        <f>IF(Pieces!$H125="","",Pieces!$H125)</f>
        <v/>
      </c>
      <c r="H125" s="4" t="str">
        <f>IF(Pieces!$I125="","",Pieces!$I125)</f>
        <v/>
      </c>
    </row>
    <row r="126" spans="1:8" x14ac:dyDescent="0.2">
      <c r="A126" s="4">
        <v>124</v>
      </c>
      <c r="B126" s="3" t="str">
        <f>IF(Pieces!$C126="","",Pieces!$C126)</f>
        <v/>
      </c>
      <c r="C126" s="4" t="str">
        <f>IF(Pieces!$D126="","",Pieces!$D126)</f>
        <v/>
      </c>
      <c r="D126" s="4" t="str">
        <f>IF(Pieces!$E126="","",Pieces!$E126)</f>
        <v/>
      </c>
      <c r="E126" s="3" t="str">
        <f>IF(Pieces!$F126="","",Pieces!$F126)</f>
        <v/>
      </c>
      <c r="F126" s="4" t="str">
        <f>IF(Pieces!$G126="","",Pieces!$G126)</f>
        <v/>
      </c>
      <c r="G126" s="4" t="str">
        <f>IF(Pieces!$H126="","",Pieces!$H126)</f>
        <v/>
      </c>
      <c r="H126" s="4" t="str">
        <f>IF(Pieces!$I126="","",Pieces!$I126)</f>
        <v/>
      </c>
    </row>
    <row r="127" spans="1:8" x14ac:dyDescent="0.2">
      <c r="A127" s="4">
        <v>125</v>
      </c>
      <c r="B127" s="3" t="str">
        <f>IF(Pieces!$C127="","",Pieces!$C127)</f>
        <v/>
      </c>
      <c r="C127" s="4" t="str">
        <f>IF(Pieces!$D127="","",Pieces!$D127)</f>
        <v/>
      </c>
      <c r="D127" s="4" t="str">
        <f>IF(Pieces!$E127="","",Pieces!$E127)</f>
        <v/>
      </c>
      <c r="E127" s="3" t="str">
        <f>IF(Pieces!$F127="","",Pieces!$F127)</f>
        <v/>
      </c>
      <c r="F127" s="4" t="str">
        <f>IF(Pieces!$G127="","",Pieces!$G127)</f>
        <v/>
      </c>
      <c r="G127" s="4" t="str">
        <f>IF(Pieces!$H127="","",Pieces!$H127)</f>
        <v/>
      </c>
      <c r="H127" s="4" t="str">
        <f>IF(Pieces!$I127="","",Pieces!$I127)</f>
        <v/>
      </c>
    </row>
    <row r="128" spans="1:8" x14ac:dyDescent="0.2">
      <c r="A128" s="4">
        <v>126</v>
      </c>
      <c r="B128" s="3" t="str">
        <f>IF(Pieces!$C128="","",Pieces!$C128)</f>
        <v/>
      </c>
      <c r="C128" s="4" t="str">
        <f>IF(Pieces!$D128="","",Pieces!$D128)</f>
        <v/>
      </c>
      <c r="D128" s="4" t="str">
        <f>IF(Pieces!$E128="","",Pieces!$E128)</f>
        <v/>
      </c>
      <c r="E128" s="3" t="str">
        <f>IF(Pieces!$F128="","",Pieces!$F128)</f>
        <v/>
      </c>
      <c r="F128" s="4" t="str">
        <f>IF(Pieces!$G128="","",Pieces!$G128)</f>
        <v/>
      </c>
      <c r="G128" s="4" t="str">
        <f>IF(Pieces!$H128="","",Pieces!$H128)</f>
        <v/>
      </c>
      <c r="H128" s="4" t="str">
        <f>IF(Pieces!$I128="","",Pieces!$I128)</f>
        <v/>
      </c>
    </row>
    <row r="129" spans="1:8" x14ac:dyDescent="0.2">
      <c r="A129" s="4">
        <v>127</v>
      </c>
      <c r="B129" s="3" t="str">
        <f>IF(Pieces!$C129="","",Pieces!$C129)</f>
        <v/>
      </c>
      <c r="C129" s="4" t="str">
        <f>IF(Pieces!$D129="","",Pieces!$D129)</f>
        <v/>
      </c>
      <c r="D129" s="4" t="str">
        <f>IF(Pieces!$E129="","",Pieces!$E129)</f>
        <v/>
      </c>
      <c r="E129" s="3" t="str">
        <f>IF(Pieces!$F129="","",Pieces!$F129)</f>
        <v/>
      </c>
      <c r="F129" s="4" t="str">
        <f>IF(Pieces!$G129="","",Pieces!$G129)</f>
        <v/>
      </c>
      <c r="G129" s="4" t="str">
        <f>IF(Pieces!$H129="","",Pieces!$H129)</f>
        <v/>
      </c>
      <c r="H129" s="4" t="str">
        <f>IF(Pieces!$I129="","",Pieces!$I129)</f>
        <v/>
      </c>
    </row>
    <row r="130" spans="1:8" x14ac:dyDescent="0.2">
      <c r="A130" s="4">
        <v>128</v>
      </c>
      <c r="B130" s="3" t="str">
        <f>IF(Pieces!$C130="","",Pieces!$C130)</f>
        <v/>
      </c>
      <c r="C130" s="4" t="str">
        <f>IF(Pieces!$D130="","",Pieces!$D130)</f>
        <v/>
      </c>
      <c r="D130" s="4" t="str">
        <f>IF(Pieces!$E130="","",Pieces!$E130)</f>
        <v/>
      </c>
      <c r="E130" s="3" t="str">
        <f>IF(Pieces!$F130="","",Pieces!$F130)</f>
        <v/>
      </c>
      <c r="F130" s="4" t="str">
        <f>IF(Pieces!$G130="","",Pieces!$G130)</f>
        <v/>
      </c>
      <c r="G130" s="4" t="str">
        <f>IF(Pieces!$H130="","",Pieces!$H130)</f>
        <v/>
      </c>
      <c r="H130" s="4" t="str">
        <f>IF(Pieces!$I130="","",Pieces!$I130)</f>
        <v/>
      </c>
    </row>
    <row r="131" spans="1:8" x14ac:dyDescent="0.2">
      <c r="A131" s="4">
        <v>129</v>
      </c>
      <c r="B131" s="3" t="str">
        <f>IF(Pieces!$C131="","",Pieces!$C131)</f>
        <v/>
      </c>
      <c r="C131" s="4" t="str">
        <f>IF(Pieces!$D131="","",Pieces!$D131)</f>
        <v/>
      </c>
      <c r="D131" s="4" t="str">
        <f>IF(Pieces!$E131="","",Pieces!$E131)</f>
        <v/>
      </c>
      <c r="E131" s="3" t="str">
        <f>IF(Pieces!$F131="","",Pieces!$F131)</f>
        <v/>
      </c>
      <c r="F131" s="4" t="str">
        <f>IF(Pieces!$G131="","",Pieces!$G131)</f>
        <v/>
      </c>
      <c r="G131" s="4" t="str">
        <f>IF(Pieces!$H131="","",Pieces!$H131)</f>
        <v/>
      </c>
      <c r="H131" s="4" t="str">
        <f>IF(Pieces!$I131="","",Pieces!$I131)</f>
        <v/>
      </c>
    </row>
    <row r="132" spans="1:8" x14ac:dyDescent="0.2">
      <c r="A132" s="4">
        <v>130</v>
      </c>
      <c r="B132" s="3" t="str">
        <f>IF(Pieces!$C132="","",Pieces!$C132)</f>
        <v/>
      </c>
      <c r="C132" s="4" t="str">
        <f>IF(Pieces!$D132="","",Pieces!$D132)</f>
        <v/>
      </c>
      <c r="D132" s="4" t="str">
        <f>IF(Pieces!$E132="","",Pieces!$E132)</f>
        <v/>
      </c>
      <c r="E132" s="3" t="str">
        <f>IF(Pieces!$F132="","",Pieces!$F132)</f>
        <v/>
      </c>
      <c r="F132" s="4" t="str">
        <f>IF(Pieces!$G132="","",Pieces!$G132)</f>
        <v/>
      </c>
      <c r="G132" s="4" t="str">
        <f>IF(Pieces!$H132="","",Pieces!$H132)</f>
        <v/>
      </c>
      <c r="H132" s="4" t="str">
        <f>IF(Pieces!$I132="","",Pieces!$I132)</f>
        <v/>
      </c>
    </row>
    <row r="133" spans="1:8" x14ac:dyDescent="0.2">
      <c r="A133" s="4">
        <v>131</v>
      </c>
      <c r="B133" s="3" t="str">
        <f>IF(Pieces!$C133="","",Pieces!$C133)</f>
        <v/>
      </c>
      <c r="C133" s="4" t="str">
        <f>IF(Pieces!$D133="","",Pieces!$D133)</f>
        <v/>
      </c>
      <c r="D133" s="4" t="str">
        <f>IF(Pieces!$E133="","",Pieces!$E133)</f>
        <v/>
      </c>
      <c r="E133" s="3" t="str">
        <f>IF(Pieces!$F133="","",Pieces!$F133)</f>
        <v/>
      </c>
      <c r="F133" s="4" t="str">
        <f>IF(Pieces!$G133="","",Pieces!$G133)</f>
        <v/>
      </c>
      <c r="G133" s="4" t="str">
        <f>IF(Pieces!$H133="","",Pieces!$H133)</f>
        <v/>
      </c>
      <c r="H133" s="4" t="str">
        <f>IF(Pieces!$I133="","",Pieces!$I133)</f>
        <v/>
      </c>
    </row>
    <row r="134" spans="1:8" x14ac:dyDescent="0.2">
      <c r="A134" s="4">
        <v>132</v>
      </c>
      <c r="B134" s="3" t="str">
        <f>IF(Pieces!$C134="","",Pieces!$C134)</f>
        <v/>
      </c>
      <c r="C134" s="4" t="str">
        <f>IF(Pieces!$D134="","",Pieces!$D134)</f>
        <v/>
      </c>
      <c r="D134" s="4" t="str">
        <f>IF(Pieces!$E134="","",Pieces!$E134)</f>
        <v/>
      </c>
      <c r="E134" s="3" t="str">
        <f>IF(Pieces!$F134="","",Pieces!$F134)</f>
        <v/>
      </c>
      <c r="F134" s="4" t="str">
        <f>IF(Pieces!$G134="","",Pieces!$G134)</f>
        <v/>
      </c>
      <c r="G134" s="4" t="str">
        <f>IF(Pieces!$H134="","",Pieces!$H134)</f>
        <v/>
      </c>
      <c r="H134" s="4" t="str">
        <f>IF(Pieces!$I134="","",Pieces!$I134)</f>
        <v/>
      </c>
    </row>
    <row r="135" spans="1:8" x14ac:dyDescent="0.2">
      <c r="A135" s="4">
        <v>133</v>
      </c>
      <c r="B135" s="3" t="str">
        <f>IF(Pieces!$C135="","",Pieces!$C135)</f>
        <v/>
      </c>
      <c r="C135" s="4" t="str">
        <f>IF(Pieces!$D135="","",Pieces!$D135)</f>
        <v/>
      </c>
      <c r="D135" s="4" t="str">
        <f>IF(Pieces!$E135="","",Pieces!$E135)</f>
        <v/>
      </c>
      <c r="E135" s="3" t="str">
        <f>IF(Pieces!$F135="","",Pieces!$F135)</f>
        <v/>
      </c>
      <c r="F135" s="4" t="str">
        <f>IF(Pieces!$G135="","",Pieces!$G135)</f>
        <v/>
      </c>
      <c r="G135" s="4" t="str">
        <f>IF(Pieces!$H135="","",Pieces!$H135)</f>
        <v/>
      </c>
      <c r="H135" s="4" t="str">
        <f>IF(Pieces!$I135="","",Pieces!$I135)</f>
        <v/>
      </c>
    </row>
    <row r="136" spans="1:8" x14ac:dyDescent="0.2">
      <c r="A136" s="4">
        <v>134</v>
      </c>
      <c r="B136" s="3" t="str">
        <f>IF(Pieces!$C136="","",Pieces!$C136)</f>
        <v/>
      </c>
      <c r="C136" s="4" t="str">
        <f>IF(Pieces!$D136="","",Pieces!$D136)</f>
        <v/>
      </c>
      <c r="D136" s="4" t="str">
        <f>IF(Pieces!$E136="","",Pieces!$E136)</f>
        <v/>
      </c>
      <c r="E136" s="3" t="str">
        <f>IF(Pieces!$F136="","",Pieces!$F136)</f>
        <v/>
      </c>
      <c r="F136" s="4" t="str">
        <f>IF(Pieces!$G136="","",Pieces!$G136)</f>
        <v/>
      </c>
      <c r="G136" s="4" t="str">
        <f>IF(Pieces!$H136="","",Pieces!$H136)</f>
        <v/>
      </c>
      <c r="H136" s="4" t="str">
        <f>IF(Pieces!$I136="","",Pieces!$I136)</f>
        <v/>
      </c>
    </row>
    <row r="137" spans="1:8" x14ac:dyDescent="0.2">
      <c r="A137" s="4">
        <v>135</v>
      </c>
      <c r="B137" s="3" t="str">
        <f>IF(Pieces!$C137="","",Pieces!$C137)</f>
        <v/>
      </c>
      <c r="C137" s="4" t="str">
        <f>IF(Pieces!$D137="","",Pieces!$D137)</f>
        <v/>
      </c>
      <c r="D137" s="4" t="str">
        <f>IF(Pieces!$E137="","",Pieces!$E137)</f>
        <v/>
      </c>
      <c r="E137" s="3" t="str">
        <f>IF(Pieces!$F137="","",Pieces!$F137)</f>
        <v/>
      </c>
      <c r="F137" s="4" t="str">
        <f>IF(Pieces!$G137="","",Pieces!$G137)</f>
        <v/>
      </c>
      <c r="G137" s="4" t="str">
        <f>IF(Pieces!$H137="","",Pieces!$H137)</f>
        <v/>
      </c>
      <c r="H137" s="4" t="str">
        <f>IF(Pieces!$I137="","",Pieces!$I137)</f>
        <v/>
      </c>
    </row>
    <row r="138" spans="1:8" x14ac:dyDescent="0.2">
      <c r="A138" s="4">
        <v>136</v>
      </c>
      <c r="B138" s="3" t="str">
        <f>IF(Pieces!$C138="","",Pieces!$C138)</f>
        <v/>
      </c>
      <c r="C138" s="4" t="str">
        <f>IF(Pieces!$D138="","",Pieces!$D138)</f>
        <v/>
      </c>
      <c r="D138" s="4" t="str">
        <f>IF(Pieces!$E138="","",Pieces!$E138)</f>
        <v/>
      </c>
      <c r="E138" s="3" t="str">
        <f>IF(Pieces!$F138="","",Pieces!$F138)</f>
        <v/>
      </c>
      <c r="F138" s="4" t="str">
        <f>IF(Pieces!$G138="","",Pieces!$G138)</f>
        <v/>
      </c>
      <c r="G138" s="4" t="str">
        <f>IF(Pieces!$H138="","",Pieces!$H138)</f>
        <v/>
      </c>
      <c r="H138" s="4" t="str">
        <f>IF(Pieces!$I138="","",Pieces!$I138)</f>
        <v/>
      </c>
    </row>
    <row r="139" spans="1:8" x14ac:dyDescent="0.2">
      <c r="A139" s="4">
        <v>137</v>
      </c>
      <c r="B139" s="3" t="str">
        <f>IF(Pieces!$C139="","",Pieces!$C139)</f>
        <v/>
      </c>
      <c r="C139" s="4" t="str">
        <f>IF(Pieces!$D139="","",Pieces!$D139)</f>
        <v/>
      </c>
      <c r="D139" s="4" t="str">
        <f>IF(Pieces!$E139="","",Pieces!$E139)</f>
        <v/>
      </c>
      <c r="E139" s="3" t="str">
        <f>IF(Pieces!$F139="","",Pieces!$F139)</f>
        <v/>
      </c>
      <c r="F139" s="4" t="str">
        <f>IF(Pieces!$G139="","",Pieces!$G139)</f>
        <v/>
      </c>
      <c r="G139" s="4" t="str">
        <f>IF(Pieces!$H139="","",Pieces!$H139)</f>
        <v/>
      </c>
      <c r="H139" s="4" t="str">
        <f>IF(Pieces!$I139="","",Pieces!$I139)</f>
        <v/>
      </c>
    </row>
    <row r="140" spans="1:8" x14ac:dyDescent="0.2">
      <c r="A140" s="4">
        <v>138</v>
      </c>
      <c r="B140" s="3" t="str">
        <f>IF(Pieces!$C140="","",Pieces!$C140)</f>
        <v/>
      </c>
      <c r="C140" s="4" t="str">
        <f>IF(Pieces!$D140="","",Pieces!$D140)</f>
        <v/>
      </c>
      <c r="D140" s="4" t="str">
        <f>IF(Pieces!$E140="","",Pieces!$E140)</f>
        <v/>
      </c>
      <c r="E140" s="3" t="str">
        <f>IF(Pieces!$F140="","",Pieces!$F140)</f>
        <v/>
      </c>
      <c r="F140" s="4" t="str">
        <f>IF(Pieces!$G140="","",Pieces!$G140)</f>
        <v/>
      </c>
      <c r="G140" s="4" t="str">
        <f>IF(Pieces!$H140="","",Pieces!$H140)</f>
        <v/>
      </c>
      <c r="H140" s="4" t="str">
        <f>IF(Pieces!$I140="","",Pieces!$I140)</f>
        <v/>
      </c>
    </row>
    <row r="141" spans="1:8" x14ac:dyDescent="0.2">
      <c r="A141" s="4">
        <v>139</v>
      </c>
      <c r="B141" s="3" t="str">
        <f>IF(Pieces!$C141="","",Pieces!$C141)</f>
        <v/>
      </c>
      <c r="C141" s="4" t="str">
        <f>IF(Pieces!$D141="","",Pieces!$D141)</f>
        <v/>
      </c>
      <c r="D141" s="4" t="str">
        <f>IF(Pieces!$E141="","",Pieces!$E141)</f>
        <v/>
      </c>
      <c r="E141" s="3" t="str">
        <f>IF(Pieces!$F141="","",Pieces!$F141)</f>
        <v/>
      </c>
      <c r="F141" s="4" t="str">
        <f>IF(Pieces!$G141="","",Pieces!$G141)</f>
        <v/>
      </c>
      <c r="G141" s="4" t="str">
        <f>IF(Pieces!$H141="","",Pieces!$H141)</f>
        <v/>
      </c>
      <c r="H141" s="4" t="str">
        <f>IF(Pieces!$I141="","",Pieces!$I141)</f>
        <v/>
      </c>
    </row>
    <row r="142" spans="1:8" x14ac:dyDescent="0.2">
      <c r="A142" s="4">
        <v>140</v>
      </c>
      <c r="B142" s="3" t="str">
        <f>IF(Pieces!$C142="","",Pieces!$C142)</f>
        <v/>
      </c>
      <c r="C142" s="4" t="str">
        <f>IF(Pieces!$D142="","",Pieces!$D142)</f>
        <v/>
      </c>
      <c r="D142" s="4" t="str">
        <f>IF(Pieces!$E142="","",Pieces!$E142)</f>
        <v/>
      </c>
      <c r="E142" s="3" t="str">
        <f>IF(Pieces!$F142="","",Pieces!$F142)</f>
        <v/>
      </c>
      <c r="F142" s="4" t="str">
        <f>IF(Pieces!$G142="","",Pieces!$G142)</f>
        <v/>
      </c>
      <c r="G142" s="4" t="str">
        <f>IF(Pieces!$H142="","",Pieces!$H142)</f>
        <v/>
      </c>
      <c r="H142" s="4" t="str">
        <f>IF(Pieces!$I142="","",Pieces!$I142)</f>
        <v/>
      </c>
    </row>
    <row r="143" spans="1:8" x14ac:dyDescent="0.2">
      <c r="A143" s="4">
        <v>141</v>
      </c>
      <c r="B143" s="3" t="str">
        <f>IF(Pieces!$C143="","",Pieces!$C143)</f>
        <v/>
      </c>
      <c r="C143" s="4" t="str">
        <f>IF(Pieces!$D143="","",Pieces!$D143)</f>
        <v/>
      </c>
      <c r="D143" s="4" t="str">
        <f>IF(Pieces!$E143="","",Pieces!$E143)</f>
        <v/>
      </c>
      <c r="E143" s="3" t="str">
        <f>IF(Pieces!$F143="","",Pieces!$F143)</f>
        <v/>
      </c>
      <c r="F143" s="4" t="str">
        <f>IF(Pieces!$G143="","",Pieces!$G143)</f>
        <v/>
      </c>
      <c r="G143" s="4" t="str">
        <f>IF(Pieces!$H143="","",Pieces!$H143)</f>
        <v/>
      </c>
      <c r="H143" s="4" t="str">
        <f>IF(Pieces!$I143="","",Pieces!$I143)</f>
        <v/>
      </c>
    </row>
    <row r="144" spans="1:8" x14ac:dyDescent="0.2">
      <c r="A144" s="4">
        <v>142</v>
      </c>
      <c r="B144" s="3" t="str">
        <f>IF(Pieces!$C144="","",Pieces!$C144)</f>
        <v/>
      </c>
      <c r="C144" s="4" t="str">
        <f>IF(Pieces!$D144="","",Pieces!$D144)</f>
        <v/>
      </c>
      <c r="D144" s="4" t="str">
        <f>IF(Pieces!$E144="","",Pieces!$E144)</f>
        <v/>
      </c>
      <c r="E144" s="3" t="str">
        <f>IF(Pieces!$F144="","",Pieces!$F144)</f>
        <v/>
      </c>
      <c r="F144" s="4" t="str">
        <f>IF(Pieces!$G144="","",Pieces!$G144)</f>
        <v/>
      </c>
      <c r="G144" s="4" t="str">
        <f>IF(Pieces!$H144="","",Pieces!$H144)</f>
        <v/>
      </c>
      <c r="H144" s="4" t="str">
        <f>IF(Pieces!$I144="","",Pieces!$I144)</f>
        <v/>
      </c>
    </row>
    <row r="145" spans="1:8" x14ac:dyDescent="0.2">
      <c r="A145" s="4">
        <v>143</v>
      </c>
      <c r="B145" s="3" t="str">
        <f>IF(Pieces!$C145="","",Pieces!$C145)</f>
        <v/>
      </c>
      <c r="C145" s="4" t="str">
        <f>IF(Pieces!$D145="","",Pieces!$D145)</f>
        <v/>
      </c>
      <c r="D145" s="4" t="str">
        <f>IF(Pieces!$E145="","",Pieces!$E145)</f>
        <v/>
      </c>
      <c r="E145" s="3" t="str">
        <f>IF(Pieces!$F145="","",Pieces!$F145)</f>
        <v/>
      </c>
      <c r="F145" s="4" t="str">
        <f>IF(Pieces!$G145="","",Pieces!$G145)</f>
        <v/>
      </c>
      <c r="G145" s="4" t="str">
        <f>IF(Pieces!$H145="","",Pieces!$H145)</f>
        <v/>
      </c>
      <c r="H145" s="4" t="str">
        <f>IF(Pieces!$I145="","",Pieces!$I145)</f>
        <v/>
      </c>
    </row>
    <row r="146" spans="1:8" x14ac:dyDescent="0.2">
      <c r="A146" s="4">
        <v>144</v>
      </c>
      <c r="B146" s="3" t="str">
        <f>IF(Pieces!$C146="","",Pieces!$C146)</f>
        <v/>
      </c>
      <c r="C146" s="4" t="str">
        <f>IF(Pieces!$D146="","",Pieces!$D146)</f>
        <v/>
      </c>
      <c r="D146" s="4" t="str">
        <f>IF(Pieces!$E146="","",Pieces!$E146)</f>
        <v/>
      </c>
      <c r="E146" s="3" t="str">
        <f>IF(Pieces!$F146="","",Pieces!$F146)</f>
        <v/>
      </c>
      <c r="F146" s="4" t="str">
        <f>IF(Pieces!$G146="","",Pieces!$G146)</f>
        <v/>
      </c>
      <c r="G146" s="4" t="str">
        <f>IF(Pieces!$H146="","",Pieces!$H146)</f>
        <v/>
      </c>
      <c r="H146" s="4" t="str">
        <f>IF(Pieces!$I146="","",Pieces!$I146)</f>
        <v/>
      </c>
    </row>
    <row r="147" spans="1:8" x14ac:dyDescent="0.2">
      <c r="A147" s="4">
        <v>145</v>
      </c>
      <c r="B147" s="3" t="str">
        <f>IF(Pieces!$C147="","",Pieces!$C147)</f>
        <v/>
      </c>
      <c r="C147" s="4" t="str">
        <f>IF(Pieces!$D147="","",Pieces!$D147)</f>
        <v/>
      </c>
      <c r="D147" s="4" t="str">
        <f>IF(Pieces!$E147="","",Pieces!$E147)</f>
        <v/>
      </c>
      <c r="E147" s="3" t="str">
        <f>IF(Pieces!$F147="","",Pieces!$F147)</f>
        <v/>
      </c>
      <c r="F147" s="4" t="str">
        <f>IF(Pieces!$G147="","",Pieces!$G147)</f>
        <v/>
      </c>
      <c r="G147" s="4" t="str">
        <f>IF(Pieces!$H147="","",Pieces!$H147)</f>
        <v/>
      </c>
      <c r="H147" s="4" t="str">
        <f>IF(Pieces!$I147="","",Pieces!$I147)</f>
        <v/>
      </c>
    </row>
    <row r="148" spans="1:8" x14ac:dyDescent="0.2">
      <c r="A148" s="4">
        <v>146</v>
      </c>
      <c r="B148" s="3" t="str">
        <f>IF(Pieces!$C148="","",Pieces!$C148)</f>
        <v/>
      </c>
      <c r="C148" s="4" t="str">
        <f>IF(Pieces!$D148="","",Pieces!$D148)</f>
        <v/>
      </c>
      <c r="D148" s="4" t="str">
        <f>IF(Pieces!$E148="","",Pieces!$E148)</f>
        <v/>
      </c>
      <c r="E148" s="3" t="str">
        <f>IF(Pieces!$F148="","",Pieces!$F148)</f>
        <v/>
      </c>
      <c r="F148" s="4" t="str">
        <f>IF(Pieces!$G148="","",Pieces!$G148)</f>
        <v/>
      </c>
      <c r="G148" s="4" t="str">
        <f>IF(Pieces!$H148="","",Pieces!$H148)</f>
        <v/>
      </c>
      <c r="H148" s="4" t="str">
        <f>IF(Pieces!$I148="","",Pieces!$I148)</f>
        <v/>
      </c>
    </row>
    <row r="149" spans="1:8" x14ac:dyDescent="0.2">
      <c r="A149" s="4">
        <v>147</v>
      </c>
      <c r="B149" s="3" t="str">
        <f>IF(Pieces!$C149="","",Pieces!$C149)</f>
        <v/>
      </c>
      <c r="C149" s="4" t="str">
        <f>IF(Pieces!$D149="","",Pieces!$D149)</f>
        <v/>
      </c>
      <c r="D149" s="4" t="str">
        <f>IF(Pieces!$E149="","",Pieces!$E149)</f>
        <v/>
      </c>
      <c r="E149" s="3" t="str">
        <f>IF(Pieces!$F149="","",Pieces!$F149)</f>
        <v/>
      </c>
      <c r="F149" s="4" t="str">
        <f>IF(Pieces!$G149="","",Pieces!$G149)</f>
        <v/>
      </c>
      <c r="G149" s="4" t="str">
        <f>IF(Pieces!$H149="","",Pieces!$H149)</f>
        <v/>
      </c>
      <c r="H149" s="4" t="str">
        <f>IF(Pieces!$I149="","",Pieces!$I149)</f>
        <v/>
      </c>
    </row>
    <row r="150" spans="1:8" x14ac:dyDescent="0.2">
      <c r="A150" s="4">
        <v>148</v>
      </c>
      <c r="B150" s="3" t="str">
        <f>IF(Pieces!$C150="","",Pieces!$C150)</f>
        <v/>
      </c>
      <c r="C150" s="4" t="str">
        <f>IF(Pieces!$D150="","",Pieces!$D150)</f>
        <v/>
      </c>
      <c r="D150" s="4" t="str">
        <f>IF(Pieces!$E150="","",Pieces!$E150)</f>
        <v/>
      </c>
      <c r="E150" s="3" t="str">
        <f>IF(Pieces!$F150="","",Pieces!$F150)</f>
        <v/>
      </c>
      <c r="F150" s="4" t="str">
        <f>IF(Pieces!$G150="","",Pieces!$G150)</f>
        <v/>
      </c>
      <c r="G150" s="4" t="str">
        <f>IF(Pieces!$H150="","",Pieces!$H150)</f>
        <v/>
      </c>
      <c r="H150" s="4" t="str">
        <f>IF(Pieces!$I150="","",Pieces!$I150)</f>
        <v/>
      </c>
    </row>
    <row r="151" spans="1:8" x14ac:dyDescent="0.2">
      <c r="A151" s="4">
        <v>149</v>
      </c>
      <c r="B151" s="3" t="str">
        <f>IF(Pieces!$C151="","",Pieces!$C151)</f>
        <v/>
      </c>
      <c r="C151" s="4" t="str">
        <f>IF(Pieces!$D151="","",Pieces!$D151)</f>
        <v/>
      </c>
      <c r="D151" s="4" t="str">
        <f>IF(Pieces!$E151="","",Pieces!$E151)</f>
        <v/>
      </c>
      <c r="E151" s="3" t="str">
        <f>IF(Pieces!$F151="","",Pieces!$F151)</f>
        <v/>
      </c>
      <c r="F151" s="4" t="str">
        <f>IF(Pieces!$G151="","",Pieces!$G151)</f>
        <v/>
      </c>
      <c r="G151" s="4" t="str">
        <f>IF(Pieces!$H151="","",Pieces!$H151)</f>
        <v/>
      </c>
      <c r="H151" s="4" t="str">
        <f>IF(Pieces!$I151="","",Pieces!$I151)</f>
        <v/>
      </c>
    </row>
    <row r="152" spans="1:8" x14ac:dyDescent="0.2">
      <c r="A152" s="4">
        <v>150</v>
      </c>
      <c r="B152" s="3" t="str">
        <f>IF(Pieces!$C152="","",Pieces!$C152)</f>
        <v/>
      </c>
      <c r="C152" s="4" t="str">
        <f>IF(Pieces!$D152="","",Pieces!$D152)</f>
        <v/>
      </c>
      <c r="D152" s="4" t="str">
        <f>IF(Pieces!$E152="","",Pieces!$E152)</f>
        <v/>
      </c>
      <c r="E152" s="3" t="str">
        <f>IF(Pieces!$F152="","",Pieces!$F152)</f>
        <v/>
      </c>
      <c r="F152" s="4" t="str">
        <f>IF(Pieces!$G152="","",Pieces!$G152)</f>
        <v/>
      </c>
      <c r="G152" s="4" t="str">
        <f>IF(Pieces!$H152="","",Pieces!$H152)</f>
        <v/>
      </c>
      <c r="H152" s="4" t="str">
        <f>IF(Pieces!$I152="","",Pieces!$I152)</f>
        <v/>
      </c>
    </row>
    <row r="153" spans="1:8" x14ac:dyDescent="0.2">
      <c r="A153" s="4">
        <v>151</v>
      </c>
      <c r="B153" s="3" t="str">
        <f>IF(Pieces!$C153="","",Pieces!$C153)</f>
        <v/>
      </c>
      <c r="C153" s="4" t="str">
        <f>IF(Pieces!$D153="","",Pieces!$D153)</f>
        <v/>
      </c>
      <c r="D153" s="4" t="str">
        <f>IF(Pieces!$E153="","",Pieces!$E153)</f>
        <v/>
      </c>
      <c r="E153" s="3" t="str">
        <f>IF(Pieces!$F153="","",Pieces!$F153)</f>
        <v/>
      </c>
      <c r="F153" s="4" t="str">
        <f>IF(Pieces!$G153="","",Pieces!$G153)</f>
        <v/>
      </c>
      <c r="G153" s="4" t="str">
        <f>IF(Pieces!$H153="","",Pieces!$H153)</f>
        <v/>
      </c>
      <c r="H153" s="4" t="str">
        <f>IF(Pieces!$I153="","",Pieces!$I153)</f>
        <v/>
      </c>
    </row>
    <row r="154" spans="1:8" x14ac:dyDescent="0.2">
      <c r="A154" s="4">
        <v>152</v>
      </c>
      <c r="B154" s="3" t="str">
        <f>IF(Pieces!$C154="","",Pieces!$C154)</f>
        <v/>
      </c>
      <c r="C154" s="4" t="str">
        <f>IF(Pieces!$D154="","",Pieces!$D154)</f>
        <v/>
      </c>
      <c r="D154" s="4" t="str">
        <f>IF(Pieces!$E154="","",Pieces!$E154)</f>
        <v/>
      </c>
      <c r="E154" s="3" t="str">
        <f>IF(Pieces!$F154="","",Pieces!$F154)</f>
        <v/>
      </c>
      <c r="F154" s="4" t="str">
        <f>IF(Pieces!$G154="","",Pieces!$G154)</f>
        <v/>
      </c>
      <c r="G154" s="4" t="str">
        <f>IF(Pieces!$H154="","",Pieces!$H154)</f>
        <v/>
      </c>
      <c r="H154" s="4" t="str">
        <f>IF(Pieces!$I154="","",Pieces!$I154)</f>
        <v/>
      </c>
    </row>
    <row r="155" spans="1:8" x14ac:dyDescent="0.2">
      <c r="A155" s="4">
        <v>153</v>
      </c>
      <c r="B155" s="3" t="str">
        <f>IF(Pieces!$C155="","",Pieces!$C155)</f>
        <v/>
      </c>
      <c r="C155" s="4" t="str">
        <f>IF(Pieces!$D155="","",Pieces!$D155)</f>
        <v/>
      </c>
      <c r="D155" s="4" t="str">
        <f>IF(Pieces!$E155="","",Pieces!$E155)</f>
        <v/>
      </c>
      <c r="E155" s="3" t="str">
        <f>IF(Pieces!$F155="","",Pieces!$F155)</f>
        <v/>
      </c>
      <c r="F155" s="4" t="str">
        <f>IF(Pieces!$G155="","",Pieces!$G155)</f>
        <v/>
      </c>
      <c r="G155" s="4" t="str">
        <f>IF(Pieces!$H155="","",Pieces!$H155)</f>
        <v/>
      </c>
      <c r="H155" s="4" t="str">
        <f>IF(Pieces!$I155="","",Pieces!$I155)</f>
        <v/>
      </c>
    </row>
    <row r="156" spans="1:8" x14ac:dyDescent="0.2">
      <c r="A156" s="4">
        <v>154</v>
      </c>
      <c r="B156" s="3" t="str">
        <f>IF(Pieces!$C156="","",Pieces!$C156)</f>
        <v/>
      </c>
      <c r="C156" s="4" t="str">
        <f>IF(Pieces!$D156="","",Pieces!$D156)</f>
        <v/>
      </c>
      <c r="D156" s="4" t="str">
        <f>IF(Pieces!$E156="","",Pieces!$E156)</f>
        <v/>
      </c>
      <c r="E156" s="3" t="str">
        <f>IF(Pieces!$F156="","",Pieces!$F156)</f>
        <v/>
      </c>
      <c r="F156" s="4" t="str">
        <f>IF(Pieces!$G156="","",Pieces!$G156)</f>
        <v/>
      </c>
      <c r="G156" s="4" t="str">
        <f>IF(Pieces!$H156="","",Pieces!$H156)</f>
        <v/>
      </c>
      <c r="H156" s="4" t="str">
        <f>IF(Pieces!$I156="","",Pieces!$I156)</f>
        <v/>
      </c>
    </row>
    <row r="157" spans="1:8" x14ac:dyDescent="0.2">
      <c r="A157" s="4">
        <v>155</v>
      </c>
      <c r="B157" s="3" t="str">
        <f>IF(Pieces!$C157="","",Pieces!$C157)</f>
        <v/>
      </c>
      <c r="C157" s="4" t="str">
        <f>IF(Pieces!$D157="","",Pieces!$D157)</f>
        <v/>
      </c>
      <c r="D157" s="4" t="str">
        <f>IF(Pieces!$E157="","",Pieces!$E157)</f>
        <v/>
      </c>
      <c r="E157" s="3" t="str">
        <f>IF(Pieces!$F157="","",Pieces!$F157)</f>
        <v/>
      </c>
      <c r="F157" s="4" t="str">
        <f>IF(Pieces!$G157="","",Pieces!$G157)</f>
        <v/>
      </c>
      <c r="G157" s="4" t="str">
        <f>IF(Pieces!$H157="","",Pieces!$H157)</f>
        <v/>
      </c>
      <c r="H157" s="4" t="str">
        <f>IF(Pieces!$I157="","",Pieces!$I157)</f>
        <v/>
      </c>
    </row>
    <row r="158" spans="1:8" x14ac:dyDescent="0.2">
      <c r="A158" s="4">
        <v>156</v>
      </c>
      <c r="B158" s="3" t="str">
        <f>IF(Pieces!$C158="","",Pieces!$C158)</f>
        <v/>
      </c>
      <c r="C158" s="4" t="str">
        <f>IF(Pieces!$D158="","",Pieces!$D158)</f>
        <v/>
      </c>
      <c r="D158" s="4" t="str">
        <f>IF(Pieces!$E158="","",Pieces!$E158)</f>
        <v/>
      </c>
      <c r="E158" s="3" t="str">
        <f>IF(Pieces!$F158="","",Pieces!$F158)</f>
        <v/>
      </c>
      <c r="F158" s="4" t="str">
        <f>IF(Pieces!$G158="","",Pieces!$G158)</f>
        <v/>
      </c>
      <c r="G158" s="4" t="str">
        <f>IF(Pieces!$H158="","",Pieces!$H158)</f>
        <v/>
      </c>
      <c r="H158" s="4" t="str">
        <f>IF(Pieces!$I158="","",Pieces!$I158)</f>
        <v/>
      </c>
    </row>
    <row r="159" spans="1:8" x14ac:dyDescent="0.2">
      <c r="A159" s="4">
        <v>157</v>
      </c>
      <c r="B159" s="3" t="str">
        <f>IF(Pieces!$C159="","",Pieces!$C159)</f>
        <v/>
      </c>
      <c r="C159" s="4" t="str">
        <f>IF(Pieces!$D159="","",Pieces!$D159)</f>
        <v/>
      </c>
      <c r="D159" s="4" t="str">
        <f>IF(Pieces!$E159="","",Pieces!$E159)</f>
        <v/>
      </c>
      <c r="E159" s="3" t="str">
        <f>IF(Pieces!$F159="","",Pieces!$F159)</f>
        <v/>
      </c>
      <c r="F159" s="4" t="str">
        <f>IF(Pieces!$G159="","",Pieces!$G159)</f>
        <v/>
      </c>
      <c r="G159" s="4" t="str">
        <f>IF(Pieces!$H159="","",Pieces!$H159)</f>
        <v/>
      </c>
      <c r="H159" s="4" t="str">
        <f>IF(Pieces!$I159="","",Pieces!$I159)</f>
        <v/>
      </c>
    </row>
    <row r="160" spans="1:8" x14ac:dyDescent="0.2">
      <c r="A160" s="4">
        <v>158</v>
      </c>
      <c r="B160" s="3" t="str">
        <f>IF(Pieces!$C160="","",Pieces!$C160)</f>
        <v/>
      </c>
      <c r="C160" s="4" t="str">
        <f>IF(Pieces!$D160="","",Pieces!$D160)</f>
        <v/>
      </c>
      <c r="D160" s="4" t="str">
        <f>IF(Pieces!$E160="","",Pieces!$E160)</f>
        <v/>
      </c>
      <c r="E160" s="3" t="str">
        <f>IF(Pieces!$F160="","",Pieces!$F160)</f>
        <v/>
      </c>
      <c r="F160" s="4" t="str">
        <f>IF(Pieces!$G160="","",Pieces!$G160)</f>
        <v/>
      </c>
      <c r="G160" s="4" t="str">
        <f>IF(Pieces!$H160="","",Pieces!$H160)</f>
        <v/>
      </c>
      <c r="H160" s="4" t="str">
        <f>IF(Pieces!$I160="","",Pieces!$I160)</f>
        <v/>
      </c>
    </row>
    <row r="161" spans="1:8" x14ac:dyDescent="0.2">
      <c r="A161" s="4">
        <v>159</v>
      </c>
      <c r="B161" s="3" t="str">
        <f>IF(Pieces!$C161="","",Pieces!$C161)</f>
        <v/>
      </c>
      <c r="C161" s="4" t="str">
        <f>IF(Pieces!$D161="","",Pieces!$D161)</f>
        <v/>
      </c>
      <c r="D161" s="4" t="str">
        <f>IF(Pieces!$E161="","",Pieces!$E161)</f>
        <v/>
      </c>
      <c r="E161" s="3" t="str">
        <f>IF(Pieces!$F161="","",Pieces!$F161)</f>
        <v/>
      </c>
      <c r="F161" s="4" t="str">
        <f>IF(Pieces!$G161="","",Pieces!$G161)</f>
        <v/>
      </c>
      <c r="G161" s="4" t="str">
        <f>IF(Pieces!$H161="","",Pieces!$H161)</f>
        <v/>
      </c>
      <c r="H161" s="4" t="str">
        <f>IF(Pieces!$I161="","",Pieces!$I161)</f>
        <v/>
      </c>
    </row>
    <row r="162" spans="1:8" x14ac:dyDescent="0.2">
      <c r="A162" s="4">
        <v>160</v>
      </c>
      <c r="B162" s="3" t="str">
        <f>IF(Pieces!$C162="","",Pieces!$C162)</f>
        <v/>
      </c>
      <c r="C162" s="4" t="str">
        <f>IF(Pieces!$D162="","",Pieces!$D162)</f>
        <v/>
      </c>
      <c r="D162" s="4" t="str">
        <f>IF(Pieces!$E162="","",Pieces!$E162)</f>
        <v/>
      </c>
      <c r="E162" s="3" t="str">
        <f>IF(Pieces!$F162="","",Pieces!$F162)</f>
        <v/>
      </c>
      <c r="F162" s="4" t="str">
        <f>IF(Pieces!$G162="","",Pieces!$G162)</f>
        <v/>
      </c>
      <c r="G162" s="4" t="str">
        <f>IF(Pieces!$H162="","",Pieces!$H162)</f>
        <v/>
      </c>
      <c r="H162" s="4" t="str">
        <f>IF(Pieces!$I162="","",Pieces!$I162)</f>
        <v/>
      </c>
    </row>
    <row r="163" spans="1:8" x14ac:dyDescent="0.2">
      <c r="A163" s="4">
        <v>161</v>
      </c>
      <c r="B163" s="3" t="str">
        <f>IF(Pieces!$C163="","",Pieces!$C163)</f>
        <v/>
      </c>
      <c r="C163" s="4" t="str">
        <f>IF(Pieces!$D163="","",Pieces!$D163)</f>
        <v/>
      </c>
      <c r="D163" s="4" t="str">
        <f>IF(Pieces!$E163="","",Pieces!$E163)</f>
        <v/>
      </c>
      <c r="E163" s="3" t="str">
        <f>IF(Pieces!$F163="","",Pieces!$F163)</f>
        <v/>
      </c>
      <c r="F163" s="4" t="str">
        <f>IF(Pieces!$G163="","",Pieces!$G163)</f>
        <v/>
      </c>
      <c r="G163" s="4" t="str">
        <f>IF(Pieces!$H163="","",Pieces!$H163)</f>
        <v/>
      </c>
      <c r="H163" s="4" t="str">
        <f>IF(Pieces!$I163="","",Pieces!$I163)</f>
        <v/>
      </c>
    </row>
    <row r="164" spans="1:8" x14ac:dyDescent="0.2">
      <c r="A164" s="4">
        <v>162</v>
      </c>
      <c r="B164" s="3" t="str">
        <f>IF(Pieces!$C164="","",Pieces!$C164)</f>
        <v/>
      </c>
      <c r="C164" s="4" t="str">
        <f>IF(Pieces!$D164="","",Pieces!$D164)</f>
        <v/>
      </c>
      <c r="D164" s="4" t="str">
        <f>IF(Pieces!$E164="","",Pieces!$E164)</f>
        <v/>
      </c>
      <c r="E164" s="3" t="str">
        <f>IF(Pieces!$F164="","",Pieces!$F164)</f>
        <v/>
      </c>
      <c r="F164" s="4" t="str">
        <f>IF(Pieces!$G164="","",Pieces!$G164)</f>
        <v/>
      </c>
      <c r="G164" s="4" t="str">
        <f>IF(Pieces!$H164="","",Pieces!$H164)</f>
        <v/>
      </c>
      <c r="H164" s="4" t="str">
        <f>IF(Pieces!$I164="","",Pieces!$I164)</f>
        <v/>
      </c>
    </row>
    <row r="165" spans="1:8" x14ac:dyDescent="0.2">
      <c r="A165" s="4">
        <v>163</v>
      </c>
      <c r="B165" s="3" t="str">
        <f>IF(Pieces!$C165="","",Pieces!$C165)</f>
        <v/>
      </c>
      <c r="C165" s="4" t="str">
        <f>IF(Pieces!$D165="","",Pieces!$D165)</f>
        <v/>
      </c>
      <c r="D165" s="4" t="str">
        <f>IF(Pieces!$E165="","",Pieces!$E165)</f>
        <v/>
      </c>
      <c r="E165" s="3" t="str">
        <f>IF(Pieces!$F165="","",Pieces!$F165)</f>
        <v/>
      </c>
      <c r="F165" s="4" t="str">
        <f>IF(Pieces!$G165="","",Pieces!$G165)</f>
        <v/>
      </c>
      <c r="G165" s="4" t="str">
        <f>IF(Pieces!$H165="","",Pieces!$H165)</f>
        <v/>
      </c>
      <c r="H165" s="4" t="str">
        <f>IF(Pieces!$I165="","",Pieces!$I165)</f>
        <v/>
      </c>
    </row>
    <row r="166" spans="1:8" x14ac:dyDescent="0.2">
      <c r="A166" s="4">
        <v>164</v>
      </c>
      <c r="B166" s="3" t="str">
        <f>IF(Pieces!$C166="","",Pieces!$C166)</f>
        <v/>
      </c>
      <c r="C166" s="4" t="str">
        <f>IF(Pieces!$D166="","",Pieces!$D166)</f>
        <v/>
      </c>
      <c r="D166" s="4" t="str">
        <f>IF(Pieces!$E166="","",Pieces!$E166)</f>
        <v/>
      </c>
      <c r="E166" s="3" t="str">
        <f>IF(Pieces!$F166="","",Pieces!$F166)</f>
        <v/>
      </c>
      <c r="F166" s="4" t="str">
        <f>IF(Pieces!$G166="","",Pieces!$G166)</f>
        <v/>
      </c>
      <c r="G166" s="4" t="str">
        <f>IF(Pieces!$H166="","",Pieces!$H166)</f>
        <v/>
      </c>
      <c r="H166" s="4" t="str">
        <f>IF(Pieces!$I166="","",Pieces!$I166)</f>
        <v/>
      </c>
    </row>
    <row r="167" spans="1:8" x14ac:dyDescent="0.2">
      <c r="A167" s="4">
        <v>165</v>
      </c>
      <c r="B167" s="3" t="str">
        <f>IF(Pieces!$C167="","",Pieces!$C167)</f>
        <v/>
      </c>
      <c r="C167" s="4" t="str">
        <f>IF(Pieces!$D167="","",Pieces!$D167)</f>
        <v/>
      </c>
      <c r="D167" s="4" t="str">
        <f>IF(Pieces!$E167="","",Pieces!$E167)</f>
        <v/>
      </c>
      <c r="E167" s="3" t="str">
        <f>IF(Pieces!$F167="","",Pieces!$F167)</f>
        <v/>
      </c>
      <c r="F167" s="4" t="str">
        <f>IF(Pieces!$G167="","",Pieces!$G167)</f>
        <v/>
      </c>
      <c r="G167" s="4" t="str">
        <f>IF(Pieces!$H167="","",Pieces!$H167)</f>
        <v/>
      </c>
      <c r="H167" s="4" t="str">
        <f>IF(Pieces!$I167="","",Pieces!$I167)</f>
        <v/>
      </c>
    </row>
    <row r="168" spans="1:8" x14ac:dyDescent="0.2">
      <c r="A168" s="4">
        <v>166</v>
      </c>
      <c r="B168" s="3" t="str">
        <f>IF(Pieces!$C168="","",Pieces!$C168)</f>
        <v/>
      </c>
      <c r="C168" s="4" t="str">
        <f>IF(Pieces!$D168="","",Pieces!$D168)</f>
        <v/>
      </c>
      <c r="D168" s="4" t="str">
        <f>IF(Pieces!$E168="","",Pieces!$E168)</f>
        <v/>
      </c>
      <c r="E168" s="3" t="str">
        <f>IF(Pieces!$F168="","",Pieces!$F168)</f>
        <v/>
      </c>
      <c r="F168" s="4" t="str">
        <f>IF(Pieces!$G168="","",Pieces!$G168)</f>
        <v/>
      </c>
      <c r="G168" s="4" t="str">
        <f>IF(Pieces!$H168="","",Pieces!$H168)</f>
        <v/>
      </c>
      <c r="H168" s="4" t="str">
        <f>IF(Pieces!$I168="","",Pieces!$I168)</f>
        <v/>
      </c>
    </row>
    <row r="169" spans="1:8" x14ac:dyDescent="0.2">
      <c r="A169" s="4">
        <v>167</v>
      </c>
      <c r="B169" s="3" t="str">
        <f>IF(Pieces!$C169="","",Pieces!$C169)</f>
        <v/>
      </c>
      <c r="C169" s="4" t="str">
        <f>IF(Pieces!$D169="","",Pieces!$D169)</f>
        <v/>
      </c>
      <c r="D169" s="4" t="str">
        <f>IF(Pieces!$E169="","",Pieces!$E169)</f>
        <v/>
      </c>
      <c r="E169" s="3" t="str">
        <f>IF(Pieces!$F169="","",Pieces!$F169)</f>
        <v/>
      </c>
      <c r="F169" s="4" t="str">
        <f>IF(Pieces!$G169="","",Pieces!$G169)</f>
        <v/>
      </c>
      <c r="G169" s="4" t="str">
        <f>IF(Pieces!$H169="","",Pieces!$H169)</f>
        <v/>
      </c>
      <c r="H169" s="4" t="str">
        <f>IF(Pieces!$I169="","",Pieces!$I169)</f>
        <v/>
      </c>
    </row>
    <row r="170" spans="1:8" x14ac:dyDescent="0.2">
      <c r="A170" s="4">
        <v>168</v>
      </c>
      <c r="B170" s="3" t="str">
        <f>IF(Pieces!$C170="","",Pieces!$C170)</f>
        <v/>
      </c>
      <c r="C170" s="4" t="str">
        <f>IF(Pieces!$D170="","",Pieces!$D170)</f>
        <v/>
      </c>
      <c r="D170" s="4" t="str">
        <f>IF(Pieces!$E170="","",Pieces!$E170)</f>
        <v/>
      </c>
      <c r="E170" s="3" t="str">
        <f>IF(Pieces!$F170="","",Pieces!$F170)</f>
        <v/>
      </c>
      <c r="F170" s="4" t="str">
        <f>IF(Pieces!$G170="","",Pieces!$G170)</f>
        <v/>
      </c>
      <c r="G170" s="4" t="str">
        <f>IF(Pieces!$H170="","",Pieces!$H170)</f>
        <v/>
      </c>
      <c r="H170" s="4" t="str">
        <f>IF(Pieces!$I170="","",Pieces!$I170)</f>
        <v/>
      </c>
    </row>
    <row r="171" spans="1:8" x14ac:dyDescent="0.2">
      <c r="A171" s="4">
        <v>169</v>
      </c>
      <c r="B171" s="3" t="str">
        <f>IF(Pieces!$C171="","",Pieces!$C171)</f>
        <v/>
      </c>
      <c r="C171" s="4" t="str">
        <f>IF(Pieces!$D171="","",Pieces!$D171)</f>
        <v/>
      </c>
      <c r="D171" s="4" t="str">
        <f>IF(Pieces!$E171="","",Pieces!$E171)</f>
        <v/>
      </c>
      <c r="E171" s="3" t="str">
        <f>IF(Pieces!$F171="","",Pieces!$F171)</f>
        <v/>
      </c>
      <c r="F171" s="4" t="str">
        <f>IF(Pieces!$G171="","",Pieces!$G171)</f>
        <v/>
      </c>
      <c r="G171" s="4" t="str">
        <f>IF(Pieces!$H171="","",Pieces!$H171)</f>
        <v/>
      </c>
      <c r="H171" s="4" t="str">
        <f>IF(Pieces!$I171="","",Pieces!$I171)</f>
        <v/>
      </c>
    </row>
    <row r="172" spans="1:8" x14ac:dyDescent="0.2">
      <c r="A172" s="4">
        <v>170</v>
      </c>
      <c r="B172" s="3" t="str">
        <f>IF(Pieces!$C172="","",Pieces!$C172)</f>
        <v/>
      </c>
      <c r="C172" s="4" t="str">
        <f>IF(Pieces!$D172="","",Pieces!$D172)</f>
        <v/>
      </c>
      <c r="D172" s="4" t="str">
        <f>IF(Pieces!$E172="","",Pieces!$E172)</f>
        <v/>
      </c>
      <c r="E172" s="3" t="str">
        <f>IF(Pieces!$F172="","",Pieces!$F172)</f>
        <v/>
      </c>
      <c r="F172" s="4" t="str">
        <f>IF(Pieces!$G172="","",Pieces!$G172)</f>
        <v/>
      </c>
      <c r="G172" s="4" t="str">
        <f>IF(Pieces!$H172="","",Pieces!$H172)</f>
        <v/>
      </c>
      <c r="H172" s="4" t="str">
        <f>IF(Pieces!$I172="","",Pieces!$I172)</f>
        <v/>
      </c>
    </row>
    <row r="173" spans="1:8" x14ac:dyDescent="0.2">
      <c r="A173" s="4">
        <v>171</v>
      </c>
      <c r="B173" s="3" t="str">
        <f>IF(Pieces!$C173="","",Pieces!$C173)</f>
        <v/>
      </c>
      <c r="C173" s="4" t="str">
        <f>IF(Pieces!$D173="","",Pieces!$D173)</f>
        <v/>
      </c>
      <c r="D173" s="4" t="str">
        <f>IF(Pieces!$E173="","",Pieces!$E173)</f>
        <v/>
      </c>
      <c r="E173" s="3" t="str">
        <f>IF(Pieces!$F173="","",Pieces!$F173)</f>
        <v/>
      </c>
      <c r="F173" s="4" t="str">
        <f>IF(Pieces!$G173="","",Pieces!$G173)</f>
        <v/>
      </c>
      <c r="G173" s="4" t="str">
        <f>IF(Pieces!$H173="","",Pieces!$H173)</f>
        <v/>
      </c>
      <c r="H173" s="4" t="str">
        <f>IF(Pieces!$I173="","",Pieces!$I173)</f>
        <v/>
      </c>
    </row>
    <row r="174" spans="1:8" x14ac:dyDescent="0.2">
      <c r="A174" s="4">
        <v>172</v>
      </c>
      <c r="B174" s="3" t="str">
        <f>IF(Pieces!$C174="","",Pieces!$C174)</f>
        <v/>
      </c>
      <c r="C174" s="4" t="str">
        <f>IF(Pieces!$D174="","",Pieces!$D174)</f>
        <v/>
      </c>
      <c r="D174" s="4" t="str">
        <f>IF(Pieces!$E174="","",Pieces!$E174)</f>
        <v/>
      </c>
      <c r="E174" s="3" t="str">
        <f>IF(Pieces!$F174="","",Pieces!$F174)</f>
        <v/>
      </c>
      <c r="F174" s="4" t="str">
        <f>IF(Pieces!$G174="","",Pieces!$G174)</f>
        <v/>
      </c>
      <c r="G174" s="4" t="str">
        <f>IF(Pieces!$H174="","",Pieces!$H174)</f>
        <v/>
      </c>
      <c r="H174" s="4" t="str">
        <f>IF(Pieces!$I174="","",Pieces!$I174)</f>
        <v/>
      </c>
    </row>
    <row r="175" spans="1:8" x14ac:dyDescent="0.2">
      <c r="A175" s="4">
        <v>173</v>
      </c>
      <c r="B175" s="3" t="str">
        <f>IF(Pieces!$C175="","",Pieces!$C175)</f>
        <v/>
      </c>
      <c r="C175" s="4" t="str">
        <f>IF(Pieces!$D175="","",Pieces!$D175)</f>
        <v/>
      </c>
      <c r="D175" s="4" t="str">
        <f>IF(Pieces!$E175="","",Pieces!$E175)</f>
        <v/>
      </c>
      <c r="E175" s="3" t="str">
        <f>IF(Pieces!$F175="","",Pieces!$F175)</f>
        <v/>
      </c>
      <c r="F175" s="4" t="str">
        <f>IF(Pieces!$G175="","",Pieces!$G175)</f>
        <v/>
      </c>
      <c r="G175" s="4" t="str">
        <f>IF(Pieces!$H175="","",Pieces!$H175)</f>
        <v/>
      </c>
      <c r="H175" s="4" t="str">
        <f>IF(Pieces!$I175="","",Pieces!$I175)</f>
        <v/>
      </c>
    </row>
    <row r="176" spans="1:8" x14ac:dyDescent="0.2">
      <c r="A176" s="4">
        <v>174</v>
      </c>
      <c r="B176" s="3" t="str">
        <f>IF(Pieces!$C176="","",Pieces!$C176)</f>
        <v/>
      </c>
      <c r="C176" s="4" t="str">
        <f>IF(Pieces!$D176="","",Pieces!$D176)</f>
        <v/>
      </c>
      <c r="D176" s="4" t="str">
        <f>IF(Pieces!$E176="","",Pieces!$E176)</f>
        <v/>
      </c>
      <c r="E176" s="3" t="str">
        <f>IF(Pieces!$F176="","",Pieces!$F176)</f>
        <v/>
      </c>
      <c r="F176" s="4" t="str">
        <f>IF(Pieces!$G176="","",Pieces!$G176)</f>
        <v/>
      </c>
      <c r="G176" s="4" t="str">
        <f>IF(Pieces!$H176="","",Pieces!$H176)</f>
        <v/>
      </c>
      <c r="H176" s="4" t="str">
        <f>IF(Pieces!$I176="","",Pieces!$I176)</f>
        <v/>
      </c>
    </row>
    <row r="177" spans="1:8" x14ac:dyDescent="0.2">
      <c r="A177" s="4">
        <v>175</v>
      </c>
      <c r="B177" s="3" t="str">
        <f>IF(Pieces!$C177="","",Pieces!$C177)</f>
        <v/>
      </c>
      <c r="C177" s="4" t="str">
        <f>IF(Pieces!$D177="","",Pieces!$D177)</f>
        <v/>
      </c>
      <c r="D177" s="4" t="str">
        <f>IF(Pieces!$E177="","",Pieces!$E177)</f>
        <v/>
      </c>
      <c r="E177" s="3" t="str">
        <f>IF(Pieces!$F177="","",Pieces!$F177)</f>
        <v/>
      </c>
      <c r="F177" s="4" t="str">
        <f>IF(Pieces!$G177="","",Pieces!$G177)</f>
        <v/>
      </c>
      <c r="G177" s="4" t="str">
        <f>IF(Pieces!$H177="","",Pieces!$H177)</f>
        <v/>
      </c>
      <c r="H177" s="4" t="str">
        <f>IF(Pieces!$I177="","",Pieces!$I177)</f>
        <v/>
      </c>
    </row>
    <row r="178" spans="1:8" x14ac:dyDescent="0.2">
      <c r="A178" s="4">
        <v>176</v>
      </c>
      <c r="B178" s="3" t="str">
        <f>IF(Pieces!$C178="","",Pieces!$C178)</f>
        <v/>
      </c>
      <c r="C178" s="4" t="str">
        <f>IF(Pieces!$D178="","",Pieces!$D178)</f>
        <v/>
      </c>
      <c r="D178" s="4" t="str">
        <f>IF(Pieces!$E178="","",Pieces!$E178)</f>
        <v/>
      </c>
      <c r="E178" s="3" t="str">
        <f>IF(Pieces!$F178="","",Pieces!$F178)</f>
        <v/>
      </c>
      <c r="F178" s="4" t="str">
        <f>IF(Pieces!$G178="","",Pieces!$G178)</f>
        <v/>
      </c>
      <c r="G178" s="4" t="str">
        <f>IF(Pieces!$H178="","",Pieces!$H178)</f>
        <v/>
      </c>
      <c r="H178" s="4" t="str">
        <f>IF(Pieces!$I178="","",Pieces!$I178)</f>
        <v/>
      </c>
    </row>
    <row r="179" spans="1:8" x14ac:dyDescent="0.2">
      <c r="A179" s="4">
        <v>177</v>
      </c>
      <c r="B179" s="3" t="str">
        <f>IF(Pieces!$C179="","",Pieces!$C179)</f>
        <v/>
      </c>
      <c r="C179" s="4" t="str">
        <f>IF(Pieces!$D179="","",Pieces!$D179)</f>
        <v/>
      </c>
      <c r="D179" s="4" t="str">
        <f>IF(Pieces!$E179="","",Pieces!$E179)</f>
        <v/>
      </c>
      <c r="E179" s="3" t="str">
        <f>IF(Pieces!$F179="","",Pieces!$F179)</f>
        <v/>
      </c>
      <c r="F179" s="4" t="str">
        <f>IF(Pieces!$G179="","",Pieces!$G179)</f>
        <v/>
      </c>
      <c r="G179" s="4" t="str">
        <f>IF(Pieces!$H179="","",Pieces!$H179)</f>
        <v/>
      </c>
      <c r="H179" s="4" t="str">
        <f>IF(Pieces!$I179="","",Pieces!$I179)</f>
        <v/>
      </c>
    </row>
    <row r="180" spans="1:8" x14ac:dyDescent="0.2">
      <c r="A180" s="4">
        <v>178</v>
      </c>
      <c r="B180" s="3" t="str">
        <f>IF(Pieces!$C180="","",Pieces!$C180)</f>
        <v/>
      </c>
      <c r="C180" s="4" t="str">
        <f>IF(Pieces!$D180="","",Pieces!$D180)</f>
        <v/>
      </c>
      <c r="D180" s="4" t="str">
        <f>IF(Pieces!$E180="","",Pieces!$E180)</f>
        <v/>
      </c>
      <c r="E180" s="3" t="str">
        <f>IF(Pieces!$F180="","",Pieces!$F180)</f>
        <v/>
      </c>
      <c r="F180" s="4" t="str">
        <f>IF(Pieces!$G180="","",Pieces!$G180)</f>
        <v/>
      </c>
      <c r="G180" s="4" t="str">
        <f>IF(Pieces!$H180="","",Pieces!$H180)</f>
        <v/>
      </c>
      <c r="H180" s="4" t="str">
        <f>IF(Pieces!$I180="","",Pieces!$I180)</f>
        <v/>
      </c>
    </row>
    <row r="181" spans="1:8" x14ac:dyDescent="0.2">
      <c r="A181" s="4">
        <v>179</v>
      </c>
      <c r="B181" s="3" t="str">
        <f>IF(Pieces!$C181="","",Pieces!$C181)</f>
        <v/>
      </c>
      <c r="C181" s="4" t="str">
        <f>IF(Pieces!$D181="","",Pieces!$D181)</f>
        <v/>
      </c>
      <c r="D181" s="4" t="str">
        <f>IF(Pieces!$E181="","",Pieces!$E181)</f>
        <v/>
      </c>
      <c r="E181" s="3" t="str">
        <f>IF(Pieces!$F181="","",Pieces!$F181)</f>
        <v/>
      </c>
      <c r="F181" s="4" t="str">
        <f>IF(Pieces!$G181="","",Pieces!$G181)</f>
        <v/>
      </c>
      <c r="G181" s="4" t="str">
        <f>IF(Pieces!$H181="","",Pieces!$H181)</f>
        <v/>
      </c>
      <c r="H181" s="4" t="str">
        <f>IF(Pieces!$I181="","",Pieces!$I181)</f>
        <v/>
      </c>
    </row>
    <row r="182" spans="1:8" x14ac:dyDescent="0.2">
      <c r="A182" s="4">
        <v>180</v>
      </c>
      <c r="B182" s="3" t="str">
        <f>IF(Pieces!$C182="","",Pieces!$C182)</f>
        <v/>
      </c>
      <c r="C182" s="4" t="str">
        <f>IF(Pieces!$D182="","",Pieces!$D182)</f>
        <v/>
      </c>
      <c r="D182" s="4" t="str">
        <f>IF(Pieces!$E182="","",Pieces!$E182)</f>
        <v/>
      </c>
      <c r="E182" s="3" t="str">
        <f>IF(Pieces!$F182="","",Pieces!$F182)</f>
        <v/>
      </c>
      <c r="F182" s="4" t="str">
        <f>IF(Pieces!$G182="","",Pieces!$G182)</f>
        <v/>
      </c>
      <c r="G182" s="4" t="str">
        <f>IF(Pieces!$H182="","",Pieces!$H182)</f>
        <v/>
      </c>
      <c r="H182" s="4" t="str">
        <f>IF(Pieces!$I182="","",Pieces!$I182)</f>
        <v/>
      </c>
    </row>
    <row r="183" spans="1:8" x14ac:dyDescent="0.2">
      <c r="A183" s="4">
        <v>181</v>
      </c>
      <c r="B183" s="3" t="str">
        <f>IF(Pieces!$C183="","",Pieces!$C183)</f>
        <v/>
      </c>
      <c r="C183" s="4" t="str">
        <f>IF(Pieces!$D183="","",Pieces!$D183)</f>
        <v/>
      </c>
      <c r="D183" s="4" t="str">
        <f>IF(Pieces!$E183="","",Pieces!$E183)</f>
        <v/>
      </c>
      <c r="E183" s="3" t="str">
        <f>IF(Pieces!$F183="","",Pieces!$F183)</f>
        <v/>
      </c>
      <c r="F183" s="4" t="str">
        <f>IF(Pieces!$G183="","",Pieces!$G183)</f>
        <v/>
      </c>
      <c r="G183" s="4" t="str">
        <f>IF(Pieces!$H183="","",Pieces!$H183)</f>
        <v/>
      </c>
      <c r="H183" s="4" t="str">
        <f>IF(Pieces!$I183="","",Pieces!$I183)</f>
        <v/>
      </c>
    </row>
    <row r="184" spans="1:8" x14ac:dyDescent="0.2">
      <c r="A184" s="4">
        <v>182</v>
      </c>
      <c r="B184" s="3" t="str">
        <f>IF(Pieces!$C184="","",Pieces!$C184)</f>
        <v/>
      </c>
      <c r="C184" s="4" t="str">
        <f>IF(Pieces!$D184="","",Pieces!$D184)</f>
        <v/>
      </c>
      <c r="D184" s="4" t="str">
        <f>IF(Pieces!$E184="","",Pieces!$E184)</f>
        <v/>
      </c>
      <c r="E184" s="3" t="str">
        <f>IF(Pieces!$F184="","",Pieces!$F184)</f>
        <v/>
      </c>
      <c r="F184" s="4" t="str">
        <f>IF(Pieces!$G184="","",Pieces!$G184)</f>
        <v/>
      </c>
      <c r="G184" s="4" t="str">
        <f>IF(Pieces!$H184="","",Pieces!$H184)</f>
        <v/>
      </c>
      <c r="H184" s="4" t="str">
        <f>IF(Pieces!$I184="","",Pieces!$I184)</f>
        <v/>
      </c>
    </row>
    <row r="185" spans="1:8" x14ac:dyDescent="0.2">
      <c r="A185" s="4">
        <v>183</v>
      </c>
      <c r="B185" s="3" t="str">
        <f>IF(Pieces!$C185="","",Pieces!$C185)</f>
        <v/>
      </c>
      <c r="C185" s="4" t="str">
        <f>IF(Pieces!$D185="","",Pieces!$D185)</f>
        <v/>
      </c>
      <c r="D185" s="4" t="str">
        <f>IF(Pieces!$E185="","",Pieces!$E185)</f>
        <v/>
      </c>
      <c r="E185" s="3" t="str">
        <f>IF(Pieces!$F185="","",Pieces!$F185)</f>
        <v/>
      </c>
      <c r="F185" s="4" t="str">
        <f>IF(Pieces!$G185="","",Pieces!$G185)</f>
        <v/>
      </c>
      <c r="G185" s="4" t="str">
        <f>IF(Pieces!$H185="","",Pieces!$H185)</f>
        <v/>
      </c>
      <c r="H185" s="4" t="str">
        <f>IF(Pieces!$I185="","",Pieces!$I185)</f>
        <v/>
      </c>
    </row>
    <row r="186" spans="1:8" x14ac:dyDescent="0.2">
      <c r="A186" s="4">
        <v>184</v>
      </c>
      <c r="B186" s="3" t="str">
        <f>IF(Pieces!$C186="","",Pieces!$C186)</f>
        <v/>
      </c>
      <c r="C186" s="4" t="str">
        <f>IF(Pieces!$D186="","",Pieces!$D186)</f>
        <v/>
      </c>
      <c r="D186" s="4" t="str">
        <f>IF(Pieces!$E186="","",Pieces!$E186)</f>
        <v/>
      </c>
      <c r="E186" s="3" t="str">
        <f>IF(Pieces!$F186="","",Pieces!$F186)</f>
        <v/>
      </c>
      <c r="F186" s="4" t="str">
        <f>IF(Pieces!$G186="","",Pieces!$G186)</f>
        <v/>
      </c>
      <c r="G186" s="4" t="str">
        <f>IF(Pieces!$H186="","",Pieces!$H186)</f>
        <v/>
      </c>
      <c r="H186" s="4" t="str">
        <f>IF(Pieces!$I186="","",Pieces!$I186)</f>
        <v/>
      </c>
    </row>
    <row r="187" spans="1:8" x14ac:dyDescent="0.2">
      <c r="A187" s="4">
        <v>185</v>
      </c>
      <c r="B187" s="3" t="str">
        <f>IF(Pieces!$C187="","",Pieces!$C187)</f>
        <v/>
      </c>
      <c r="C187" s="4" t="str">
        <f>IF(Pieces!$D187="","",Pieces!$D187)</f>
        <v/>
      </c>
      <c r="D187" s="4" t="str">
        <f>IF(Pieces!$E187="","",Pieces!$E187)</f>
        <v/>
      </c>
      <c r="E187" s="3" t="str">
        <f>IF(Pieces!$F187="","",Pieces!$F187)</f>
        <v/>
      </c>
      <c r="F187" s="4" t="str">
        <f>IF(Pieces!$G187="","",Pieces!$G187)</f>
        <v/>
      </c>
      <c r="G187" s="4" t="str">
        <f>IF(Pieces!$H187="","",Pieces!$H187)</f>
        <v/>
      </c>
      <c r="H187" s="4" t="str">
        <f>IF(Pieces!$I187="","",Pieces!$I187)</f>
        <v/>
      </c>
    </row>
    <row r="188" spans="1:8" x14ac:dyDescent="0.2">
      <c r="A188" s="4">
        <v>186</v>
      </c>
      <c r="B188" s="3" t="str">
        <f>IF(Pieces!$C188="","",Pieces!$C188)</f>
        <v/>
      </c>
      <c r="C188" s="4" t="str">
        <f>IF(Pieces!$D188="","",Pieces!$D188)</f>
        <v/>
      </c>
      <c r="D188" s="4" t="str">
        <f>IF(Pieces!$E188="","",Pieces!$E188)</f>
        <v/>
      </c>
      <c r="E188" s="3" t="str">
        <f>IF(Pieces!$F188="","",Pieces!$F188)</f>
        <v/>
      </c>
      <c r="F188" s="4" t="str">
        <f>IF(Pieces!$G188="","",Pieces!$G188)</f>
        <v/>
      </c>
      <c r="G188" s="4" t="str">
        <f>IF(Pieces!$H188="","",Pieces!$H188)</f>
        <v/>
      </c>
      <c r="H188" s="4" t="str">
        <f>IF(Pieces!$I188="","",Pieces!$I188)</f>
        <v/>
      </c>
    </row>
    <row r="189" spans="1:8" x14ac:dyDescent="0.2">
      <c r="A189" s="4">
        <v>187</v>
      </c>
      <c r="B189" s="3" t="str">
        <f>IF(Pieces!$C189="","",Pieces!$C189)</f>
        <v/>
      </c>
      <c r="C189" s="4" t="str">
        <f>IF(Pieces!$D189="","",Pieces!$D189)</f>
        <v/>
      </c>
      <c r="D189" s="4" t="str">
        <f>IF(Pieces!$E189="","",Pieces!$E189)</f>
        <v/>
      </c>
      <c r="E189" s="3" t="str">
        <f>IF(Pieces!$F189="","",Pieces!$F189)</f>
        <v/>
      </c>
      <c r="F189" s="4" t="str">
        <f>IF(Pieces!$G189="","",Pieces!$G189)</f>
        <v/>
      </c>
      <c r="G189" s="4" t="str">
        <f>IF(Pieces!$H189="","",Pieces!$H189)</f>
        <v/>
      </c>
      <c r="H189" s="4" t="str">
        <f>IF(Pieces!$I189="","",Pieces!$I189)</f>
        <v/>
      </c>
    </row>
    <row r="190" spans="1:8" x14ac:dyDescent="0.2">
      <c r="A190" s="4">
        <v>188</v>
      </c>
      <c r="B190" s="3" t="str">
        <f>IF(Pieces!$C190="","",Pieces!$C190)</f>
        <v/>
      </c>
      <c r="C190" s="4" t="str">
        <f>IF(Pieces!$D190="","",Pieces!$D190)</f>
        <v/>
      </c>
      <c r="D190" s="4" t="str">
        <f>IF(Pieces!$E190="","",Pieces!$E190)</f>
        <v/>
      </c>
      <c r="E190" s="3" t="str">
        <f>IF(Pieces!$F190="","",Pieces!$F190)</f>
        <v/>
      </c>
      <c r="F190" s="4" t="str">
        <f>IF(Pieces!$G190="","",Pieces!$G190)</f>
        <v/>
      </c>
      <c r="G190" s="4" t="str">
        <f>IF(Pieces!$H190="","",Pieces!$H190)</f>
        <v/>
      </c>
      <c r="H190" s="4" t="str">
        <f>IF(Pieces!$I190="","",Pieces!$I190)</f>
        <v/>
      </c>
    </row>
    <row r="191" spans="1:8" x14ac:dyDescent="0.2">
      <c r="A191" s="4">
        <v>189</v>
      </c>
      <c r="B191" s="3" t="str">
        <f>IF(Pieces!$C191="","",Pieces!$C191)</f>
        <v/>
      </c>
      <c r="C191" s="4" t="str">
        <f>IF(Pieces!$D191="","",Pieces!$D191)</f>
        <v/>
      </c>
      <c r="D191" s="4" t="str">
        <f>IF(Pieces!$E191="","",Pieces!$E191)</f>
        <v/>
      </c>
      <c r="E191" s="3" t="str">
        <f>IF(Pieces!$F191="","",Pieces!$F191)</f>
        <v/>
      </c>
      <c r="F191" s="4" t="str">
        <f>IF(Pieces!$G191="","",Pieces!$G191)</f>
        <v/>
      </c>
      <c r="G191" s="4" t="str">
        <f>IF(Pieces!$H191="","",Pieces!$H191)</f>
        <v/>
      </c>
      <c r="H191" s="4" t="str">
        <f>IF(Pieces!$I191="","",Pieces!$I191)</f>
        <v/>
      </c>
    </row>
    <row r="192" spans="1:8" x14ac:dyDescent="0.2">
      <c r="A192" s="4">
        <v>190</v>
      </c>
      <c r="B192" s="3" t="str">
        <f>IF(Pieces!$C192="","",Pieces!$C192)</f>
        <v/>
      </c>
      <c r="C192" s="4" t="str">
        <f>IF(Pieces!$D192="","",Pieces!$D192)</f>
        <v/>
      </c>
      <c r="D192" s="4" t="str">
        <f>IF(Pieces!$E192="","",Pieces!$E192)</f>
        <v/>
      </c>
      <c r="E192" s="3" t="str">
        <f>IF(Pieces!$F192="","",Pieces!$F192)</f>
        <v/>
      </c>
      <c r="F192" s="4" t="str">
        <f>IF(Pieces!$G192="","",Pieces!$G192)</f>
        <v/>
      </c>
      <c r="G192" s="4" t="str">
        <f>IF(Pieces!$H192="","",Pieces!$H192)</f>
        <v/>
      </c>
      <c r="H192" s="4" t="str">
        <f>IF(Pieces!$I192="","",Pieces!$I192)</f>
        <v/>
      </c>
    </row>
    <row r="193" spans="1:8" x14ac:dyDescent="0.2">
      <c r="A193" s="4">
        <v>191</v>
      </c>
      <c r="B193" s="3" t="str">
        <f>IF(Pieces!$C193="","",Pieces!$C193)</f>
        <v/>
      </c>
      <c r="C193" s="4" t="str">
        <f>IF(Pieces!$D193="","",Pieces!$D193)</f>
        <v/>
      </c>
      <c r="D193" s="4" t="str">
        <f>IF(Pieces!$E193="","",Pieces!$E193)</f>
        <v/>
      </c>
      <c r="E193" s="3" t="str">
        <f>IF(Pieces!$F193="","",Pieces!$F193)</f>
        <v/>
      </c>
      <c r="F193" s="4" t="str">
        <f>IF(Pieces!$G193="","",Pieces!$G193)</f>
        <v/>
      </c>
      <c r="G193" s="4" t="str">
        <f>IF(Pieces!$H193="","",Pieces!$H193)</f>
        <v/>
      </c>
      <c r="H193" s="4" t="str">
        <f>IF(Pieces!$I193="","",Pieces!$I193)</f>
        <v/>
      </c>
    </row>
    <row r="194" spans="1:8" x14ac:dyDescent="0.2">
      <c r="A194" s="4">
        <v>192</v>
      </c>
      <c r="B194" s="3" t="str">
        <f>IF(Pieces!$C194="","",Pieces!$C194)</f>
        <v/>
      </c>
      <c r="C194" s="4" t="str">
        <f>IF(Pieces!$D194="","",Pieces!$D194)</f>
        <v/>
      </c>
      <c r="D194" s="4" t="str">
        <f>IF(Pieces!$E194="","",Pieces!$E194)</f>
        <v/>
      </c>
      <c r="E194" s="3" t="str">
        <f>IF(Pieces!$F194="","",Pieces!$F194)</f>
        <v/>
      </c>
      <c r="F194" s="4" t="str">
        <f>IF(Pieces!$G194="","",Pieces!$G194)</f>
        <v/>
      </c>
      <c r="G194" s="4" t="str">
        <f>IF(Pieces!$H194="","",Pieces!$H194)</f>
        <v/>
      </c>
      <c r="H194" s="4" t="str">
        <f>IF(Pieces!$I194="","",Pieces!$I194)</f>
        <v/>
      </c>
    </row>
    <row r="195" spans="1:8" x14ac:dyDescent="0.2">
      <c r="A195" s="4">
        <v>193</v>
      </c>
      <c r="B195" s="3" t="str">
        <f>IF(Pieces!$C195="","",Pieces!$C195)</f>
        <v/>
      </c>
      <c r="C195" s="4" t="str">
        <f>IF(Pieces!$D195="","",Pieces!$D195)</f>
        <v/>
      </c>
      <c r="D195" s="4" t="str">
        <f>IF(Pieces!$E195="","",Pieces!$E195)</f>
        <v/>
      </c>
      <c r="E195" s="3" t="str">
        <f>IF(Pieces!$F195="","",Pieces!$F195)</f>
        <v/>
      </c>
      <c r="F195" s="4" t="str">
        <f>IF(Pieces!$G195="","",Pieces!$G195)</f>
        <v/>
      </c>
      <c r="G195" s="4" t="str">
        <f>IF(Pieces!$H195="","",Pieces!$H195)</f>
        <v/>
      </c>
      <c r="H195" s="4" t="str">
        <f>IF(Pieces!$I195="","",Pieces!$I195)</f>
        <v/>
      </c>
    </row>
    <row r="196" spans="1:8" x14ac:dyDescent="0.2">
      <c r="A196" s="4">
        <v>194</v>
      </c>
      <c r="B196" s="3" t="str">
        <f>IF(Pieces!$C196="","",Pieces!$C196)</f>
        <v/>
      </c>
      <c r="C196" s="4" t="str">
        <f>IF(Pieces!$D196="","",Pieces!$D196)</f>
        <v/>
      </c>
      <c r="D196" s="4" t="str">
        <f>IF(Pieces!$E196="","",Pieces!$E196)</f>
        <v/>
      </c>
      <c r="E196" s="3" t="str">
        <f>IF(Pieces!$F196="","",Pieces!$F196)</f>
        <v/>
      </c>
      <c r="F196" s="4" t="str">
        <f>IF(Pieces!$G196="","",Pieces!$G196)</f>
        <v/>
      </c>
      <c r="G196" s="4" t="str">
        <f>IF(Pieces!$H196="","",Pieces!$H196)</f>
        <v/>
      </c>
      <c r="H196" s="4" t="str">
        <f>IF(Pieces!$I196="","",Pieces!$I196)</f>
        <v/>
      </c>
    </row>
    <row r="197" spans="1:8" x14ac:dyDescent="0.2">
      <c r="A197" s="4">
        <v>195</v>
      </c>
      <c r="B197" s="3" t="str">
        <f>IF(Pieces!$C197="","",Pieces!$C197)</f>
        <v/>
      </c>
      <c r="C197" s="4" t="str">
        <f>IF(Pieces!$D197="","",Pieces!$D197)</f>
        <v/>
      </c>
      <c r="D197" s="4" t="str">
        <f>IF(Pieces!$E197="","",Pieces!$E197)</f>
        <v/>
      </c>
      <c r="E197" s="3" t="str">
        <f>IF(Pieces!$F197="","",Pieces!$F197)</f>
        <v/>
      </c>
      <c r="F197" s="4" t="str">
        <f>IF(Pieces!$G197="","",Pieces!$G197)</f>
        <v/>
      </c>
      <c r="G197" s="4" t="str">
        <f>IF(Pieces!$H197="","",Pieces!$H197)</f>
        <v/>
      </c>
      <c r="H197" s="4" t="str">
        <f>IF(Pieces!$I197="","",Pieces!$I197)</f>
        <v/>
      </c>
    </row>
    <row r="198" spans="1:8" x14ac:dyDescent="0.2">
      <c r="A198" s="4">
        <v>196</v>
      </c>
      <c r="B198" s="3" t="str">
        <f>IF(Pieces!$C198="","",Pieces!$C198)</f>
        <v/>
      </c>
      <c r="C198" s="4" t="str">
        <f>IF(Pieces!$D198="","",Pieces!$D198)</f>
        <v/>
      </c>
      <c r="D198" s="4" t="str">
        <f>IF(Pieces!$E198="","",Pieces!$E198)</f>
        <v/>
      </c>
      <c r="E198" s="3" t="str">
        <f>IF(Pieces!$F198="","",Pieces!$F198)</f>
        <v/>
      </c>
      <c r="F198" s="4" t="str">
        <f>IF(Pieces!$G198="","",Pieces!$G198)</f>
        <v/>
      </c>
      <c r="G198" s="4" t="str">
        <f>IF(Pieces!$H198="","",Pieces!$H198)</f>
        <v/>
      </c>
      <c r="H198" s="4" t="str">
        <f>IF(Pieces!$I198="","",Pieces!$I198)</f>
        <v/>
      </c>
    </row>
    <row r="199" spans="1:8" x14ac:dyDescent="0.2">
      <c r="A199" s="4">
        <v>197</v>
      </c>
      <c r="B199" s="3" t="str">
        <f>IF(Pieces!$C199="","",Pieces!$C199)</f>
        <v/>
      </c>
      <c r="C199" s="4" t="str">
        <f>IF(Pieces!$D199="","",Pieces!$D199)</f>
        <v/>
      </c>
      <c r="D199" s="4" t="str">
        <f>IF(Pieces!$E199="","",Pieces!$E199)</f>
        <v/>
      </c>
      <c r="E199" s="3" t="str">
        <f>IF(Pieces!$F199="","",Pieces!$F199)</f>
        <v/>
      </c>
      <c r="F199" s="4" t="str">
        <f>IF(Pieces!$G199="","",Pieces!$G199)</f>
        <v/>
      </c>
      <c r="G199" s="4" t="str">
        <f>IF(Pieces!$H199="","",Pieces!$H199)</f>
        <v/>
      </c>
      <c r="H199" s="4" t="str">
        <f>IF(Pieces!$I199="","",Pieces!$I199)</f>
        <v/>
      </c>
    </row>
    <row r="200" spans="1:8" x14ac:dyDescent="0.2">
      <c r="A200" s="4">
        <v>198</v>
      </c>
      <c r="B200" s="3" t="str">
        <f>IF(Pieces!$C200="","",Pieces!$C200)</f>
        <v/>
      </c>
      <c r="C200" s="4" t="str">
        <f>IF(Pieces!$D200="","",Pieces!$D200)</f>
        <v/>
      </c>
      <c r="D200" s="4" t="str">
        <f>IF(Pieces!$E200="","",Pieces!$E200)</f>
        <v/>
      </c>
      <c r="E200" s="3" t="str">
        <f>IF(Pieces!$F200="","",Pieces!$F200)</f>
        <v/>
      </c>
      <c r="F200" s="4" t="str">
        <f>IF(Pieces!$G200="","",Pieces!$G200)</f>
        <v/>
      </c>
      <c r="G200" s="4" t="str">
        <f>IF(Pieces!$H200="","",Pieces!$H200)</f>
        <v/>
      </c>
      <c r="H200" s="4" t="str">
        <f>IF(Pieces!$I200="","",Pieces!$I200)</f>
        <v/>
      </c>
    </row>
    <row r="201" spans="1:8" x14ac:dyDescent="0.2">
      <c r="A201" s="4">
        <v>199</v>
      </c>
      <c r="B201" s="3" t="str">
        <f>IF(Pieces!$C201="","",Pieces!$C201)</f>
        <v/>
      </c>
      <c r="C201" s="4" t="str">
        <f>IF(Pieces!$D201="","",Pieces!$D201)</f>
        <v/>
      </c>
      <c r="D201" s="4" t="str">
        <f>IF(Pieces!$E201="","",Pieces!$E201)</f>
        <v/>
      </c>
      <c r="E201" s="3" t="str">
        <f>IF(Pieces!$F201="","",Pieces!$F201)</f>
        <v/>
      </c>
      <c r="F201" s="4" t="str">
        <f>IF(Pieces!$G201="","",Pieces!$G201)</f>
        <v/>
      </c>
      <c r="G201" s="4" t="str">
        <f>IF(Pieces!$H201="","",Pieces!$H201)</f>
        <v/>
      </c>
      <c r="H201" s="4" t="str">
        <f>IF(Pieces!$I201="","",Pieces!$I201)</f>
        <v/>
      </c>
    </row>
    <row r="202" spans="1:8" x14ac:dyDescent="0.2">
      <c r="A202" s="4">
        <v>200</v>
      </c>
      <c r="B202" s="3" t="str">
        <f>IF(Pieces!$C202="","",Pieces!$C202)</f>
        <v/>
      </c>
      <c r="C202" s="4" t="str">
        <f>IF(Pieces!$D202="","",Pieces!$D202)</f>
        <v/>
      </c>
      <c r="D202" s="4" t="str">
        <f>IF(Pieces!$E202="","",Pieces!$E202)</f>
        <v/>
      </c>
      <c r="E202" s="3" t="str">
        <f>IF(Pieces!$F202="","",Pieces!$F202)</f>
        <v/>
      </c>
      <c r="F202" s="4" t="str">
        <f>IF(Pieces!$G202="","",Pieces!$G202)</f>
        <v/>
      </c>
      <c r="G202" s="4" t="str">
        <f>IF(Pieces!$H202="","",Pieces!$H202)</f>
        <v/>
      </c>
      <c r="H202" s="4" t="str">
        <f>IF(Pieces!$I202="","",Pieces!$I202)</f>
        <v/>
      </c>
    </row>
    <row r="203" spans="1:8" x14ac:dyDescent="0.2">
      <c r="A203" s="4">
        <v>201</v>
      </c>
      <c r="B203" s="3" t="str">
        <f>IF(Pieces!$C203="","",Pieces!$C203)</f>
        <v/>
      </c>
      <c r="C203" s="4" t="str">
        <f>IF(Pieces!$D203="","",Pieces!$D203)</f>
        <v/>
      </c>
      <c r="D203" s="4" t="str">
        <f>IF(Pieces!$E203="","",Pieces!$E203)</f>
        <v/>
      </c>
      <c r="E203" s="3" t="str">
        <f>IF(Pieces!$F203="","",Pieces!$F203)</f>
        <v/>
      </c>
      <c r="F203" s="4" t="str">
        <f>IF(Pieces!$G203="","",Pieces!$G203)</f>
        <v/>
      </c>
      <c r="G203" s="4" t="str">
        <f>IF(Pieces!$H203="","",Pieces!$H203)</f>
        <v/>
      </c>
      <c r="H203" s="4" t="str">
        <f>IF(Pieces!$I203="","",Pieces!$I203)</f>
        <v/>
      </c>
    </row>
    <row r="204" spans="1:8" x14ac:dyDescent="0.2">
      <c r="A204" s="4">
        <v>202</v>
      </c>
      <c r="B204" s="3" t="str">
        <f>IF(Pieces!$C204="","",Pieces!$C204)</f>
        <v/>
      </c>
      <c r="C204" s="4" t="str">
        <f>IF(Pieces!$D204="","",Pieces!$D204)</f>
        <v/>
      </c>
      <c r="D204" s="4" t="str">
        <f>IF(Pieces!$E204="","",Pieces!$E204)</f>
        <v/>
      </c>
      <c r="E204" s="3" t="str">
        <f>IF(Pieces!$F204="","",Pieces!$F204)</f>
        <v/>
      </c>
      <c r="F204" s="4" t="str">
        <f>IF(Pieces!$G204="","",Pieces!$G204)</f>
        <v/>
      </c>
      <c r="G204" s="4" t="str">
        <f>IF(Pieces!$H204="","",Pieces!$H204)</f>
        <v/>
      </c>
      <c r="H204" s="4" t="str">
        <f>IF(Pieces!$I204="","",Pieces!$I204)</f>
        <v/>
      </c>
    </row>
    <row r="205" spans="1:8" x14ac:dyDescent="0.2">
      <c r="A205" s="4">
        <v>203</v>
      </c>
      <c r="B205" s="3" t="str">
        <f>IF(Pieces!$C205="","",Pieces!$C205)</f>
        <v/>
      </c>
      <c r="C205" s="4" t="str">
        <f>IF(Pieces!$D205="","",Pieces!$D205)</f>
        <v/>
      </c>
      <c r="D205" s="4" t="str">
        <f>IF(Pieces!$E205="","",Pieces!$E205)</f>
        <v/>
      </c>
      <c r="E205" s="3" t="str">
        <f>IF(Pieces!$F205="","",Pieces!$F205)</f>
        <v/>
      </c>
      <c r="F205" s="4" t="str">
        <f>IF(Pieces!$G205="","",Pieces!$G205)</f>
        <v/>
      </c>
      <c r="G205" s="4" t="str">
        <f>IF(Pieces!$H205="","",Pieces!$H205)</f>
        <v/>
      </c>
      <c r="H205" s="4" t="str">
        <f>IF(Pieces!$I205="","",Pieces!$I205)</f>
        <v/>
      </c>
    </row>
    <row r="206" spans="1:8" x14ac:dyDescent="0.2">
      <c r="A206" s="4">
        <v>204</v>
      </c>
      <c r="B206" s="3" t="str">
        <f>IF(Pieces!$C206="","",Pieces!$C206)</f>
        <v/>
      </c>
      <c r="C206" s="4" t="str">
        <f>IF(Pieces!$D206="","",Pieces!$D206)</f>
        <v/>
      </c>
      <c r="D206" s="4" t="str">
        <f>IF(Pieces!$E206="","",Pieces!$E206)</f>
        <v/>
      </c>
      <c r="E206" s="3" t="str">
        <f>IF(Pieces!$F206="","",Pieces!$F206)</f>
        <v/>
      </c>
      <c r="F206" s="4" t="str">
        <f>IF(Pieces!$G206="","",Pieces!$G206)</f>
        <v/>
      </c>
      <c r="G206" s="4" t="str">
        <f>IF(Pieces!$H206="","",Pieces!$H206)</f>
        <v/>
      </c>
      <c r="H206" s="4" t="str">
        <f>IF(Pieces!$I206="","",Pieces!$I206)</f>
        <v/>
      </c>
    </row>
    <row r="207" spans="1:8" x14ac:dyDescent="0.2">
      <c r="A207" s="4">
        <v>205</v>
      </c>
      <c r="B207" s="3" t="str">
        <f>IF(Pieces!$C207="","",Pieces!$C207)</f>
        <v/>
      </c>
      <c r="C207" s="4" t="str">
        <f>IF(Pieces!$D207="","",Pieces!$D207)</f>
        <v/>
      </c>
      <c r="D207" s="4" t="str">
        <f>IF(Pieces!$E207="","",Pieces!$E207)</f>
        <v/>
      </c>
      <c r="E207" s="3" t="str">
        <f>IF(Pieces!$F207="","",Pieces!$F207)</f>
        <v/>
      </c>
      <c r="F207" s="4" t="str">
        <f>IF(Pieces!$G207="","",Pieces!$G207)</f>
        <v/>
      </c>
      <c r="G207" s="4" t="str">
        <f>IF(Pieces!$H207="","",Pieces!$H207)</f>
        <v/>
      </c>
      <c r="H207" s="4" t="str">
        <f>IF(Pieces!$I207="","",Pieces!$I207)</f>
        <v/>
      </c>
    </row>
    <row r="208" spans="1:8" x14ac:dyDescent="0.2">
      <c r="A208" s="4">
        <v>206</v>
      </c>
      <c r="B208" s="3" t="str">
        <f>IF(Pieces!$C208="","",Pieces!$C208)</f>
        <v/>
      </c>
      <c r="C208" s="4" t="str">
        <f>IF(Pieces!$D208="","",Pieces!$D208)</f>
        <v/>
      </c>
      <c r="D208" s="4" t="str">
        <f>IF(Pieces!$E208="","",Pieces!$E208)</f>
        <v/>
      </c>
      <c r="E208" s="3" t="str">
        <f>IF(Pieces!$F208="","",Pieces!$F208)</f>
        <v/>
      </c>
      <c r="F208" s="4" t="str">
        <f>IF(Pieces!$G208="","",Pieces!$G208)</f>
        <v/>
      </c>
      <c r="G208" s="4" t="str">
        <f>IF(Pieces!$H208="","",Pieces!$H208)</f>
        <v/>
      </c>
      <c r="H208" s="4" t="str">
        <f>IF(Pieces!$I208="","",Pieces!$I208)</f>
        <v/>
      </c>
    </row>
    <row r="209" spans="1:8" x14ac:dyDescent="0.2">
      <c r="A209" s="4">
        <v>207</v>
      </c>
      <c r="B209" s="3" t="str">
        <f>IF(Pieces!$C209="","",Pieces!$C209)</f>
        <v/>
      </c>
      <c r="C209" s="4" t="str">
        <f>IF(Pieces!$D209="","",Pieces!$D209)</f>
        <v/>
      </c>
      <c r="D209" s="4" t="str">
        <f>IF(Pieces!$E209="","",Pieces!$E209)</f>
        <v/>
      </c>
      <c r="E209" s="3" t="str">
        <f>IF(Pieces!$F209="","",Pieces!$F209)</f>
        <v/>
      </c>
      <c r="F209" s="4" t="str">
        <f>IF(Pieces!$G209="","",Pieces!$G209)</f>
        <v/>
      </c>
      <c r="G209" s="4" t="str">
        <f>IF(Pieces!$H209="","",Pieces!$H209)</f>
        <v/>
      </c>
      <c r="H209" s="4" t="str">
        <f>IF(Pieces!$I209="","",Pieces!$I209)</f>
        <v/>
      </c>
    </row>
    <row r="210" spans="1:8" x14ac:dyDescent="0.2">
      <c r="A210" s="4">
        <v>208</v>
      </c>
      <c r="B210" s="3" t="str">
        <f>IF(Pieces!$C210="","",Pieces!$C210)</f>
        <v/>
      </c>
      <c r="C210" s="4" t="str">
        <f>IF(Pieces!$D210="","",Pieces!$D210)</f>
        <v/>
      </c>
      <c r="D210" s="4" t="str">
        <f>IF(Pieces!$E210="","",Pieces!$E210)</f>
        <v/>
      </c>
      <c r="E210" s="3" t="str">
        <f>IF(Pieces!$F210="","",Pieces!$F210)</f>
        <v/>
      </c>
      <c r="F210" s="4" t="str">
        <f>IF(Pieces!$G210="","",Pieces!$G210)</f>
        <v/>
      </c>
      <c r="G210" s="4" t="str">
        <f>IF(Pieces!$H210="","",Pieces!$H210)</f>
        <v/>
      </c>
      <c r="H210" s="4" t="str">
        <f>IF(Pieces!$I210="","",Pieces!$I210)</f>
        <v/>
      </c>
    </row>
    <row r="211" spans="1:8" x14ac:dyDescent="0.2">
      <c r="A211" s="4">
        <v>209</v>
      </c>
      <c r="B211" s="3" t="str">
        <f>IF(Pieces!$C211="","",Pieces!$C211)</f>
        <v/>
      </c>
      <c r="C211" s="4" t="str">
        <f>IF(Pieces!$D211="","",Pieces!$D211)</f>
        <v/>
      </c>
      <c r="D211" s="4" t="str">
        <f>IF(Pieces!$E211="","",Pieces!$E211)</f>
        <v/>
      </c>
      <c r="E211" s="3" t="str">
        <f>IF(Pieces!$F211="","",Pieces!$F211)</f>
        <v/>
      </c>
      <c r="F211" s="4" t="str">
        <f>IF(Pieces!$G211="","",Pieces!$G211)</f>
        <v/>
      </c>
      <c r="G211" s="4" t="str">
        <f>IF(Pieces!$H211="","",Pieces!$H211)</f>
        <v/>
      </c>
      <c r="H211" s="4" t="str">
        <f>IF(Pieces!$I211="","",Pieces!$I211)</f>
        <v/>
      </c>
    </row>
    <row r="212" spans="1:8" x14ac:dyDescent="0.2">
      <c r="A212" s="4">
        <v>210</v>
      </c>
      <c r="B212" s="3" t="str">
        <f>IF(Pieces!$C212="","",Pieces!$C212)</f>
        <v/>
      </c>
      <c r="C212" s="4" t="str">
        <f>IF(Pieces!$D212="","",Pieces!$D212)</f>
        <v/>
      </c>
      <c r="D212" s="4" t="str">
        <f>IF(Pieces!$E212="","",Pieces!$E212)</f>
        <v/>
      </c>
      <c r="E212" s="3" t="str">
        <f>IF(Pieces!$F212="","",Pieces!$F212)</f>
        <v/>
      </c>
      <c r="F212" s="4" t="str">
        <f>IF(Pieces!$G212="","",Pieces!$G212)</f>
        <v/>
      </c>
      <c r="G212" s="4" t="str">
        <f>IF(Pieces!$H212="","",Pieces!$H212)</f>
        <v/>
      </c>
      <c r="H212" s="4" t="str">
        <f>IF(Pieces!$I212="","",Pieces!$I212)</f>
        <v/>
      </c>
    </row>
    <row r="213" spans="1:8" x14ac:dyDescent="0.2">
      <c r="A213" s="4">
        <v>211</v>
      </c>
      <c r="B213" s="3" t="str">
        <f>IF(Pieces!$C213="","",Pieces!$C213)</f>
        <v/>
      </c>
      <c r="C213" s="4" t="str">
        <f>IF(Pieces!$D213="","",Pieces!$D213)</f>
        <v/>
      </c>
      <c r="D213" s="4" t="str">
        <f>IF(Pieces!$E213="","",Pieces!$E213)</f>
        <v/>
      </c>
      <c r="E213" s="3" t="str">
        <f>IF(Pieces!$F213="","",Pieces!$F213)</f>
        <v/>
      </c>
      <c r="F213" s="4" t="str">
        <f>IF(Pieces!$G213="","",Pieces!$G213)</f>
        <v/>
      </c>
      <c r="G213" s="4" t="str">
        <f>IF(Pieces!$H213="","",Pieces!$H213)</f>
        <v/>
      </c>
      <c r="H213" s="4" t="str">
        <f>IF(Pieces!$I213="","",Pieces!$I213)</f>
        <v/>
      </c>
    </row>
    <row r="214" spans="1:8" x14ac:dyDescent="0.2">
      <c r="A214" s="4">
        <v>212</v>
      </c>
      <c r="B214" s="3" t="str">
        <f>IF(Pieces!$C214="","",Pieces!$C214)</f>
        <v/>
      </c>
      <c r="C214" s="4" t="str">
        <f>IF(Pieces!$D214="","",Pieces!$D214)</f>
        <v/>
      </c>
      <c r="D214" s="4" t="str">
        <f>IF(Pieces!$E214="","",Pieces!$E214)</f>
        <v/>
      </c>
      <c r="E214" s="3" t="str">
        <f>IF(Pieces!$F214="","",Pieces!$F214)</f>
        <v/>
      </c>
      <c r="F214" s="4" t="str">
        <f>IF(Pieces!$G214="","",Pieces!$G214)</f>
        <v/>
      </c>
      <c r="G214" s="4" t="str">
        <f>IF(Pieces!$H214="","",Pieces!$H214)</f>
        <v/>
      </c>
      <c r="H214" s="4" t="str">
        <f>IF(Pieces!$I214="","",Pieces!$I214)</f>
        <v/>
      </c>
    </row>
    <row r="215" spans="1:8" x14ac:dyDescent="0.2">
      <c r="A215" s="4">
        <v>213</v>
      </c>
      <c r="B215" s="3" t="str">
        <f>IF(Pieces!$C215="","",Pieces!$C215)</f>
        <v/>
      </c>
      <c r="C215" s="4" t="str">
        <f>IF(Pieces!$D215="","",Pieces!$D215)</f>
        <v/>
      </c>
      <c r="D215" s="4" t="str">
        <f>IF(Pieces!$E215="","",Pieces!$E215)</f>
        <v/>
      </c>
      <c r="E215" s="3" t="str">
        <f>IF(Pieces!$F215="","",Pieces!$F215)</f>
        <v/>
      </c>
      <c r="F215" s="4" t="str">
        <f>IF(Pieces!$G215="","",Pieces!$G215)</f>
        <v/>
      </c>
      <c r="G215" s="4" t="str">
        <f>IF(Pieces!$H215="","",Pieces!$H215)</f>
        <v/>
      </c>
      <c r="H215" s="4" t="str">
        <f>IF(Pieces!$I215="","",Pieces!$I215)</f>
        <v/>
      </c>
    </row>
    <row r="216" spans="1:8" x14ac:dyDescent="0.2">
      <c r="A216" s="4">
        <v>214</v>
      </c>
      <c r="B216" s="3" t="str">
        <f>IF(Pieces!$C216="","",Pieces!$C216)</f>
        <v/>
      </c>
      <c r="C216" s="4" t="str">
        <f>IF(Pieces!$D216="","",Pieces!$D216)</f>
        <v/>
      </c>
      <c r="D216" s="4" t="str">
        <f>IF(Pieces!$E216="","",Pieces!$E216)</f>
        <v/>
      </c>
      <c r="E216" s="3" t="str">
        <f>IF(Pieces!$F216="","",Pieces!$F216)</f>
        <v/>
      </c>
      <c r="F216" s="4" t="str">
        <f>IF(Pieces!$G216="","",Pieces!$G216)</f>
        <v/>
      </c>
      <c r="G216" s="4" t="str">
        <f>IF(Pieces!$H216="","",Pieces!$H216)</f>
        <v/>
      </c>
      <c r="H216" s="4" t="str">
        <f>IF(Pieces!$I216="","",Pieces!$I216)</f>
        <v/>
      </c>
    </row>
    <row r="217" spans="1:8" x14ac:dyDescent="0.2">
      <c r="A217" s="4">
        <v>215</v>
      </c>
      <c r="B217" s="3" t="str">
        <f>IF(Pieces!$C217="","",Pieces!$C217)</f>
        <v/>
      </c>
      <c r="C217" s="4" t="str">
        <f>IF(Pieces!$D217="","",Pieces!$D217)</f>
        <v/>
      </c>
      <c r="D217" s="4" t="str">
        <f>IF(Pieces!$E217="","",Pieces!$E217)</f>
        <v/>
      </c>
      <c r="E217" s="3" t="str">
        <f>IF(Pieces!$F217="","",Pieces!$F217)</f>
        <v/>
      </c>
      <c r="F217" s="4" t="str">
        <f>IF(Pieces!$G217="","",Pieces!$G217)</f>
        <v/>
      </c>
      <c r="G217" s="4" t="str">
        <f>IF(Pieces!$H217="","",Pieces!$H217)</f>
        <v/>
      </c>
      <c r="H217" s="4" t="str">
        <f>IF(Pieces!$I217="","",Pieces!$I217)</f>
        <v/>
      </c>
    </row>
    <row r="218" spans="1:8" x14ac:dyDescent="0.2">
      <c r="A218" s="4">
        <v>216</v>
      </c>
      <c r="B218" s="3" t="str">
        <f>IF(Pieces!$C218="","",Pieces!$C218)</f>
        <v/>
      </c>
      <c r="C218" s="4" t="str">
        <f>IF(Pieces!$D218="","",Pieces!$D218)</f>
        <v/>
      </c>
      <c r="D218" s="4" t="str">
        <f>IF(Pieces!$E218="","",Pieces!$E218)</f>
        <v/>
      </c>
      <c r="E218" s="3" t="str">
        <f>IF(Pieces!$F218="","",Pieces!$F218)</f>
        <v/>
      </c>
      <c r="F218" s="4" t="str">
        <f>IF(Pieces!$G218="","",Pieces!$G218)</f>
        <v/>
      </c>
      <c r="G218" s="4" t="str">
        <f>IF(Pieces!$H218="","",Pieces!$H218)</f>
        <v/>
      </c>
      <c r="H218" s="4" t="str">
        <f>IF(Pieces!$I218="","",Pieces!$I218)</f>
        <v/>
      </c>
    </row>
    <row r="219" spans="1:8" x14ac:dyDescent="0.2">
      <c r="A219" s="4">
        <v>217</v>
      </c>
      <c r="B219" s="3" t="str">
        <f>IF(Pieces!$C219="","",Pieces!$C219)</f>
        <v/>
      </c>
      <c r="C219" s="4" t="str">
        <f>IF(Pieces!$D219="","",Pieces!$D219)</f>
        <v/>
      </c>
      <c r="D219" s="4" t="str">
        <f>IF(Pieces!$E219="","",Pieces!$E219)</f>
        <v/>
      </c>
      <c r="E219" s="3" t="str">
        <f>IF(Pieces!$F219="","",Pieces!$F219)</f>
        <v/>
      </c>
      <c r="F219" s="4" t="str">
        <f>IF(Pieces!$G219="","",Pieces!$G219)</f>
        <v/>
      </c>
      <c r="G219" s="4" t="str">
        <f>IF(Pieces!$H219="","",Pieces!$H219)</f>
        <v/>
      </c>
      <c r="H219" s="4" t="str">
        <f>IF(Pieces!$I219="","",Pieces!$I219)</f>
        <v/>
      </c>
    </row>
    <row r="220" spans="1:8" x14ac:dyDescent="0.2">
      <c r="A220" s="4">
        <v>218</v>
      </c>
      <c r="B220" s="3" t="str">
        <f>IF(Pieces!$C220="","",Pieces!$C220)</f>
        <v/>
      </c>
      <c r="C220" s="4" t="str">
        <f>IF(Pieces!$D220="","",Pieces!$D220)</f>
        <v/>
      </c>
      <c r="D220" s="4" t="str">
        <f>IF(Pieces!$E220="","",Pieces!$E220)</f>
        <v/>
      </c>
      <c r="E220" s="3" t="str">
        <f>IF(Pieces!$F220="","",Pieces!$F220)</f>
        <v/>
      </c>
      <c r="F220" s="4" t="str">
        <f>IF(Pieces!$G220="","",Pieces!$G220)</f>
        <v/>
      </c>
      <c r="G220" s="4" t="str">
        <f>IF(Pieces!$H220="","",Pieces!$H220)</f>
        <v/>
      </c>
      <c r="H220" s="4" t="str">
        <f>IF(Pieces!$I220="","",Pieces!$I220)</f>
        <v/>
      </c>
    </row>
    <row r="221" spans="1:8" x14ac:dyDescent="0.2">
      <c r="A221" s="4">
        <v>219</v>
      </c>
      <c r="B221" s="3" t="str">
        <f>IF(Pieces!$C221="","",Pieces!$C221)</f>
        <v/>
      </c>
      <c r="C221" s="4" t="str">
        <f>IF(Pieces!$D221="","",Pieces!$D221)</f>
        <v/>
      </c>
      <c r="D221" s="4" t="str">
        <f>IF(Pieces!$E221="","",Pieces!$E221)</f>
        <v/>
      </c>
      <c r="E221" s="3" t="str">
        <f>IF(Pieces!$F221="","",Pieces!$F221)</f>
        <v/>
      </c>
      <c r="F221" s="4" t="str">
        <f>IF(Pieces!$G221="","",Pieces!$G221)</f>
        <v/>
      </c>
      <c r="G221" s="4" t="str">
        <f>IF(Pieces!$H221="","",Pieces!$H221)</f>
        <v/>
      </c>
      <c r="H221" s="4" t="str">
        <f>IF(Pieces!$I221="","",Pieces!$I221)</f>
        <v/>
      </c>
    </row>
    <row r="222" spans="1:8" x14ac:dyDescent="0.2">
      <c r="A222" s="4">
        <v>220</v>
      </c>
      <c r="B222" s="3" t="str">
        <f>IF(Pieces!$C222="","",Pieces!$C222)</f>
        <v/>
      </c>
      <c r="C222" s="4" t="str">
        <f>IF(Pieces!$D222="","",Pieces!$D222)</f>
        <v/>
      </c>
      <c r="D222" s="4" t="str">
        <f>IF(Pieces!$E222="","",Pieces!$E222)</f>
        <v/>
      </c>
      <c r="E222" s="3" t="str">
        <f>IF(Pieces!$F222="","",Pieces!$F222)</f>
        <v/>
      </c>
      <c r="F222" s="4" t="str">
        <f>IF(Pieces!$G222="","",Pieces!$G222)</f>
        <v/>
      </c>
      <c r="G222" s="4" t="str">
        <f>IF(Pieces!$H222="","",Pieces!$H222)</f>
        <v/>
      </c>
      <c r="H222" s="4" t="str">
        <f>IF(Pieces!$I222="","",Pieces!$I222)</f>
        <v/>
      </c>
    </row>
    <row r="223" spans="1:8" x14ac:dyDescent="0.2">
      <c r="A223" s="4">
        <v>221</v>
      </c>
      <c r="B223" s="3" t="str">
        <f>IF(Pieces!$C223="","",Pieces!$C223)</f>
        <v/>
      </c>
      <c r="C223" s="4" t="str">
        <f>IF(Pieces!$D223="","",Pieces!$D223)</f>
        <v/>
      </c>
      <c r="D223" s="4" t="str">
        <f>IF(Pieces!$E223="","",Pieces!$E223)</f>
        <v/>
      </c>
      <c r="E223" s="3" t="str">
        <f>IF(Pieces!$F223="","",Pieces!$F223)</f>
        <v/>
      </c>
      <c r="F223" s="4" t="str">
        <f>IF(Pieces!$G223="","",Pieces!$G223)</f>
        <v/>
      </c>
      <c r="G223" s="4" t="str">
        <f>IF(Pieces!$H223="","",Pieces!$H223)</f>
        <v/>
      </c>
      <c r="H223" s="4" t="str">
        <f>IF(Pieces!$I223="","",Pieces!$I223)</f>
        <v/>
      </c>
    </row>
    <row r="224" spans="1:8" x14ac:dyDescent="0.2">
      <c r="A224" s="4">
        <v>222</v>
      </c>
      <c r="B224" s="3" t="str">
        <f>IF(Pieces!$C224="","",Pieces!$C224)</f>
        <v/>
      </c>
      <c r="C224" s="4" t="str">
        <f>IF(Pieces!$D224="","",Pieces!$D224)</f>
        <v/>
      </c>
      <c r="D224" s="4" t="str">
        <f>IF(Pieces!$E224="","",Pieces!$E224)</f>
        <v/>
      </c>
      <c r="E224" s="3" t="str">
        <f>IF(Pieces!$F224="","",Pieces!$F224)</f>
        <v/>
      </c>
      <c r="F224" s="4" t="str">
        <f>IF(Pieces!$G224="","",Pieces!$G224)</f>
        <v/>
      </c>
      <c r="G224" s="4" t="str">
        <f>IF(Pieces!$H224="","",Pieces!$H224)</f>
        <v/>
      </c>
      <c r="H224" s="4" t="str">
        <f>IF(Pieces!$I224="","",Pieces!$I224)</f>
        <v/>
      </c>
    </row>
    <row r="225" spans="1:8" x14ac:dyDescent="0.2">
      <c r="A225" s="4">
        <v>223</v>
      </c>
      <c r="B225" s="3" t="str">
        <f>IF(Pieces!$C225="","",Pieces!$C225)</f>
        <v/>
      </c>
      <c r="C225" s="4" t="str">
        <f>IF(Pieces!$D225="","",Pieces!$D225)</f>
        <v/>
      </c>
      <c r="D225" s="4" t="str">
        <f>IF(Pieces!$E225="","",Pieces!$E225)</f>
        <v/>
      </c>
      <c r="E225" s="3" t="str">
        <f>IF(Pieces!$F225="","",Pieces!$F225)</f>
        <v/>
      </c>
      <c r="F225" s="4" t="str">
        <f>IF(Pieces!$G225="","",Pieces!$G225)</f>
        <v/>
      </c>
      <c r="G225" s="4" t="str">
        <f>IF(Pieces!$H225="","",Pieces!$H225)</f>
        <v/>
      </c>
      <c r="H225" s="4" t="str">
        <f>IF(Pieces!$I225="","",Pieces!$I225)</f>
        <v/>
      </c>
    </row>
    <row r="226" spans="1:8" x14ac:dyDescent="0.2">
      <c r="A226" s="4">
        <v>224</v>
      </c>
      <c r="B226" s="3" t="str">
        <f>IF(Pieces!$C226="","",Pieces!$C226)</f>
        <v/>
      </c>
      <c r="C226" s="4" t="str">
        <f>IF(Pieces!$D226="","",Pieces!$D226)</f>
        <v/>
      </c>
      <c r="D226" s="4" t="str">
        <f>IF(Pieces!$E226="","",Pieces!$E226)</f>
        <v/>
      </c>
      <c r="E226" s="3" t="str">
        <f>IF(Pieces!$F226="","",Pieces!$F226)</f>
        <v/>
      </c>
      <c r="F226" s="4" t="str">
        <f>IF(Pieces!$G226="","",Pieces!$G226)</f>
        <v/>
      </c>
      <c r="G226" s="4" t="str">
        <f>IF(Pieces!$H226="","",Pieces!$H226)</f>
        <v/>
      </c>
      <c r="H226" s="4" t="str">
        <f>IF(Pieces!$I226="","",Pieces!$I226)</f>
        <v/>
      </c>
    </row>
    <row r="227" spans="1:8" x14ac:dyDescent="0.2">
      <c r="A227" s="4">
        <v>225</v>
      </c>
      <c r="B227" s="3" t="str">
        <f>IF(Pieces!$C227="","",Pieces!$C227)</f>
        <v/>
      </c>
      <c r="C227" s="4" t="str">
        <f>IF(Pieces!$D227="","",Pieces!$D227)</f>
        <v/>
      </c>
      <c r="D227" s="4" t="str">
        <f>IF(Pieces!$E227="","",Pieces!$E227)</f>
        <v/>
      </c>
      <c r="E227" s="3" t="str">
        <f>IF(Pieces!$F227="","",Pieces!$F227)</f>
        <v/>
      </c>
      <c r="F227" s="4" t="str">
        <f>IF(Pieces!$G227="","",Pieces!$G227)</f>
        <v/>
      </c>
      <c r="G227" s="4" t="str">
        <f>IF(Pieces!$H227="","",Pieces!$H227)</f>
        <v/>
      </c>
      <c r="H227" s="4" t="str">
        <f>IF(Pieces!$I227="","",Pieces!$I227)</f>
        <v/>
      </c>
    </row>
    <row r="228" spans="1:8" x14ac:dyDescent="0.2">
      <c r="A228" s="4">
        <v>226</v>
      </c>
      <c r="B228" s="3" t="str">
        <f>IF(Pieces!$C228="","",Pieces!$C228)</f>
        <v/>
      </c>
      <c r="C228" s="4" t="str">
        <f>IF(Pieces!$D228="","",Pieces!$D228)</f>
        <v/>
      </c>
      <c r="D228" s="4" t="str">
        <f>IF(Pieces!$E228="","",Pieces!$E228)</f>
        <v/>
      </c>
      <c r="E228" s="3" t="str">
        <f>IF(Pieces!$F228="","",Pieces!$F228)</f>
        <v/>
      </c>
      <c r="F228" s="4" t="str">
        <f>IF(Pieces!$G228="","",Pieces!$G228)</f>
        <v/>
      </c>
      <c r="G228" s="4" t="str">
        <f>IF(Pieces!$H228="","",Pieces!$H228)</f>
        <v/>
      </c>
      <c r="H228" s="4" t="str">
        <f>IF(Pieces!$I228="","",Pieces!$I228)</f>
        <v/>
      </c>
    </row>
    <row r="229" spans="1:8" x14ac:dyDescent="0.2">
      <c r="A229" s="4">
        <v>227</v>
      </c>
      <c r="B229" s="3" t="str">
        <f>IF(Pieces!$C229="","",Pieces!$C229)</f>
        <v/>
      </c>
      <c r="C229" s="4" t="str">
        <f>IF(Pieces!$D229="","",Pieces!$D229)</f>
        <v/>
      </c>
      <c r="D229" s="4" t="str">
        <f>IF(Pieces!$E229="","",Pieces!$E229)</f>
        <v/>
      </c>
      <c r="E229" s="3" t="str">
        <f>IF(Pieces!$F229="","",Pieces!$F229)</f>
        <v/>
      </c>
      <c r="F229" s="4" t="str">
        <f>IF(Pieces!$G229="","",Pieces!$G229)</f>
        <v/>
      </c>
      <c r="G229" s="4" t="str">
        <f>IF(Pieces!$H229="","",Pieces!$H229)</f>
        <v/>
      </c>
      <c r="H229" s="4" t="str">
        <f>IF(Pieces!$I229="","",Pieces!$I229)</f>
        <v/>
      </c>
    </row>
    <row r="230" spans="1:8" x14ac:dyDescent="0.2">
      <c r="A230" s="4">
        <v>228</v>
      </c>
      <c r="B230" s="3" t="str">
        <f>IF(Pieces!$C230="","",Pieces!$C230)</f>
        <v/>
      </c>
      <c r="C230" s="4" t="str">
        <f>IF(Pieces!$D230="","",Pieces!$D230)</f>
        <v/>
      </c>
      <c r="D230" s="4" t="str">
        <f>IF(Pieces!$E230="","",Pieces!$E230)</f>
        <v/>
      </c>
      <c r="E230" s="3" t="str">
        <f>IF(Pieces!$F230="","",Pieces!$F230)</f>
        <v/>
      </c>
      <c r="F230" s="4" t="str">
        <f>IF(Pieces!$G230="","",Pieces!$G230)</f>
        <v/>
      </c>
      <c r="G230" s="4" t="str">
        <f>IF(Pieces!$H230="","",Pieces!$H230)</f>
        <v/>
      </c>
      <c r="H230" s="4" t="str">
        <f>IF(Pieces!$I230="","",Pieces!$I230)</f>
        <v/>
      </c>
    </row>
    <row r="231" spans="1:8" x14ac:dyDescent="0.2">
      <c r="A231" s="4">
        <v>229</v>
      </c>
      <c r="B231" s="3" t="str">
        <f>IF(Pieces!$C231="","",Pieces!$C231)</f>
        <v/>
      </c>
      <c r="C231" s="4" t="str">
        <f>IF(Pieces!$D231="","",Pieces!$D231)</f>
        <v/>
      </c>
      <c r="D231" s="4" t="str">
        <f>IF(Pieces!$E231="","",Pieces!$E231)</f>
        <v/>
      </c>
      <c r="E231" s="3" t="str">
        <f>IF(Pieces!$F231="","",Pieces!$F231)</f>
        <v/>
      </c>
      <c r="F231" s="4" t="str">
        <f>IF(Pieces!$G231="","",Pieces!$G231)</f>
        <v/>
      </c>
      <c r="G231" s="4" t="str">
        <f>IF(Pieces!$H231="","",Pieces!$H231)</f>
        <v/>
      </c>
      <c r="H231" s="4" t="str">
        <f>IF(Pieces!$I231="","",Pieces!$I231)</f>
        <v/>
      </c>
    </row>
    <row r="232" spans="1:8" x14ac:dyDescent="0.2">
      <c r="A232" s="4">
        <v>230</v>
      </c>
      <c r="B232" s="3" t="str">
        <f>IF(Pieces!$C232="","",Pieces!$C232)</f>
        <v/>
      </c>
      <c r="C232" s="4" t="str">
        <f>IF(Pieces!$D232="","",Pieces!$D232)</f>
        <v/>
      </c>
      <c r="D232" s="4" t="str">
        <f>IF(Pieces!$E232="","",Pieces!$E232)</f>
        <v/>
      </c>
      <c r="E232" s="3" t="str">
        <f>IF(Pieces!$F232="","",Pieces!$F232)</f>
        <v/>
      </c>
      <c r="F232" s="4" t="str">
        <f>IF(Pieces!$G232="","",Pieces!$G232)</f>
        <v/>
      </c>
      <c r="G232" s="4" t="str">
        <f>IF(Pieces!$H232="","",Pieces!$H232)</f>
        <v/>
      </c>
      <c r="H232" s="4" t="str">
        <f>IF(Pieces!$I232="","",Pieces!$I232)</f>
        <v/>
      </c>
    </row>
    <row r="233" spans="1:8" x14ac:dyDescent="0.2">
      <c r="A233" s="4">
        <v>231</v>
      </c>
      <c r="B233" s="3" t="str">
        <f>IF(Pieces!$C233="","",Pieces!$C233)</f>
        <v/>
      </c>
      <c r="C233" s="4" t="str">
        <f>IF(Pieces!$D233="","",Pieces!$D233)</f>
        <v/>
      </c>
      <c r="D233" s="4" t="str">
        <f>IF(Pieces!$E233="","",Pieces!$E233)</f>
        <v/>
      </c>
      <c r="E233" s="3" t="str">
        <f>IF(Pieces!$F233="","",Pieces!$F233)</f>
        <v/>
      </c>
      <c r="F233" s="4" t="str">
        <f>IF(Pieces!$G233="","",Pieces!$G233)</f>
        <v/>
      </c>
      <c r="G233" s="4" t="str">
        <f>IF(Pieces!$H233="","",Pieces!$H233)</f>
        <v/>
      </c>
      <c r="H233" s="4" t="str">
        <f>IF(Pieces!$I233="","",Pieces!$I233)</f>
        <v/>
      </c>
    </row>
    <row r="234" spans="1:8" x14ac:dyDescent="0.2">
      <c r="A234" s="4">
        <v>232</v>
      </c>
      <c r="B234" s="3" t="str">
        <f>IF(Pieces!$C234="","",Pieces!$C234)</f>
        <v/>
      </c>
      <c r="C234" s="4" t="str">
        <f>IF(Pieces!$D234="","",Pieces!$D234)</f>
        <v/>
      </c>
      <c r="D234" s="4" t="str">
        <f>IF(Pieces!$E234="","",Pieces!$E234)</f>
        <v/>
      </c>
      <c r="E234" s="3" t="str">
        <f>IF(Pieces!$F234="","",Pieces!$F234)</f>
        <v/>
      </c>
      <c r="F234" s="4" t="str">
        <f>IF(Pieces!$G234="","",Pieces!$G234)</f>
        <v/>
      </c>
      <c r="G234" s="4" t="str">
        <f>IF(Pieces!$H234="","",Pieces!$H234)</f>
        <v/>
      </c>
      <c r="H234" s="4" t="str">
        <f>IF(Pieces!$I234="","",Pieces!$I234)</f>
        <v/>
      </c>
    </row>
    <row r="235" spans="1:8" x14ac:dyDescent="0.2">
      <c r="A235" s="4">
        <v>233</v>
      </c>
      <c r="B235" s="3" t="str">
        <f>IF(Pieces!$C235="","",Pieces!$C235)</f>
        <v/>
      </c>
      <c r="C235" s="4" t="str">
        <f>IF(Pieces!$D235="","",Pieces!$D235)</f>
        <v/>
      </c>
      <c r="D235" s="4" t="str">
        <f>IF(Pieces!$E235="","",Pieces!$E235)</f>
        <v/>
      </c>
      <c r="E235" s="3" t="str">
        <f>IF(Pieces!$F235="","",Pieces!$F235)</f>
        <v/>
      </c>
      <c r="F235" s="4" t="str">
        <f>IF(Pieces!$G235="","",Pieces!$G235)</f>
        <v/>
      </c>
      <c r="G235" s="4" t="str">
        <f>IF(Pieces!$H235="","",Pieces!$H235)</f>
        <v/>
      </c>
      <c r="H235" s="4" t="str">
        <f>IF(Pieces!$I235="","",Pieces!$I235)</f>
        <v/>
      </c>
    </row>
    <row r="236" spans="1:8" x14ac:dyDescent="0.2">
      <c r="A236" s="4">
        <v>234</v>
      </c>
      <c r="B236" s="3" t="str">
        <f>IF(Pieces!$C236="","",Pieces!$C236)</f>
        <v/>
      </c>
      <c r="C236" s="4" t="str">
        <f>IF(Pieces!$D236="","",Pieces!$D236)</f>
        <v/>
      </c>
      <c r="D236" s="4" t="str">
        <f>IF(Pieces!$E236="","",Pieces!$E236)</f>
        <v/>
      </c>
      <c r="E236" s="3" t="str">
        <f>IF(Pieces!$F236="","",Pieces!$F236)</f>
        <v/>
      </c>
      <c r="F236" s="4" t="str">
        <f>IF(Pieces!$G236="","",Pieces!$G236)</f>
        <v/>
      </c>
      <c r="G236" s="4" t="str">
        <f>IF(Pieces!$H236="","",Pieces!$H236)</f>
        <v/>
      </c>
      <c r="H236" s="4" t="str">
        <f>IF(Pieces!$I236="","",Pieces!$I236)</f>
        <v/>
      </c>
    </row>
    <row r="237" spans="1:8" x14ac:dyDescent="0.2">
      <c r="A237" s="4">
        <v>235</v>
      </c>
      <c r="B237" s="3" t="str">
        <f>IF(Pieces!$C237="","",Pieces!$C237)</f>
        <v/>
      </c>
      <c r="C237" s="4" t="str">
        <f>IF(Pieces!$D237="","",Pieces!$D237)</f>
        <v/>
      </c>
      <c r="D237" s="4" t="str">
        <f>IF(Pieces!$E237="","",Pieces!$E237)</f>
        <v/>
      </c>
      <c r="E237" s="3" t="str">
        <f>IF(Pieces!$F237="","",Pieces!$F237)</f>
        <v/>
      </c>
      <c r="F237" s="4" t="str">
        <f>IF(Pieces!$G237="","",Pieces!$G237)</f>
        <v/>
      </c>
      <c r="G237" s="4" t="str">
        <f>IF(Pieces!$H237="","",Pieces!$H237)</f>
        <v/>
      </c>
      <c r="H237" s="4" t="str">
        <f>IF(Pieces!$I237="","",Pieces!$I237)</f>
        <v/>
      </c>
    </row>
    <row r="238" spans="1:8" x14ac:dyDescent="0.2">
      <c r="A238" s="4">
        <v>236</v>
      </c>
      <c r="B238" s="3" t="str">
        <f>IF(Pieces!$C238="","",Pieces!$C238)</f>
        <v/>
      </c>
      <c r="C238" s="4" t="str">
        <f>IF(Pieces!$D238="","",Pieces!$D238)</f>
        <v/>
      </c>
      <c r="D238" s="4" t="str">
        <f>IF(Pieces!$E238="","",Pieces!$E238)</f>
        <v/>
      </c>
      <c r="E238" s="3" t="str">
        <f>IF(Pieces!$F238="","",Pieces!$F238)</f>
        <v/>
      </c>
      <c r="F238" s="4" t="str">
        <f>IF(Pieces!$G238="","",Pieces!$G238)</f>
        <v/>
      </c>
      <c r="G238" s="4" t="str">
        <f>IF(Pieces!$H238="","",Pieces!$H238)</f>
        <v/>
      </c>
      <c r="H238" s="4" t="str">
        <f>IF(Pieces!$I238="","",Pieces!$I238)</f>
        <v/>
      </c>
    </row>
    <row r="239" spans="1:8" x14ac:dyDescent="0.2">
      <c r="A239" s="4">
        <v>237</v>
      </c>
      <c r="B239" s="3" t="str">
        <f>IF(Pieces!$C239="","",Pieces!$C239)</f>
        <v/>
      </c>
      <c r="C239" s="4" t="str">
        <f>IF(Pieces!$D239="","",Pieces!$D239)</f>
        <v/>
      </c>
      <c r="D239" s="4" t="str">
        <f>IF(Pieces!$E239="","",Pieces!$E239)</f>
        <v/>
      </c>
      <c r="E239" s="3" t="str">
        <f>IF(Pieces!$F239="","",Pieces!$F239)</f>
        <v/>
      </c>
      <c r="F239" s="4" t="str">
        <f>IF(Pieces!$G239="","",Pieces!$G239)</f>
        <v/>
      </c>
      <c r="G239" s="4" t="str">
        <f>IF(Pieces!$H239="","",Pieces!$H239)</f>
        <v/>
      </c>
      <c r="H239" s="4" t="str">
        <f>IF(Pieces!$I239="","",Pieces!$I239)</f>
        <v/>
      </c>
    </row>
    <row r="240" spans="1:8" x14ac:dyDescent="0.2">
      <c r="A240" s="4">
        <v>238</v>
      </c>
      <c r="B240" s="3" t="str">
        <f>IF(Pieces!$C240="","",Pieces!$C240)</f>
        <v/>
      </c>
      <c r="C240" s="4" t="str">
        <f>IF(Pieces!$D240="","",Pieces!$D240)</f>
        <v/>
      </c>
      <c r="D240" s="4" t="str">
        <f>IF(Pieces!$E240="","",Pieces!$E240)</f>
        <v/>
      </c>
      <c r="E240" s="3" t="str">
        <f>IF(Pieces!$F240="","",Pieces!$F240)</f>
        <v/>
      </c>
      <c r="F240" s="4" t="str">
        <f>IF(Pieces!$G240="","",Pieces!$G240)</f>
        <v/>
      </c>
      <c r="G240" s="4" t="str">
        <f>IF(Pieces!$H240="","",Pieces!$H240)</f>
        <v/>
      </c>
      <c r="H240" s="4" t="str">
        <f>IF(Pieces!$I240="","",Pieces!$I240)</f>
        <v/>
      </c>
    </row>
    <row r="241" spans="1:8" x14ac:dyDescent="0.2">
      <c r="A241" s="4">
        <v>239</v>
      </c>
      <c r="B241" s="3" t="str">
        <f>IF(Pieces!$C241="","",Pieces!$C241)</f>
        <v/>
      </c>
      <c r="C241" s="4" t="str">
        <f>IF(Pieces!$D241="","",Pieces!$D241)</f>
        <v/>
      </c>
      <c r="D241" s="4" t="str">
        <f>IF(Pieces!$E241="","",Pieces!$E241)</f>
        <v/>
      </c>
      <c r="E241" s="3" t="str">
        <f>IF(Pieces!$F241="","",Pieces!$F241)</f>
        <v/>
      </c>
      <c r="F241" s="4" t="str">
        <f>IF(Pieces!$G241="","",Pieces!$G241)</f>
        <v/>
      </c>
      <c r="G241" s="4" t="str">
        <f>IF(Pieces!$H241="","",Pieces!$H241)</f>
        <v/>
      </c>
      <c r="H241" s="4" t="str">
        <f>IF(Pieces!$I241="","",Pieces!$I241)</f>
        <v/>
      </c>
    </row>
    <row r="242" spans="1:8" x14ac:dyDescent="0.2">
      <c r="A242" s="4">
        <v>240</v>
      </c>
      <c r="B242" s="3" t="str">
        <f>IF(Pieces!$C242="","",Pieces!$C242)</f>
        <v/>
      </c>
      <c r="C242" s="4" t="str">
        <f>IF(Pieces!$D242="","",Pieces!$D242)</f>
        <v/>
      </c>
      <c r="D242" s="4" t="str">
        <f>IF(Pieces!$E242="","",Pieces!$E242)</f>
        <v/>
      </c>
      <c r="E242" s="3" t="str">
        <f>IF(Pieces!$F242="","",Pieces!$F242)</f>
        <v/>
      </c>
      <c r="F242" s="4" t="str">
        <f>IF(Pieces!$G242="","",Pieces!$G242)</f>
        <v/>
      </c>
      <c r="G242" s="4" t="str">
        <f>IF(Pieces!$H242="","",Pieces!$H242)</f>
        <v/>
      </c>
      <c r="H242" s="4" t="str">
        <f>IF(Pieces!$I242="","",Pieces!$I242)</f>
        <v/>
      </c>
    </row>
    <row r="243" spans="1:8" x14ac:dyDescent="0.2">
      <c r="A243" s="4">
        <v>241</v>
      </c>
      <c r="B243" s="3" t="str">
        <f>IF(Pieces!$C243="","",Pieces!$C243)</f>
        <v/>
      </c>
      <c r="C243" s="4" t="str">
        <f>IF(Pieces!$D243="","",Pieces!$D243)</f>
        <v/>
      </c>
      <c r="D243" s="4" t="str">
        <f>IF(Pieces!$E243="","",Pieces!$E243)</f>
        <v/>
      </c>
      <c r="E243" s="3" t="str">
        <f>IF(Pieces!$F243="","",Pieces!$F243)</f>
        <v/>
      </c>
      <c r="F243" s="4" t="str">
        <f>IF(Pieces!$G243="","",Pieces!$G243)</f>
        <v/>
      </c>
      <c r="G243" s="4" t="str">
        <f>IF(Pieces!$H243="","",Pieces!$H243)</f>
        <v/>
      </c>
      <c r="H243" s="4" t="str">
        <f>IF(Pieces!$I243="","",Pieces!$I243)</f>
        <v/>
      </c>
    </row>
    <row r="244" spans="1:8" x14ac:dyDescent="0.2">
      <c r="A244" s="4">
        <v>242</v>
      </c>
      <c r="B244" s="3" t="str">
        <f>IF(Pieces!$C244="","",Pieces!$C244)</f>
        <v/>
      </c>
      <c r="C244" s="4" t="str">
        <f>IF(Pieces!$D244="","",Pieces!$D244)</f>
        <v/>
      </c>
      <c r="D244" s="4" t="str">
        <f>IF(Pieces!$E244="","",Pieces!$E244)</f>
        <v/>
      </c>
      <c r="E244" s="3" t="str">
        <f>IF(Pieces!$F244="","",Pieces!$F244)</f>
        <v/>
      </c>
      <c r="F244" s="4" t="str">
        <f>IF(Pieces!$G244="","",Pieces!$G244)</f>
        <v/>
      </c>
      <c r="G244" s="4" t="str">
        <f>IF(Pieces!$H244="","",Pieces!$H244)</f>
        <v/>
      </c>
      <c r="H244" s="4" t="str">
        <f>IF(Pieces!$I244="","",Pieces!$I244)</f>
        <v/>
      </c>
    </row>
    <row r="245" spans="1:8" x14ac:dyDescent="0.2">
      <c r="A245" s="4">
        <v>243</v>
      </c>
      <c r="B245" s="3" t="str">
        <f>IF(Pieces!$C245="","",Pieces!$C245)</f>
        <v/>
      </c>
      <c r="C245" s="4" t="str">
        <f>IF(Pieces!$D245="","",Pieces!$D245)</f>
        <v/>
      </c>
      <c r="D245" s="4" t="str">
        <f>IF(Pieces!$E245="","",Pieces!$E245)</f>
        <v/>
      </c>
      <c r="E245" s="3" t="str">
        <f>IF(Pieces!$F245="","",Pieces!$F245)</f>
        <v/>
      </c>
      <c r="F245" s="4" t="str">
        <f>IF(Pieces!$G245="","",Pieces!$G245)</f>
        <v/>
      </c>
      <c r="G245" s="4" t="str">
        <f>IF(Pieces!$H245="","",Pieces!$H245)</f>
        <v/>
      </c>
      <c r="H245" s="4" t="str">
        <f>IF(Pieces!$I245="","",Pieces!$I245)</f>
        <v/>
      </c>
    </row>
    <row r="246" spans="1:8" x14ac:dyDescent="0.2">
      <c r="A246" s="4">
        <v>244</v>
      </c>
      <c r="B246" s="3" t="str">
        <f>IF(Pieces!$C246="","",Pieces!$C246)</f>
        <v/>
      </c>
      <c r="C246" s="4" t="str">
        <f>IF(Pieces!$D246="","",Pieces!$D246)</f>
        <v/>
      </c>
      <c r="D246" s="4" t="str">
        <f>IF(Pieces!$E246="","",Pieces!$E246)</f>
        <v/>
      </c>
      <c r="E246" s="3" t="str">
        <f>IF(Pieces!$F246="","",Pieces!$F246)</f>
        <v/>
      </c>
      <c r="F246" s="4" t="str">
        <f>IF(Pieces!$G246="","",Pieces!$G246)</f>
        <v/>
      </c>
      <c r="G246" s="4" t="str">
        <f>IF(Pieces!$H246="","",Pieces!$H246)</f>
        <v/>
      </c>
      <c r="H246" s="4" t="str">
        <f>IF(Pieces!$I246="","",Pieces!$I246)</f>
        <v/>
      </c>
    </row>
    <row r="247" spans="1:8" x14ac:dyDescent="0.2">
      <c r="A247" s="4">
        <v>245</v>
      </c>
      <c r="B247" s="3" t="str">
        <f>IF(Pieces!$C247="","",Pieces!$C247)</f>
        <v/>
      </c>
      <c r="C247" s="4" t="str">
        <f>IF(Pieces!$D247="","",Pieces!$D247)</f>
        <v/>
      </c>
      <c r="D247" s="4" t="str">
        <f>IF(Pieces!$E247="","",Pieces!$E247)</f>
        <v/>
      </c>
      <c r="E247" s="3" t="str">
        <f>IF(Pieces!$F247="","",Pieces!$F247)</f>
        <v/>
      </c>
      <c r="F247" s="4" t="str">
        <f>IF(Pieces!$G247="","",Pieces!$G247)</f>
        <v/>
      </c>
      <c r="G247" s="4" t="str">
        <f>IF(Pieces!$H247="","",Pieces!$H247)</f>
        <v/>
      </c>
      <c r="H247" s="4" t="str">
        <f>IF(Pieces!$I247="","",Pieces!$I247)</f>
        <v/>
      </c>
    </row>
    <row r="248" spans="1:8" x14ac:dyDescent="0.2">
      <c r="A248" s="4">
        <v>246</v>
      </c>
      <c r="B248" s="3" t="str">
        <f>IF(Pieces!$C248="","",Pieces!$C248)</f>
        <v/>
      </c>
      <c r="C248" s="4" t="str">
        <f>IF(Pieces!$D248="","",Pieces!$D248)</f>
        <v/>
      </c>
      <c r="D248" s="4" t="str">
        <f>IF(Pieces!$E248="","",Pieces!$E248)</f>
        <v/>
      </c>
      <c r="E248" s="3" t="str">
        <f>IF(Pieces!$F248="","",Pieces!$F248)</f>
        <v/>
      </c>
      <c r="F248" s="4" t="str">
        <f>IF(Pieces!$G248="","",Pieces!$G248)</f>
        <v/>
      </c>
      <c r="G248" s="4" t="str">
        <f>IF(Pieces!$H248="","",Pieces!$H248)</f>
        <v/>
      </c>
      <c r="H248" s="4" t="str">
        <f>IF(Pieces!$I248="","",Pieces!$I248)</f>
        <v/>
      </c>
    </row>
    <row r="249" spans="1:8" x14ac:dyDescent="0.2">
      <c r="A249" s="4">
        <v>247</v>
      </c>
      <c r="B249" s="3" t="str">
        <f>IF(Pieces!$C249="","",Pieces!$C249)</f>
        <v/>
      </c>
      <c r="C249" s="4" t="str">
        <f>IF(Pieces!$D249="","",Pieces!$D249)</f>
        <v/>
      </c>
      <c r="D249" s="4" t="str">
        <f>IF(Pieces!$E249="","",Pieces!$E249)</f>
        <v/>
      </c>
      <c r="E249" s="3" t="str">
        <f>IF(Pieces!$F249="","",Pieces!$F249)</f>
        <v/>
      </c>
      <c r="F249" s="4" t="str">
        <f>IF(Pieces!$G249="","",Pieces!$G249)</f>
        <v/>
      </c>
      <c r="G249" s="4" t="str">
        <f>IF(Pieces!$H249="","",Pieces!$H249)</f>
        <v/>
      </c>
      <c r="H249" s="4" t="str">
        <f>IF(Pieces!$I249="","",Pieces!$I249)</f>
        <v/>
      </c>
    </row>
    <row r="250" spans="1:8" x14ac:dyDescent="0.2">
      <c r="A250" s="4">
        <v>248</v>
      </c>
      <c r="B250" s="3" t="str">
        <f>IF(Pieces!$C250="","",Pieces!$C250)</f>
        <v/>
      </c>
      <c r="C250" s="4" t="str">
        <f>IF(Pieces!$D250="","",Pieces!$D250)</f>
        <v/>
      </c>
      <c r="D250" s="4" t="str">
        <f>IF(Pieces!$E250="","",Pieces!$E250)</f>
        <v/>
      </c>
      <c r="E250" s="3" t="str">
        <f>IF(Pieces!$F250="","",Pieces!$F250)</f>
        <v/>
      </c>
      <c r="F250" s="4" t="str">
        <f>IF(Pieces!$G250="","",Pieces!$G250)</f>
        <v/>
      </c>
      <c r="G250" s="4" t="str">
        <f>IF(Pieces!$H250="","",Pieces!$H250)</f>
        <v/>
      </c>
      <c r="H250" s="4" t="str">
        <f>IF(Pieces!$I250="","",Pieces!$I250)</f>
        <v/>
      </c>
    </row>
    <row r="251" spans="1:8" x14ac:dyDescent="0.2">
      <c r="A251" s="4">
        <v>249</v>
      </c>
      <c r="B251" s="3" t="str">
        <f>IF(Pieces!$C251="","",Pieces!$C251)</f>
        <v/>
      </c>
      <c r="C251" s="4" t="str">
        <f>IF(Pieces!$D251="","",Pieces!$D251)</f>
        <v/>
      </c>
      <c r="D251" s="4" t="str">
        <f>IF(Pieces!$E251="","",Pieces!$E251)</f>
        <v/>
      </c>
      <c r="E251" s="3" t="str">
        <f>IF(Pieces!$F251="","",Pieces!$F251)</f>
        <v/>
      </c>
      <c r="F251" s="4" t="str">
        <f>IF(Pieces!$G251="","",Pieces!$G251)</f>
        <v/>
      </c>
      <c r="G251" s="4" t="str">
        <f>IF(Pieces!$H251="","",Pieces!$H251)</f>
        <v/>
      </c>
      <c r="H251" s="4" t="str">
        <f>IF(Pieces!$I251="","",Pieces!$I251)</f>
        <v/>
      </c>
    </row>
    <row r="252" spans="1:8" x14ac:dyDescent="0.2">
      <c r="A252" s="4">
        <v>250</v>
      </c>
      <c r="B252" s="3" t="str">
        <f>IF(Pieces!$C252="","",Pieces!$C252)</f>
        <v/>
      </c>
      <c r="C252" s="4" t="str">
        <f>IF(Pieces!$D252="","",Pieces!$D252)</f>
        <v/>
      </c>
      <c r="D252" s="4" t="str">
        <f>IF(Pieces!$E252="","",Pieces!$E252)</f>
        <v/>
      </c>
      <c r="E252" s="3" t="str">
        <f>IF(Pieces!$F252="","",Pieces!$F252)</f>
        <v/>
      </c>
      <c r="F252" s="4" t="str">
        <f>IF(Pieces!$G252="","",Pieces!$G252)</f>
        <v/>
      </c>
      <c r="G252" s="4" t="str">
        <f>IF(Pieces!$H252="","",Pieces!$H252)</f>
        <v/>
      </c>
      <c r="H252" s="4" t="str">
        <f>IF(Pieces!$I252="","",Pieces!$I252)</f>
        <v/>
      </c>
    </row>
    <row r="253" spans="1:8" x14ac:dyDescent="0.2">
      <c r="A253" s="4">
        <v>251</v>
      </c>
      <c r="B253" s="3" t="str">
        <f>IF(Pieces!$C253="","",Pieces!$C253)</f>
        <v/>
      </c>
      <c r="C253" s="4" t="str">
        <f>IF(Pieces!$D253="","",Pieces!$D253)</f>
        <v/>
      </c>
      <c r="D253" s="4" t="str">
        <f>IF(Pieces!$E253="","",Pieces!$E253)</f>
        <v/>
      </c>
      <c r="E253" s="3" t="str">
        <f>IF(Pieces!$F253="","",Pieces!$F253)</f>
        <v/>
      </c>
      <c r="F253" s="4" t="str">
        <f>IF(Pieces!$G253="","",Pieces!$G253)</f>
        <v/>
      </c>
      <c r="G253" s="4" t="str">
        <f>IF(Pieces!$H253="","",Pieces!$H253)</f>
        <v/>
      </c>
      <c r="H253" s="4" t="str">
        <f>IF(Pieces!$I253="","",Pieces!$I253)</f>
        <v/>
      </c>
    </row>
    <row r="254" spans="1:8" x14ac:dyDescent="0.2">
      <c r="A254" s="4">
        <v>252</v>
      </c>
      <c r="B254" s="3" t="str">
        <f>IF(Pieces!$C254="","",Pieces!$C254)</f>
        <v/>
      </c>
      <c r="C254" s="4" t="str">
        <f>IF(Pieces!$D254="","",Pieces!$D254)</f>
        <v/>
      </c>
      <c r="D254" s="4" t="str">
        <f>IF(Pieces!$E254="","",Pieces!$E254)</f>
        <v/>
      </c>
      <c r="E254" s="3" t="str">
        <f>IF(Pieces!$F254="","",Pieces!$F254)</f>
        <v/>
      </c>
      <c r="F254" s="4" t="str">
        <f>IF(Pieces!$G254="","",Pieces!$G254)</f>
        <v/>
      </c>
      <c r="G254" s="4" t="str">
        <f>IF(Pieces!$H254="","",Pieces!$H254)</f>
        <v/>
      </c>
      <c r="H254" s="4" t="str">
        <f>IF(Pieces!$I254="","",Pieces!$I254)</f>
        <v/>
      </c>
    </row>
    <row r="255" spans="1:8" x14ac:dyDescent="0.2">
      <c r="A255" s="4">
        <v>253</v>
      </c>
      <c r="B255" s="3" t="str">
        <f>IF(Pieces!$C255="","",Pieces!$C255)</f>
        <v/>
      </c>
      <c r="C255" s="4" t="str">
        <f>IF(Pieces!$D255="","",Pieces!$D255)</f>
        <v/>
      </c>
      <c r="D255" s="4" t="str">
        <f>IF(Pieces!$E255="","",Pieces!$E255)</f>
        <v/>
      </c>
      <c r="E255" s="3" t="str">
        <f>IF(Pieces!$F255="","",Pieces!$F255)</f>
        <v/>
      </c>
      <c r="F255" s="4" t="str">
        <f>IF(Pieces!$G255="","",Pieces!$G255)</f>
        <v/>
      </c>
      <c r="G255" s="4" t="str">
        <f>IF(Pieces!$H255="","",Pieces!$H255)</f>
        <v/>
      </c>
      <c r="H255" s="4" t="str">
        <f>IF(Pieces!$I255="","",Pieces!$I255)</f>
        <v/>
      </c>
    </row>
    <row r="256" spans="1:8" x14ac:dyDescent="0.2">
      <c r="A256" s="4">
        <v>254</v>
      </c>
      <c r="B256" s="3" t="str">
        <f>IF(Pieces!$C256="","",Pieces!$C256)</f>
        <v/>
      </c>
      <c r="C256" s="4" t="str">
        <f>IF(Pieces!$D256="","",Pieces!$D256)</f>
        <v/>
      </c>
      <c r="D256" s="4" t="str">
        <f>IF(Pieces!$E256="","",Pieces!$E256)</f>
        <v/>
      </c>
      <c r="E256" s="3" t="str">
        <f>IF(Pieces!$F256="","",Pieces!$F256)</f>
        <v/>
      </c>
      <c r="F256" s="4" t="str">
        <f>IF(Pieces!$G256="","",Pieces!$G256)</f>
        <v/>
      </c>
      <c r="G256" s="4" t="str">
        <f>IF(Pieces!$H256="","",Pieces!$H256)</f>
        <v/>
      </c>
      <c r="H256" s="4" t="str">
        <f>IF(Pieces!$I256="","",Pieces!$I256)</f>
        <v/>
      </c>
    </row>
    <row r="257" spans="1:8" x14ac:dyDescent="0.2">
      <c r="A257" s="4">
        <v>255</v>
      </c>
      <c r="B257" s="3" t="str">
        <f>IF(Pieces!$C257="","",Pieces!$C257)</f>
        <v/>
      </c>
      <c r="C257" s="4" t="str">
        <f>IF(Pieces!$D257="","",Pieces!$D257)</f>
        <v/>
      </c>
      <c r="D257" s="4" t="str">
        <f>IF(Pieces!$E257="","",Pieces!$E257)</f>
        <v/>
      </c>
      <c r="E257" s="3" t="str">
        <f>IF(Pieces!$F257="","",Pieces!$F257)</f>
        <v/>
      </c>
      <c r="F257" s="4" t="str">
        <f>IF(Pieces!$G257="","",Pieces!$G257)</f>
        <v/>
      </c>
      <c r="G257" s="4" t="str">
        <f>IF(Pieces!$H257="","",Pieces!$H257)</f>
        <v/>
      </c>
      <c r="H257" s="4" t="str">
        <f>IF(Pieces!$I257="","",Pieces!$I257)</f>
        <v/>
      </c>
    </row>
    <row r="258" spans="1:8" x14ac:dyDescent="0.2">
      <c r="A258" s="4">
        <v>256</v>
      </c>
      <c r="B258" s="3" t="str">
        <f>IF(Pieces!$C258="","",Pieces!$C258)</f>
        <v/>
      </c>
      <c r="C258" s="4" t="str">
        <f>IF(Pieces!$D258="","",Pieces!$D258)</f>
        <v/>
      </c>
      <c r="D258" s="4" t="str">
        <f>IF(Pieces!$E258="","",Pieces!$E258)</f>
        <v/>
      </c>
      <c r="E258" s="3" t="str">
        <f>IF(Pieces!$F258="","",Pieces!$F258)</f>
        <v/>
      </c>
      <c r="F258" s="4" t="str">
        <f>IF(Pieces!$G258="","",Pieces!$G258)</f>
        <v/>
      </c>
      <c r="G258" s="4" t="str">
        <f>IF(Pieces!$H258="","",Pieces!$H258)</f>
        <v/>
      </c>
      <c r="H258" s="4" t="str">
        <f>IF(Pieces!$I258="","",Pieces!$I258)</f>
        <v/>
      </c>
    </row>
    <row r="259" spans="1:8" x14ac:dyDescent="0.2">
      <c r="A259" s="4">
        <v>257</v>
      </c>
      <c r="B259" s="3" t="str">
        <f>IF(Pieces!$C259="","",Pieces!$C259)</f>
        <v/>
      </c>
      <c r="C259" s="4" t="str">
        <f>IF(Pieces!$D259="","",Pieces!$D259)</f>
        <v/>
      </c>
      <c r="D259" s="4" t="str">
        <f>IF(Pieces!$E259="","",Pieces!$E259)</f>
        <v/>
      </c>
      <c r="E259" s="3" t="str">
        <f>IF(Pieces!$F259="","",Pieces!$F259)</f>
        <v/>
      </c>
      <c r="F259" s="4" t="str">
        <f>IF(Pieces!$G259="","",Pieces!$G259)</f>
        <v/>
      </c>
      <c r="G259" s="4" t="str">
        <f>IF(Pieces!$H259="","",Pieces!$H259)</f>
        <v/>
      </c>
      <c r="H259" s="4" t="str">
        <f>IF(Pieces!$I259="","",Pieces!$I259)</f>
        <v/>
      </c>
    </row>
    <row r="260" spans="1:8" x14ac:dyDescent="0.2">
      <c r="A260" s="4">
        <v>258</v>
      </c>
      <c r="B260" s="3" t="str">
        <f>IF(Pieces!$C260="","",Pieces!$C260)</f>
        <v/>
      </c>
      <c r="C260" s="4" t="str">
        <f>IF(Pieces!$D260="","",Pieces!$D260)</f>
        <v/>
      </c>
      <c r="D260" s="4" t="str">
        <f>IF(Pieces!$E260="","",Pieces!$E260)</f>
        <v/>
      </c>
      <c r="E260" s="3" t="str">
        <f>IF(Pieces!$F260="","",Pieces!$F260)</f>
        <v/>
      </c>
      <c r="F260" s="4" t="str">
        <f>IF(Pieces!$G260="","",Pieces!$G260)</f>
        <v/>
      </c>
      <c r="G260" s="4" t="str">
        <f>IF(Pieces!$H260="","",Pieces!$H260)</f>
        <v/>
      </c>
      <c r="H260" s="4" t="str">
        <f>IF(Pieces!$I260="","",Pieces!$I260)</f>
        <v/>
      </c>
    </row>
    <row r="261" spans="1:8" x14ac:dyDescent="0.2">
      <c r="A261" s="4">
        <v>259</v>
      </c>
      <c r="B261" s="3" t="str">
        <f>IF(Pieces!$C261="","",Pieces!$C261)</f>
        <v/>
      </c>
      <c r="C261" s="4" t="str">
        <f>IF(Pieces!$D261="","",Pieces!$D261)</f>
        <v/>
      </c>
      <c r="D261" s="4" t="str">
        <f>IF(Pieces!$E261="","",Pieces!$E261)</f>
        <v/>
      </c>
      <c r="E261" s="3" t="str">
        <f>IF(Pieces!$F261="","",Pieces!$F261)</f>
        <v/>
      </c>
      <c r="F261" s="4" t="str">
        <f>IF(Pieces!$G261="","",Pieces!$G261)</f>
        <v/>
      </c>
      <c r="G261" s="4" t="str">
        <f>IF(Pieces!$H261="","",Pieces!$H261)</f>
        <v/>
      </c>
      <c r="H261" s="4" t="str">
        <f>IF(Pieces!$I261="","",Pieces!$I261)</f>
        <v/>
      </c>
    </row>
    <row r="262" spans="1:8" x14ac:dyDescent="0.2">
      <c r="A262" s="4">
        <v>260</v>
      </c>
      <c r="B262" s="3" t="str">
        <f>IF(Pieces!$C262="","",Pieces!$C262)</f>
        <v/>
      </c>
      <c r="C262" s="4" t="str">
        <f>IF(Pieces!$D262="","",Pieces!$D262)</f>
        <v/>
      </c>
      <c r="D262" s="4" t="str">
        <f>IF(Pieces!$E262="","",Pieces!$E262)</f>
        <v/>
      </c>
      <c r="E262" s="3" t="str">
        <f>IF(Pieces!$F262="","",Pieces!$F262)</f>
        <v/>
      </c>
      <c r="F262" s="4" t="str">
        <f>IF(Pieces!$G262="","",Pieces!$G262)</f>
        <v/>
      </c>
      <c r="G262" s="4" t="str">
        <f>IF(Pieces!$H262="","",Pieces!$H262)</f>
        <v/>
      </c>
      <c r="H262" s="4" t="str">
        <f>IF(Pieces!$I262="","",Pieces!$I262)</f>
        <v/>
      </c>
    </row>
    <row r="263" spans="1:8" x14ac:dyDescent="0.2">
      <c r="A263" s="4">
        <v>261</v>
      </c>
      <c r="B263" s="3" t="str">
        <f>IF(Pieces!$C263="","",Pieces!$C263)</f>
        <v/>
      </c>
      <c r="C263" s="4" t="str">
        <f>IF(Pieces!$D263="","",Pieces!$D263)</f>
        <v/>
      </c>
      <c r="D263" s="4" t="str">
        <f>IF(Pieces!$E263="","",Pieces!$E263)</f>
        <v/>
      </c>
      <c r="E263" s="3" t="str">
        <f>IF(Pieces!$F263="","",Pieces!$F263)</f>
        <v/>
      </c>
      <c r="F263" s="4" t="str">
        <f>IF(Pieces!$G263="","",Pieces!$G263)</f>
        <v/>
      </c>
      <c r="G263" s="4" t="str">
        <f>IF(Pieces!$H263="","",Pieces!$H263)</f>
        <v/>
      </c>
      <c r="H263" s="4" t="str">
        <f>IF(Pieces!$I263="","",Pieces!$I263)</f>
        <v/>
      </c>
    </row>
    <row r="264" spans="1:8" x14ac:dyDescent="0.2">
      <c r="A264" s="4">
        <v>262</v>
      </c>
      <c r="B264" s="3" t="str">
        <f>IF(Pieces!$C264="","",Pieces!$C264)</f>
        <v/>
      </c>
      <c r="C264" s="4" t="str">
        <f>IF(Pieces!$D264="","",Pieces!$D264)</f>
        <v/>
      </c>
      <c r="D264" s="4" t="str">
        <f>IF(Pieces!$E264="","",Pieces!$E264)</f>
        <v/>
      </c>
      <c r="E264" s="3" t="str">
        <f>IF(Pieces!$F264="","",Pieces!$F264)</f>
        <v/>
      </c>
      <c r="F264" s="4" t="str">
        <f>IF(Pieces!$G264="","",Pieces!$G264)</f>
        <v/>
      </c>
      <c r="G264" s="4" t="str">
        <f>IF(Pieces!$H264="","",Pieces!$H264)</f>
        <v/>
      </c>
      <c r="H264" s="4" t="str">
        <f>IF(Pieces!$I264="","",Pieces!$I264)</f>
        <v/>
      </c>
    </row>
    <row r="265" spans="1:8" x14ac:dyDescent="0.2">
      <c r="A265" s="4">
        <v>263</v>
      </c>
      <c r="B265" s="3" t="str">
        <f>IF(Pieces!$C265="","",Pieces!$C265)</f>
        <v/>
      </c>
      <c r="C265" s="4" t="str">
        <f>IF(Pieces!$D265="","",Pieces!$D265)</f>
        <v/>
      </c>
      <c r="D265" s="4" t="str">
        <f>IF(Pieces!$E265="","",Pieces!$E265)</f>
        <v/>
      </c>
      <c r="E265" s="3" t="str">
        <f>IF(Pieces!$F265="","",Pieces!$F265)</f>
        <v/>
      </c>
      <c r="F265" s="4" t="str">
        <f>IF(Pieces!$G265="","",Pieces!$G265)</f>
        <v/>
      </c>
      <c r="G265" s="4" t="str">
        <f>IF(Pieces!$H265="","",Pieces!$H265)</f>
        <v/>
      </c>
      <c r="H265" s="4" t="str">
        <f>IF(Pieces!$I265="","",Pieces!$I265)</f>
        <v/>
      </c>
    </row>
    <row r="266" spans="1:8" x14ac:dyDescent="0.2">
      <c r="A266" s="4">
        <v>264</v>
      </c>
      <c r="B266" s="3" t="str">
        <f>IF(Pieces!$C266="","",Pieces!$C266)</f>
        <v/>
      </c>
      <c r="C266" s="4" t="str">
        <f>IF(Pieces!$D266="","",Pieces!$D266)</f>
        <v/>
      </c>
      <c r="D266" s="4" t="str">
        <f>IF(Pieces!$E266="","",Pieces!$E266)</f>
        <v/>
      </c>
      <c r="E266" s="3" t="str">
        <f>IF(Pieces!$F266="","",Pieces!$F266)</f>
        <v/>
      </c>
      <c r="F266" s="4" t="str">
        <f>IF(Pieces!$G266="","",Pieces!$G266)</f>
        <v/>
      </c>
      <c r="G266" s="4" t="str">
        <f>IF(Pieces!$H266="","",Pieces!$H266)</f>
        <v/>
      </c>
      <c r="H266" s="4" t="str">
        <f>IF(Pieces!$I266="","",Pieces!$I266)</f>
        <v/>
      </c>
    </row>
    <row r="267" spans="1:8" x14ac:dyDescent="0.2">
      <c r="A267" s="4">
        <v>265</v>
      </c>
      <c r="B267" s="3" t="str">
        <f>IF(Pieces!$C267="","",Pieces!$C267)</f>
        <v/>
      </c>
      <c r="C267" s="4" t="str">
        <f>IF(Pieces!$D267="","",Pieces!$D267)</f>
        <v/>
      </c>
      <c r="D267" s="4" t="str">
        <f>IF(Pieces!$E267="","",Pieces!$E267)</f>
        <v/>
      </c>
      <c r="E267" s="3" t="str">
        <f>IF(Pieces!$F267="","",Pieces!$F267)</f>
        <v/>
      </c>
      <c r="F267" s="4" t="str">
        <f>IF(Pieces!$G267="","",Pieces!$G267)</f>
        <v/>
      </c>
      <c r="G267" s="4" t="str">
        <f>IF(Pieces!$H267="","",Pieces!$H267)</f>
        <v/>
      </c>
      <c r="H267" s="4" t="str">
        <f>IF(Pieces!$I267="","",Pieces!$I267)</f>
        <v/>
      </c>
    </row>
    <row r="268" spans="1:8" x14ac:dyDescent="0.2">
      <c r="A268" s="4">
        <v>266</v>
      </c>
      <c r="B268" s="3" t="str">
        <f>IF(Pieces!$C268="","",Pieces!$C268)</f>
        <v/>
      </c>
      <c r="C268" s="4" t="str">
        <f>IF(Pieces!$D268="","",Pieces!$D268)</f>
        <v/>
      </c>
      <c r="D268" s="4" t="str">
        <f>IF(Pieces!$E268="","",Pieces!$E268)</f>
        <v/>
      </c>
      <c r="E268" s="3" t="str">
        <f>IF(Pieces!$F268="","",Pieces!$F268)</f>
        <v/>
      </c>
      <c r="F268" s="4" t="str">
        <f>IF(Pieces!$G268="","",Pieces!$G268)</f>
        <v/>
      </c>
      <c r="G268" s="4" t="str">
        <f>IF(Pieces!$H268="","",Pieces!$H268)</f>
        <v/>
      </c>
      <c r="H268" s="4" t="str">
        <f>IF(Pieces!$I268="","",Pieces!$I268)</f>
        <v/>
      </c>
    </row>
    <row r="269" spans="1:8" x14ac:dyDescent="0.2">
      <c r="A269" s="4">
        <v>267</v>
      </c>
      <c r="B269" s="3" t="str">
        <f>IF(Pieces!$C269="","",Pieces!$C269)</f>
        <v/>
      </c>
      <c r="C269" s="4" t="str">
        <f>IF(Pieces!$D269="","",Pieces!$D269)</f>
        <v/>
      </c>
      <c r="D269" s="4" t="str">
        <f>IF(Pieces!$E269="","",Pieces!$E269)</f>
        <v/>
      </c>
      <c r="E269" s="3" t="str">
        <f>IF(Pieces!$F269="","",Pieces!$F269)</f>
        <v/>
      </c>
      <c r="F269" s="4" t="str">
        <f>IF(Pieces!$G269="","",Pieces!$G269)</f>
        <v/>
      </c>
      <c r="G269" s="4" t="str">
        <f>IF(Pieces!$H269="","",Pieces!$H269)</f>
        <v/>
      </c>
      <c r="H269" s="4" t="str">
        <f>IF(Pieces!$I269="","",Pieces!$I269)</f>
        <v/>
      </c>
    </row>
    <row r="270" spans="1:8" x14ac:dyDescent="0.2">
      <c r="A270" s="4">
        <v>268</v>
      </c>
      <c r="B270" s="3" t="str">
        <f>IF(Pieces!$C270="","",Pieces!$C270)</f>
        <v/>
      </c>
      <c r="C270" s="4" t="str">
        <f>IF(Pieces!$D270="","",Pieces!$D270)</f>
        <v/>
      </c>
      <c r="D270" s="4" t="str">
        <f>IF(Pieces!$E270="","",Pieces!$E270)</f>
        <v/>
      </c>
      <c r="E270" s="3" t="str">
        <f>IF(Pieces!$F270="","",Pieces!$F270)</f>
        <v/>
      </c>
      <c r="F270" s="4" t="str">
        <f>IF(Pieces!$G270="","",Pieces!$G270)</f>
        <v/>
      </c>
      <c r="G270" s="4" t="str">
        <f>IF(Pieces!$H270="","",Pieces!$H270)</f>
        <v/>
      </c>
      <c r="H270" s="4" t="str">
        <f>IF(Pieces!$I270="","",Pieces!$I270)</f>
        <v/>
      </c>
    </row>
    <row r="271" spans="1:8" x14ac:dyDescent="0.2">
      <c r="A271" s="4">
        <v>269</v>
      </c>
      <c r="B271" s="3" t="str">
        <f>IF(Pieces!$C271="","",Pieces!$C271)</f>
        <v/>
      </c>
      <c r="C271" s="4" t="str">
        <f>IF(Pieces!$D271="","",Pieces!$D271)</f>
        <v/>
      </c>
      <c r="D271" s="4" t="str">
        <f>IF(Pieces!$E271="","",Pieces!$E271)</f>
        <v/>
      </c>
      <c r="E271" s="3" t="str">
        <f>IF(Pieces!$F271="","",Pieces!$F271)</f>
        <v/>
      </c>
      <c r="F271" s="4" t="str">
        <f>IF(Pieces!$G271="","",Pieces!$G271)</f>
        <v/>
      </c>
      <c r="G271" s="4" t="str">
        <f>IF(Pieces!$H271="","",Pieces!$H271)</f>
        <v/>
      </c>
      <c r="H271" s="4" t="str">
        <f>IF(Pieces!$I271="","",Pieces!$I271)</f>
        <v/>
      </c>
    </row>
    <row r="272" spans="1:8" x14ac:dyDescent="0.2">
      <c r="A272" s="4">
        <v>270</v>
      </c>
      <c r="B272" s="3" t="str">
        <f>IF(Pieces!$C272="","",Pieces!$C272)</f>
        <v/>
      </c>
      <c r="C272" s="4" t="str">
        <f>IF(Pieces!$D272="","",Pieces!$D272)</f>
        <v/>
      </c>
      <c r="D272" s="4" t="str">
        <f>IF(Pieces!$E272="","",Pieces!$E272)</f>
        <v/>
      </c>
      <c r="E272" s="3" t="str">
        <f>IF(Pieces!$F272="","",Pieces!$F272)</f>
        <v/>
      </c>
      <c r="F272" s="4" t="str">
        <f>IF(Pieces!$G272="","",Pieces!$G272)</f>
        <v/>
      </c>
      <c r="G272" s="4" t="str">
        <f>IF(Pieces!$H272="","",Pieces!$H272)</f>
        <v/>
      </c>
      <c r="H272" s="4" t="str">
        <f>IF(Pieces!$I272="","",Pieces!$I272)</f>
        <v/>
      </c>
    </row>
    <row r="273" spans="1:8" x14ac:dyDescent="0.2">
      <c r="A273" s="4">
        <v>271</v>
      </c>
      <c r="B273" s="3" t="str">
        <f>IF(Pieces!$C273="","",Pieces!$C273)</f>
        <v/>
      </c>
      <c r="C273" s="4" t="str">
        <f>IF(Pieces!$D273="","",Pieces!$D273)</f>
        <v/>
      </c>
      <c r="D273" s="4" t="str">
        <f>IF(Pieces!$E273="","",Pieces!$E273)</f>
        <v/>
      </c>
      <c r="E273" s="3" t="str">
        <f>IF(Pieces!$F273="","",Pieces!$F273)</f>
        <v/>
      </c>
      <c r="F273" s="4" t="str">
        <f>IF(Pieces!$G273="","",Pieces!$G273)</f>
        <v/>
      </c>
      <c r="G273" s="4" t="str">
        <f>IF(Pieces!$H273="","",Pieces!$H273)</f>
        <v/>
      </c>
      <c r="H273" s="4" t="str">
        <f>IF(Pieces!$I273="","",Pieces!$I273)</f>
        <v/>
      </c>
    </row>
    <row r="274" spans="1:8" x14ac:dyDescent="0.2">
      <c r="A274" s="4">
        <v>272</v>
      </c>
      <c r="B274" s="3" t="str">
        <f>IF(Pieces!$C274="","",Pieces!$C274)</f>
        <v/>
      </c>
      <c r="C274" s="4" t="str">
        <f>IF(Pieces!$D274="","",Pieces!$D274)</f>
        <v/>
      </c>
      <c r="D274" s="4" t="str">
        <f>IF(Pieces!$E274="","",Pieces!$E274)</f>
        <v/>
      </c>
      <c r="E274" s="3" t="str">
        <f>IF(Pieces!$F274="","",Pieces!$F274)</f>
        <v/>
      </c>
      <c r="F274" s="4" t="str">
        <f>IF(Pieces!$G274="","",Pieces!$G274)</f>
        <v/>
      </c>
      <c r="G274" s="4" t="str">
        <f>IF(Pieces!$H274="","",Pieces!$H274)</f>
        <v/>
      </c>
      <c r="H274" s="4" t="str">
        <f>IF(Pieces!$I274="","",Pieces!$I274)</f>
        <v/>
      </c>
    </row>
    <row r="275" spans="1:8" x14ac:dyDescent="0.2">
      <c r="A275" s="4">
        <v>273</v>
      </c>
      <c r="B275" s="3" t="str">
        <f>IF(Pieces!$C275="","",Pieces!$C275)</f>
        <v/>
      </c>
      <c r="C275" s="4" t="str">
        <f>IF(Pieces!$D275="","",Pieces!$D275)</f>
        <v/>
      </c>
      <c r="D275" s="4" t="str">
        <f>IF(Pieces!$E275="","",Pieces!$E275)</f>
        <v/>
      </c>
      <c r="E275" s="3" t="str">
        <f>IF(Pieces!$F275="","",Pieces!$F275)</f>
        <v/>
      </c>
      <c r="F275" s="4" t="str">
        <f>IF(Pieces!$G275="","",Pieces!$G275)</f>
        <v/>
      </c>
      <c r="G275" s="4" t="str">
        <f>IF(Pieces!$H275="","",Pieces!$H275)</f>
        <v/>
      </c>
      <c r="H275" s="4" t="str">
        <f>IF(Pieces!$I275="","",Pieces!$I275)</f>
        <v/>
      </c>
    </row>
    <row r="276" spans="1:8" x14ac:dyDescent="0.2">
      <c r="A276" s="4">
        <v>274</v>
      </c>
      <c r="B276" s="3" t="str">
        <f>IF(Pieces!$C276="","",Pieces!$C276)</f>
        <v/>
      </c>
      <c r="C276" s="4" t="str">
        <f>IF(Pieces!$D276="","",Pieces!$D276)</f>
        <v/>
      </c>
      <c r="D276" s="4" t="str">
        <f>IF(Pieces!$E276="","",Pieces!$E276)</f>
        <v/>
      </c>
      <c r="E276" s="3" t="str">
        <f>IF(Pieces!$F276="","",Pieces!$F276)</f>
        <v/>
      </c>
      <c r="F276" s="4" t="str">
        <f>IF(Pieces!$G276="","",Pieces!$G276)</f>
        <v/>
      </c>
      <c r="G276" s="4" t="str">
        <f>IF(Pieces!$H276="","",Pieces!$H276)</f>
        <v/>
      </c>
      <c r="H276" s="4" t="str">
        <f>IF(Pieces!$I276="","",Pieces!$I276)</f>
        <v/>
      </c>
    </row>
    <row r="277" spans="1:8" x14ac:dyDescent="0.2">
      <c r="A277" s="4">
        <v>275</v>
      </c>
      <c r="B277" s="3" t="str">
        <f>IF(Pieces!$C277="","",Pieces!$C277)</f>
        <v/>
      </c>
      <c r="C277" s="4" t="str">
        <f>IF(Pieces!$D277="","",Pieces!$D277)</f>
        <v/>
      </c>
      <c r="D277" s="4" t="str">
        <f>IF(Pieces!$E277="","",Pieces!$E277)</f>
        <v/>
      </c>
      <c r="E277" s="3" t="str">
        <f>IF(Pieces!$F277="","",Pieces!$F277)</f>
        <v/>
      </c>
      <c r="F277" s="4" t="str">
        <f>IF(Pieces!$G277="","",Pieces!$G277)</f>
        <v/>
      </c>
      <c r="G277" s="4" t="str">
        <f>IF(Pieces!$H277="","",Pieces!$H277)</f>
        <v/>
      </c>
      <c r="H277" s="4" t="str">
        <f>IF(Pieces!$I277="","",Pieces!$I277)</f>
        <v/>
      </c>
    </row>
    <row r="278" spans="1:8" x14ac:dyDescent="0.2">
      <c r="A278" s="4">
        <v>276</v>
      </c>
      <c r="B278" s="3" t="str">
        <f>IF(Pieces!$C278="","",Pieces!$C278)</f>
        <v/>
      </c>
      <c r="C278" s="4" t="str">
        <f>IF(Pieces!$D278="","",Pieces!$D278)</f>
        <v/>
      </c>
      <c r="D278" s="4" t="str">
        <f>IF(Pieces!$E278="","",Pieces!$E278)</f>
        <v/>
      </c>
      <c r="E278" s="3" t="str">
        <f>IF(Pieces!$F278="","",Pieces!$F278)</f>
        <v/>
      </c>
      <c r="F278" s="4" t="str">
        <f>IF(Pieces!$G278="","",Pieces!$G278)</f>
        <v/>
      </c>
      <c r="G278" s="4" t="str">
        <f>IF(Pieces!$H278="","",Pieces!$H278)</f>
        <v/>
      </c>
      <c r="H278" s="4" t="str">
        <f>IF(Pieces!$I278="","",Pieces!$I278)</f>
        <v/>
      </c>
    </row>
    <row r="279" spans="1:8" x14ac:dyDescent="0.2">
      <c r="A279" s="4">
        <v>277</v>
      </c>
      <c r="B279" s="3" t="str">
        <f>IF(Pieces!$C279="","",Pieces!$C279)</f>
        <v/>
      </c>
      <c r="C279" s="4" t="str">
        <f>IF(Pieces!$D279="","",Pieces!$D279)</f>
        <v/>
      </c>
      <c r="D279" s="4" t="str">
        <f>IF(Pieces!$E279="","",Pieces!$E279)</f>
        <v/>
      </c>
      <c r="E279" s="3" t="str">
        <f>IF(Pieces!$F279="","",Pieces!$F279)</f>
        <v/>
      </c>
      <c r="F279" s="4" t="str">
        <f>IF(Pieces!$G279="","",Pieces!$G279)</f>
        <v/>
      </c>
      <c r="G279" s="4" t="str">
        <f>IF(Pieces!$H279="","",Pieces!$H279)</f>
        <v/>
      </c>
      <c r="H279" s="4" t="str">
        <f>IF(Pieces!$I279="","",Pieces!$I279)</f>
        <v/>
      </c>
    </row>
    <row r="280" spans="1:8" x14ac:dyDescent="0.2">
      <c r="A280" s="4">
        <v>278</v>
      </c>
      <c r="B280" s="3" t="str">
        <f>IF(Pieces!$C280="","",Pieces!$C280)</f>
        <v/>
      </c>
      <c r="C280" s="4" t="str">
        <f>IF(Pieces!$D280="","",Pieces!$D280)</f>
        <v/>
      </c>
      <c r="D280" s="4" t="str">
        <f>IF(Pieces!$E280="","",Pieces!$E280)</f>
        <v/>
      </c>
      <c r="E280" s="3" t="str">
        <f>IF(Pieces!$F280="","",Pieces!$F280)</f>
        <v/>
      </c>
      <c r="F280" s="4" t="str">
        <f>IF(Pieces!$G280="","",Pieces!$G280)</f>
        <v/>
      </c>
      <c r="G280" s="4" t="str">
        <f>IF(Pieces!$H280="","",Pieces!$H280)</f>
        <v/>
      </c>
      <c r="H280" s="4" t="str">
        <f>IF(Pieces!$I280="","",Pieces!$I280)</f>
        <v/>
      </c>
    </row>
    <row r="281" spans="1:8" x14ac:dyDescent="0.2">
      <c r="A281" s="4">
        <v>279</v>
      </c>
      <c r="B281" s="3" t="str">
        <f>IF(Pieces!$C281="","",Pieces!$C281)</f>
        <v/>
      </c>
      <c r="C281" s="4" t="str">
        <f>IF(Pieces!$D281="","",Pieces!$D281)</f>
        <v/>
      </c>
      <c r="D281" s="4" t="str">
        <f>IF(Pieces!$E281="","",Pieces!$E281)</f>
        <v/>
      </c>
      <c r="E281" s="3" t="str">
        <f>IF(Pieces!$F281="","",Pieces!$F281)</f>
        <v/>
      </c>
      <c r="F281" s="4" t="str">
        <f>IF(Pieces!$G281="","",Pieces!$G281)</f>
        <v/>
      </c>
      <c r="G281" s="4" t="str">
        <f>IF(Pieces!$H281="","",Pieces!$H281)</f>
        <v/>
      </c>
      <c r="H281" s="4" t="str">
        <f>IF(Pieces!$I281="","",Pieces!$I281)</f>
        <v/>
      </c>
    </row>
    <row r="282" spans="1:8" x14ac:dyDescent="0.2">
      <c r="A282" s="4">
        <v>280</v>
      </c>
      <c r="B282" s="3" t="str">
        <f>IF(Pieces!$C282="","",Pieces!$C282)</f>
        <v/>
      </c>
      <c r="C282" s="4" t="str">
        <f>IF(Pieces!$D282="","",Pieces!$D282)</f>
        <v/>
      </c>
      <c r="D282" s="4" t="str">
        <f>IF(Pieces!$E282="","",Pieces!$E282)</f>
        <v/>
      </c>
      <c r="E282" s="3" t="str">
        <f>IF(Pieces!$F282="","",Pieces!$F282)</f>
        <v/>
      </c>
      <c r="F282" s="4" t="str">
        <f>IF(Pieces!$G282="","",Pieces!$G282)</f>
        <v/>
      </c>
      <c r="G282" s="4" t="str">
        <f>IF(Pieces!$H282="","",Pieces!$H282)</f>
        <v/>
      </c>
      <c r="H282" s="4" t="str">
        <f>IF(Pieces!$I282="","",Pieces!$I282)</f>
        <v/>
      </c>
    </row>
    <row r="283" spans="1:8" x14ac:dyDescent="0.2">
      <c r="A283" s="4">
        <v>281</v>
      </c>
      <c r="B283" s="3" t="str">
        <f>IF(Pieces!$C283="","",Pieces!$C283)</f>
        <v/>
      </c>
      <c r="C283" s="4" t="str">
        <f>IF(Pieces!$D283="","",Pieces!$D283)</f>
        <v/>
      </c>
      <c r="D283" s="4" t="str">
        <f>IF(Pieces!$E283="","",Pieces!$E283)</f>
        <v/>
      </c>
      <c r="E283" s="3" t="str">
        <f>IF(Pieces!$F283="","",Pieces!$F283)</f>
        <v/>
      </c>
      <c r="F283" s="4" t="str">
        <f>IF(Pieces!$G283="","",Pieces!$G283)</f>
        <v/>
      </c>
      <c r="G283" s="4" t="str">
        <f>IF(Pieces!$H283="","",Pieces!$H283)</f>
        <v/>
      </c>
      <c r="H283" s="4" t="str">
        <f>IF(Pieces!$I283="","",Pieces!$I283)</f>
        <v/>
      </c>
    </row>
    <row r="284" spans="1:8" x14ac:dyDescent="0.2">
      <c r="A284" s="4">
        <v>282</v>
      </c>
      <c r="B284" s="3" t="str">
        <f>IF(Pieces!$C284="","",Pieces!$C284)</f>
        <v/>
      </c>
      <c r="C284" s="4" t="str">
        <f>IF(Pieces!$D284="","",Pieces!$D284)</f>
        <v/>
      </c>
      <c r="D284" s="4" t="str">
        <f>IF(Pieces!$E284="","",Pieces!$E284)</f>
        <v/>
      </c>
      <c r="E284" s="3" t="str">
        <f>IF(Pieces!$F284="","",Pieces!$F284)</f>
        <v/>
      </c>
      <c r="F284" s="4" t="str">
        <f>IF(Pieces!$G284="","",Pieces!$G284)</f>
        <v/>
      </c>
      <c r="G284" s="4" t="str">
        <f>IF(Pieces!$H284="","",Pieces!$H284)</f>
        <v/>
      </c>
      <c r="H284" s="4" t="str">
        <f>IF(Pieces!$I284="","",Pieces!$I284)</f>
        <v/>
      </c>
    </row>
    <row r="285" spans="1:8" x14ac:dyDescent="0.2">
      <c r="A285" s="4">
        <v>283</v>
      </c>
      <c r="B285" s="3" t="str">
        <f>IF(Pieces!$C285="","",Pieces!$C285)</f>
        <v/>
      </c>
      <c r="C285" s="4" t="str">
        <f>IF(Pieces!$D285="","",Pieces!$D285)</f>
        <v/>
      </c>
      <c r="D285" s="4" t="str">
        <f>IF(Pieces!$E285="","",Pieces!$E285)</f>
        <v/>
      </c>
      <c r="E285" s="3" t="str">
        <f>IF(Pieces!$F285="","",Pieces!$F285)</f>
        <v/>
      </c>
      <c r="F285" s="4" t="str">
        <f>IF(Pieces!$G285="","",Pieces!$G285)</f>
        <v/>
      </c>
      <c r="G285" s="4" t="str">
        <f>IF(Pieces!$H285="","",Pieces!$H285)</f>
        <v/>
      </c>
      <c r="H285" s="4" t="str">
        <f>IF(Pieces!$I285="","",Pieces!$I285)</f>
        <v/>
      </c>
    </row>
    <row r="286" spans="1:8" x14ac:dyDescent="0.2">
      <c r="A286" s="4">
        <v>284</v>
      </c>
      <c r="B286" s="3" t="str">
        <f>IF(Pieces!$C286="","",Pieces!$C286)</f>
        <v/>
      </c>
      <c r="C286" s="4" t="str">
        <f>IF(Pieces!$D286="","",Pieces!$D286)</f>
        <v/>
      </c>
      <c r="D286" s="4" t="str">
        <f>IF(Pieces!$E286="","",Pieces!$E286)</f>
        <v/>
      </c>
      <c r="E286" s="3" t="str">
        <f>IF(Pieces!$F286="","",Pieces!$F286)</f>
        <v/>
      </c>
      <c r="F286" s="4" t="str">
        <f>IF(Pieces!$G286="","",Pieces!$G286)</f>
        <v/>
      </c>
      <c r="G286" s="4" t="str">
        <f>IF(Pieces!$H286="","",Pieces!$H286)</f>
        <v/>
      </c>
      <c r="H286" s="4" t="str">
        <f>IF(Pieces!$I286="","",Pieces!$I286)</f>
        <v/>
      </c>
    </row>
    <row r="287" spans="1:8" x14ac:dyDescent="0.2">
      <c r="A287" s="4">
        <v>285</v>
      </c>
      <c r="B287" s="3" t="str">
        <f>IF(Pieces!$C287="","",Pieces!$C287)</f>
        <v/>
      </c>
      <c r="C287" s="4" t="str">
        <f>IF(Pieces!$D287="","",Pieces!$D287)</f>
        <v/>
      </c>
      <c r="D287" s="4" t="str">
        <f>IF(Pieces!$E287="","",Pieces!$E287)</f>
        <v/>
      </c>
      <c r="E287" s="3" t="str">
        <f>IF(Pieces!$F287="","",Pieces!$F287)</f>
        <v/>
      </c>
      <c r="F287" s="4" t="str">
        <f>IF(Pieces!$G287="","",Pieces!$G287)</f>
        <v/>
      </c>
      <c r="G287" s="4" t="str">
        <f>IF(Pieces!$H287="","",Pieces!$H287)</f>
        <v/>
      </c>
      <c r="H287" s="4" t="str">
        <f>IF(Pieces!$I287="","",Pieces!$I287)</f>
        <v/>
      </c>
    </row>
    <row r="288" spans="1:8" x14ac:dyDescent="0.2">
      <c r="A288" s="4">
        <v>286</v>
      </c>
      <c r="B288" s="3" t="str">
        <f>IF(Pieces!$C288="","",Pieces!$C288)</f>
        <v/>
      </c>
      <c r="C288" s="4" t="str">
        <f>IF(Pieces!$D288="","",Pieces!$D288)</f>
        <v/>
      </c>
      <c r="D288" s="4" t="str">
        <f>IF(Pieces!$E288="","",Pieces!$E288)</f>
        <v/>
      </c>
      <c r="E288" s="3" t="str">
        <f>IF(Pieces!$F288="","",Pieces!$F288)</f>
        <v/>
      </c>
      <c r="F288" s="4" t="str">
        <f>IF(Pieces!$G288="","",Pieces!$G288)</f>
        <v/>
      </c>
      <c r="G288" s="4" t="str">
        <f>IF(Pieces!$H288="","",Pieces!$H288)</f>
        <v/>
      </c>
      <c r="H288" s="4" t="str">
        <f>IF(Pieces!$I288="","",Pieces!$I288)</f>
        <v/>
      </c>
    </row>
    <row r="289" spans="1:8" x14ac:dyDescent="0.2">
      <c r="A289" s="4">
        <v>287</v>
      </c>
      <c r="B289" s="3" t="str">
        <f>IF(Pieces!$C289="","",Pieces!$C289)</f>
        <v/>
      </c>
      <c r="C289" s="4" t="str">
        <f>IF(Pieces!$D289="","",Pieces!$D289)</f>
        <v/>
      </c>
      <c r="D289" s="4" t="str">
        <f>IF(Pieces!$E289="","",Pieces!$E289)</f>
        <v/>
      </c>
      <c r="E289" s="3" t="str">
        <f>IF(Pieces!$F289="","",Pieces!$F289)</f>
        <v/>
      </c>
      <c r="F289" s="4" t="str">
        <f>IF(Pieces!$G289="","",Pieces!$G289)</f>
        <v/>
      </c>
      <c r="G289" s="4" t="str">
        <f>IF(Pieces!$H289="","",Pieces!$H289)</f>
        <v/>
      </c>
      <c r="H289" s="4" t="str">
        <f>IF(Pieces!$I289="","",Pieces!$I289)</f>
        <v/>
      </c>
    </row>
    <row r="290" spans="1:8" x14ac:dyDescent="0.2">
      <c r="A290" s="4">
        <v>288</v>
      </c>
      <c r="B290" s="3" t="str">
        <f>IF(Pieces!$C290="","",Pieces!$C290)</f>
        <v/>
      </c>
      <c r="C290" s="4" t="str">
        <f>IF(Pieces!$D290="","",Pieces!$D290)</f>
        <v/>
      </c>
      <c r="D290" s="4" t="str">
        <f>IF(Pieces!$E290="","",Pieces!$E290)</f>
        <v/>
      </c>
      <c r="E290" s="3" t="str">
        <f>IF(Pieces!$F290="","",Pieces!$F290)</f>
        <v/>
      </c>
      <c r="F290" s="4" t="str">
        <f>IF(Pieces!$G290="","",Pieces!$G290)</f>
        <v/>
      </c>
      <c r="G290" s="4" t="str">
        <f>IF(Pieces!$H290="","",Pieces!$H290)</f>
        <v/>
      </c>
      <c r="H290" s="4" t="str">
        <f>IF(Pieces!$I290="","",Pieces!$I290)</f>
        <v/>
      </c>
    </row>
    <row r="291" spans="1:8" x14ac:dyDescent="0.2">
      <c r="A291" s="4">
        <v>289</v>
      </c>
      <c r="B291" s="3" t="str">
        <f>IF(Pieces!$C291="","",Pieces!$C291)</f>
        <v/>
      </c>
      <c r="C291" s="4" t="str">
        <f>IF(Pieces!$D291="","",Pieces!$D291)</f>
        <v/>
      </c>
      <c r="D291" s="4" t="str">
        <f>IF(Pieces!$E291="","",Pieces!$E291)</f>
        <v/>
      </c>
      <c r="E291" s="3" t="str">
        <f>IF(Pieces!$F291="","",Pieces!$F291)</f>
        <v/>
      </c>
      <c r="F291" s="4" t="str">
        <f>IF(Pieces!$G291="","",Pieces!$G291)</f>
        <v/>
      </c>
      <c r="G291" s="4" t="str">
        <f>IF(Pieces!$H291="","",Pieces!$H291)</f>
        <v/>
      </c>
      <c r="H291" s="4" t="str">
        <f>IF(Pieces!$I291="","",Pieces!$I291)</f>
        <v/>
      </c>
    </row>
    <row r="292" spans="1:8" x14ac:dyDescent="0.2">
      <c r="A292" s="4">
        <v>290</v>
      </c>
      <c r="B292" s="3" t="str">
        <f>IF(Pieces!$C292="","",Pieces!$C292)</f>
        <v/>
      </c>
      <c r="C292" s="4" t="str">
        <f>IF(Pieces!$D292="","",Pieces!$D292)</f>
        <v/>
      </c>
      <c r="D292" s="4" t="str">
        <f>IF(Pieces!$E292="","",Pieces!$E292)</f>
        <v/>
      </c>
      <c r="E292" s="3" t="str">
        <f>IF(Pieces!$F292="","",Pieces!$F292)</f>
        <v/>
      </c>
      <c r="F292" s="4" t="str">
        <f>IF(Pieces!$G292="","",Pieces!$G292)</f>
        <v/>
      </c>
      <c r="G292" s="4" t="str">
        <f>IF(Pieces!$H292="","",Pieces!$H292)</f>
        <v/>
      </c>
      <c r="H292" s="4" t="str">
        <f>IF(Pieces!$I292="","",Pieces!$I292)</f>
        <v/>
      </c>
    </row>
    <row r="293" spans="1:8" x14ac:dyDescent="0.2">
      <c r="A293" s="4">
        <v>291</v>
      </c>
      <c r="B293" s="3" t="str">
        <f>IF(Pieces!$C293="","",Pieces!$C293)</f>
        <v/>
      </c>
      <c r="C293" s="4" t="str">
        <f>IF(Pieces!$D293="","",Pieces!$D293)</f>
        <v/>
      </c>
      <c r="D293" s="4" t="str">
        <f>IF(Pieces!$E293="","",Pieces!$E293)</f>
        <v/>
      </c>
      <c r="E293" s="3" t="str">
        <f>IF(Pieces!$F293="","",Pieces!$F293)</f>
        <v/>
      </c>
      <c r="F293" s="4" t="str">
        <f>IF(Pieces!$G293="","",Pieces!$G293)</f>
        <v/>
      </c>
      <c r="G293" s="4" t="str">
        <f>IF(Pieces!$H293="","",Pieces!$H293)</f>
        <v/>
      </c>
      <c r="H293" s="4" t="str">
        <f>IF(Pieces!$I293="","",Pieces!$I293)</f>
        <v/>
      </c>
    </row>
    <row r="294" spans="1:8" x14ac:dyDescent="0.2">
      <c r="A294" s="4">
        <v>292</v>
      </c>
      <c r="B294" s="3" t="str">
        <f>IF(Pieces!$C294="","",Pieces!$C294)</f>
        <v/>
      </c>
      <c r="C294" s="4" t="str">
        <f>IF(Pieces!$D294="","",Pieces!$D294)</f>
        <v/>
      </c>
      <c r="D294" s="4" t="str">
        <f>IF(Pieces!$E294="","",Pieces!$E294)</f>
        <v/>
      </c>
      <c r="E294" s="3" t="str">
        <f>IF(Pieces!$F294="","",Pieces!$F294)</f>
        <v/>
      </c>
      <c r="F294" s="4" t="str">
        <f>IF(Pieces!$G294="","",Pieces!$G294)</f>
        <v/>
      </c>
      <c r="G294" s="4" t="str">
        <f>IF(Pieces!$H294="","",Pieces!$H294)</f>
        <v/>
      </c>
      <c r="H294" s="4" t="str">
        <f>IF(Pieces!$I294="","",Pieces!$I294)</f>
        <v/>
      </c>
    </row>
    <row r="295" spans="1:8" x14ac:dyDescent="0.2">
      <c r="A295" s="4">
        <v>293</v>
      </c>
      <c r="B295" s="3" t="str">
        <f>IF(Pieces!$C295="","",Pieces!$C295)</f>
        <v/>
      </c>
      <c r="C295" s="4" t="str">
        <f>IF(Pieces!$D295="","",Pieces!$D295)</f>
        <v/>
      </c>
      <c r="D295" s="4" t="str">
        <f>IF(Pieces!$E295="","",Pieces!$E295)</f>
        <v/>
      </c>
      <c r="E295" s="3" t="str">
        <f>IF(Pieces!$F295="","",Pieces!$F295)</f>
        <v/>
      </c>
      <c r="F295" s="4" t="str">
        <f>IF(Pieces!$G295="","",Pieces!$G295)</f>
        <v/>
      </c>
      <c r="G295" s="4" t="str">
        <f>IF(Pieces!$H295="","",Pieces!$H295)</f>
        <v/>
      </c>
      <c r="H295" s="4" t="str">
        <f>IF(Pieces!$I295="","",Pieces!$I295)</f>
        <v/>
      </c>
    </row>
    <row r="296" spans="1:8" x14ac:dyDescent="0.2">
      <c r="A296" s="4">
        <v>294</v>
      </c>
      <c r="B296" s="3" t="str">
        <f>IF(Pieces!$C296="","",Pieces!$C296)</f>
        <v/>
      </c>
      <c r="C296" s="4" t="str">
        <f>IF(Pieces!$D296="","",Pieces!$D296)</f>
        <v/>
      </c>
      <c r="D296" s="4" t="str">
        <f>IF(Pieces!$E296="","",Pieces!$E296)</f>
        <v/>
      </c>
      <c r="E296" s="3" t="str">
        <f>IF(Pieces!$F296="","",Pieces!$F296)</f>
        <v/>
      </c>
      <c r="F296" s="4" t="str">
        <f>IF(Pieces!$G296="","",Pieces!$G296)</f>
        <v/>
      </c>
      <c r="G296" s="4" t="str">
        <f>IF(Pieces!$H296="","",Pieces!$H296)</f>
        <v/>
      </c>
      <c r="H296" s="4" t="str">
        <f>IF(Pieces!$I296="","",Pieces!$I296)</f>
        <v/>
      </c>
    </row>
    <row r="297" spans="1:8" x14ac:dyDescent="0.2">
      <c r="A297" s="4">
        <v>295</v>
      </c>
      <c r="B297" s="3" t="str">
        <f>IF(Pieces!$C297="","",Pieces!$C297)</f>
        <v/>
      </c>
      <c r="C297" s="4" t="str">
        <f>IF(Pieces!$D297="","",Pieces!$D297)</f>
        <v/>
      </c>
      <c r="D297" s="4" t="str">
        <f>IF(Pieces!$E297="","",Pieces!$E297)</f>
        <v/>
      </c>
      <c r="E297" s="3" t="str">
        <f>IF(Pieces!$F297="","",Pieces!$F297)</f>
        <v/>
      </c>
      <c r="F297" s="4" t="str">
        <f>IF(Pieces!$G297="","",Pieces!$G297)</f>
        <v/>
      </c>
      <c r="G297" s="4" t="str">
        <f>IF(Pieces!$H297="","",Pieces!$H297)</f>
        <v/>
      </c>
      <c r="H297" s="4" t="str">
        <f>IF(Pieces!$I297="","",Pieces!$I297)</f>
        <v/>
      </c>
    </row>
    <row r="298" spans="1:8" x14ac:dyDescent="0.2">
      <c r="A298" s="4">
        <v>296</v>
      </c>
      <c r="B298" s="3" t="str">
        <f>IF(Pieces!$C298="","",Pieces!$C298)</f>
        <v/>
      </c>
      <c r="C298" s="4" t="str">
        <f>IF(Pieces!$D298="","",Pieces!$D298)</f>
        <v/>
      </c>
      <c r="D298" s="4" t="str">
        <f>IF(Pieces!$E298="","",Pieces!$E298)</f>
        <v/>
      </c>
      <c r="E298" s="3" t="str">
        <f>IF(Pieces!$F298="","",Pieces!$F298)</f>
        <v/>
      </c>
      <c r="F298" s="4" t="str">
        <f>IF(Pieces!$G298="","",Pieces!$G298)</f>
        <v/>
      </c>
      <c r="G298" s="4" t="str">
        <f>IF(Pieces!$H298="","",Pieces!$H298)</f>
        <v/>
      </c>
      <c r="H298" s="4" t="str">
        <f>IF(Pieces!$I298="","",Pieces!$I298)</f>
        <v/>
      </c>
    </row>
    <row r="299" spans="1:8" x14ac:dyDescent="0.2">
      <c r="A299" s="4">
        <v>297</v>
      </c>
      <c r="B299" s="3" t="str">
        <f>IF(Pieces!$C299="","",Pieces!$C299)</f>
        <v/>
      </c>
      <c r="C299" s="4" t="str">
        <f>IF(Pieces!$D299="","",Pieces!$D299)</f>
        <v/>
      </c>
      <c r="D299" s="4" t="str">
        <f>IF(Pieces!$E299="","",Pieces!$E299)</f>
        <v/>
      </c>
      <c r="E299" s="3" t="str">
        <f>IF(Pieces!$F299="","",Pieces!$F299)</f>
        <v/>
      </c>
      <c r="F299" s="4" t="str">
        <f>IF(Pieces!$G299="","",Pieces!$G299)</f>
        <v/>
      </c>
      <c r="G299" s="4" t="str">
        <f>IF(Pieces!$H299="","",Pieces!$H299)</f>
        <v/>
      </c>
      <c r="H299" s="4" t="str">
        <f>IF(Pieces!$I299="","",Pieces!$I299)</f>
        <v/>
      </c>
    </row>
    <row r="300" spans="1:8" x14ac:dyDescent="0.2">
      <c r="A300" s="4">
        <v>298</v>
      </c>
      <c r="B300" s="3" t="str">
        <f>IF(Pieces!$C300="","",Pieces!$C300)</f>
        <v/>
      </c>
      <c r="C300" s="4" t="str">
        <f>IF(Pieces!$D300="","",Pieces!$D300)</f>
        <v/>
      </c>
      <c r="D300" s="4" t="str">
        <f>IF(Pieces!$E300="","",Pieces!$E300)</f>
        <v/>
      </c>
      <c r="E300" s="3" t="str">
        <f>IF(Pieces!$F300="","",Pieces!$F300)</f>
        <v/>
      </c>
      <c r="F300" s="4" t="str">
        <f>IF(Pieces!$G300="","",Pieces!$G300)</f>
        <v/>
      </c>
      <c r="G300" s="4" t="str">
        <f>IF(Pieces!$H300="","",Pieces!$H300)</f>
        <v/>
      </c>
      <c r="H300" s="4" t="str">
        <f>IF(Pieces!$I300="","",Pieces!$I300)</f>
        <v/>
      </c>
    </row>
    <row r="301" spans="1:8" x14ac:dyDescent="0.2">
      <c r="A301" s="4">
        <v>299</v>
      </c>
      <c r="B301" s="3" t="str">
        <f>IF(Pieces!$C301="","",Pieces!$C301)</f>
        <v/>
      </c>
      <c r="C301" s="4" t="str">
        <f>IF(Pieces!$D301="","",Pieces!$D301)</f>
        <v/>
      </c>
      <c r="D301" s="4" t="str">
        <f>IF(Pieces!$E301="","",Pieces!$E301)</f>
        <v/>
      </c>
      <c r="E301" s="3" t="str">
        <f>IF(Pieces!$F301="","",Pieces!$F301)</f>
        <v/>
      </c>
      <c r="F301" s="4" t="str">
        <f>IF(Pieces!$G301="","",Pieces!$G301)</f>
        <v/>
      </c>
      <c r="G301" s="4" t="str">
        <f>IF(Pieces!$H301="","",Pieces!$H301)</f>
        <v/>
      </c>
      <c r="H301" s="4" t="str">
        <f>IF(Pieces!$I301="","",Pieces!$I301)</f>
        <v/>
      </c>
    </row>
    <row r="302" spans="1:8" x14ac:dyDescent="0.2">
      <c r="A302" s="4">
        <v>300</v>
      </c>
      <c r="B302" s="3" t="str">
        <f>IF(Pieces!$C302="","",Pieces!$C302)</f>
        <v/>
      </c>
      <c r="C302" s="4" t="str">
        <f>IF(Pieces!$D302="","",Pieces!$D302)</f>
        <v/>
      </c>
      <c r="D302" s="4" t="str">
        <f>IF(Pieces!$E302="","",Pieces!$E302)</f>
        <v/>
      </c>
      <c r="E302" s="3" t="str">
        <f>IF(Pieces!$F302="","",Pieces!$F302)</f>
        <v/>
      </c>
      <c r="F302" s="4" t="str">
        <f>IF(Pieces!$G302="","",Pieces!$G302)</f>
        <v/>
      </c>
      <c r="G302" s="4" t="str">
        <f>IF(Pieces!$H302="","",Pieces!$H302)</f>
        <v/>
      </c>
      <c r="H302" s="4" t="str">
        <f>IF(Pieces!$I302="","",Pieces!$I302)</f>
        <v/>
      </c>
    </row>
    <row r="303" spans="1:8" x14ac:dyDescent="0.2">
      <c r="A303" s="4">
        <v>301</v>
      </c>
      <c r="B303" s="3" t="str">
        <f>IF(Pieces!$C303="","",Pieces!$C303)</f>
        <v/>
      </c>
      <c r="C303" s="4" t="str">
        <f>IF(Pieces!$D303="","",Pieces!$D303)</f>
        <v/>
      </c>
      <c r="D303" s="4" t="str">
        <f>IF(Pieces!$E303="","",Pieces!$E303)</f>
        <v/>
      </c>
      <c r="E303" s="3" t="str">
        <f>IF(Pieces!$F303="","",Pieces!$F303)</f>
        <v/>
      </c>
      <c r="F303" s="4" t="str">
        <f>IF(Pieces!$G303="","",Pieces!$G303)</f>
        <v/>
      </c>
      <c r="G303" s="4" t="str">
        <f>IF(Pieces!$H303="","",Pieces!$H303)</f>
        <v/>
      </c>
      <c r="H303" s="4" t="str">
        <f>IF(Pieces!$I303="","",Pieces!$I303)</f>
        <v/>
      </c>
    </row>
    <row r="304" spans="1:8" x14ac:dyDescent="0.2">
      <c r="A304" s="4">
        <v>302</v>
      </c>
      <c r="B304" s="3" t="str">
        <f>IF(Pieces!$C304="","",Pieces!$C304)</f>
        <v/>
      </c>
      <c r="C304" s="4" t="str">
        <f>IF(Pieces!$D304="","",Pieces!$D304)</f>
        <v/>
      </c>
      <c r="D304" s="4" t="str">
        <f>IF(Pieces!$E304="","",Pieces!$E304)</f>
        <v/>
      </c>
      <c r="E304" s="3" t="str">
        <f>IF(Pieces!$F304="","",Pieces!$F304)</f>
        <v/>
      </c>
      <c r="F304" s="4" t="str">
        <f>IF(Pieces!$G304="","",Pieces!$G304)</f>
        <v/>
      </c>
      <c r="G304" s="4" t="str">
        <f>IF(Pieces!$H304="","",Pieces!$H304)</f>
        <v/>
      </c>
      <c r="H304" s="4" t="str">
        <f>IF(Pieces!$I304="","",Pieces!$I304)</f>
        <v/>
      </c>
    </row>
    <row r="305" spans="1:8" x14ac:dyDescent="0.2">
      <c r="A305" s="4">
        <v>303</v>
      </c>
      <c r="B305" s="3" t="str">
        <f>IF(Pieces!$C305="","",Pieces!$C305)</f>
        <v/>
      </c>
      <c r="C305" s="4" t="str">
        <f>IF(Pieces!$D305="","",Pieces!$D305)</f>
        <v/>
      </c>
      <c r="D305" s="4" t="str">
        <f>IF(Pieces!$E305="","",Pieces!$E305)</f>
        <v/>
      </c>
      <c r="E305" s="3" t="str">
        <f>IF(Pieces!$F305="","",Pieces!$F305)</f>
        <v/>
      </c>
      <c r="F305" s="4" t="str">
        <f>IF(Pieces!$G305="","",Pieces!$G305)</f>
        <v/>
      </c>
      <c r="G305" s="4" t="str">
        <f>IF(Pieces!$H305="","",Pieces!$H305)</f>
        <v/>
      </c>
      <c r="H305" s="4" t="str">
        <f>IF(Pieces!$I305="","",Pieces!$I305)</f>
        <v/>
      </c>
    </row>
    <row r="306" spans="1:8" x14ac:dyDescent="0.2">
      <c r="A306" s="4">
        <v>304</v>
      </c>
      <c r="B306" s="3" t="str">
        <f>IF(Pieces!$C306="","",Pieces!$C306)</f>
        <v/>
      </c>
      <c r="C306" s="4" t="str">
        <f>IF(Pieces!$D306="","",Pieces!$D306)</f>
        <v/>
      </c>
      <c r="D306" s="4" t="str">
        <f>IF(Pieces!$E306="","",Pieces!$E306)</f>
        <v/>
      </c>
      <c r="E306" s="3" t="str">
        <f>IF(Pieces!$F306="","",Pieces!$F306)</f>
        <v/>
      </c>
      <c r="F306" s="4" t="str">
        <f>IF(Pieces!$G306="","",Pieces!$G306)</f>
        <v/>
      </c>
      <c r="G306" s="4" t="str">
        <f>IF(Pieces!$H306="","",Pieces!$H306)</f>
        <v/>
      </c>
      <c r="H306" s="4" t="str">
        <f>IF(Pieces!$I306="","",Pieces!$I306)</f>
        <v/>
      </c>
    </row>
    <row r="307" spans="1:8" x14ac:dyDescent="0.2">
      <c r="A307" s="4">
        <v>305</v>
      </c>
      <c r="B307" s="3" t="str">
        <f>IF(Pieces!$C307="","",Pieces!$C307)</f>
        <v/>
      </c>
      <c r="C307" s="4" t="str">
        <f>IF(Pieces!$D307="","",Pieces!$D307)</f>
        <v/>
      </c>
      <c r="D307" s="4" t="str">
        <f>IF(Pieces!$E307="","",Pieces!$E307)</f>
        <v/>
      </c>
      <c r="E307" s="3" t="str">
        <f>IF(Pieces!$F307="","",Pieces!$F307)</f>
        <v/>
      </c>
      <c r="F307" s="4" t="str">
        <f>IF(Pieces!$G307="","",Pieces!$G307)</f>
        <v/>
      </c>
      <c r="G307" s="4" t="str">
        <f>IF(Pieces!$H307="","",Pieces!$H307)</f>
        <v/>
      </c>
      <c r="H307" s="4" t="str">
        <f>IF(Pieces!$I307="","",Pieces!$I307)</f>
        <v/>
      </c>
    </row>
    <row r="308" spans="1:8" x14ac:dyDescent="0.2">
      <c r="A308" s="4">
        <v>306</v>
      </c>
      <c r="B308" s="3" t="str">
        <f>IF(Pieces!$C308="","",Pieces!$C308)</f>
        <v/>
      </c>
      <c r="C308" s="4" t="str">
        <f>IF(Pieces!$D308="","",Pieces!$D308)</f>
        <v/>
      </c>
      <c r="D308" s="4" t="str">
        <f>IF(Pieces!$E308="","",Pieces!$E308)</f>
        <v/>
      </c>
      <c r="E308" s="3" t="str">
        <f>IF(Pieces!$F308="","",Pieces!$F308)</f>
        <v/>
      </c>
      <c r="F308" s="4" t="str">
        <f>IF(Pieces!$G308="","",Pieces!$G308)</f>
        <v/>
      </c>
      <c r="G308" s="4" t="str">
        <f>IF(Pieces!$H308="","",Pieces!$H308)</f>
        <v/>
      </c>
      <c r="H308" s="4" t="str">
        <f>IF(Pieces!$I308="","",Pieces!$I308)</f>
        <v/>
      </c>
    </row>
    <row r="309" spans="1:8" x14ac:dyDescent="0.2">
      <c r="A309" s="4">
        <v>307</v>
      </c>
      <c r="B309" s="3" t="str">
        <f>IF(Pieces!$C309="","",Pieces!$C309)</f>
        <v/>
      </c>
      <c r="C309" s="4" t="str">
        <f>IF(Pieces!$D309="","",Pieces!$D309)</f>
        <v/>
      </c>
      <c r="D309" s="4" t="str">
        <f>IF(Pieces!$E309="","",Pieces!$E309)</f>
        <v/>
      </c>
      <c r="E309" s="3" t="str">
        <f>IF(Pieces!$F309="","",Pieces!$F309)</f>
        <v/>
      </c>
      <c r="F309" s="4" t="str">
        <f>IF(Pieces!$G309="","",Pieces!$G309)</f>
        <v/>
      </c>
      <c r="G309" s="4" t="str">
        <f>IF(Pieces!$H309="","",Pieces!$H309)</f>
        <v/>
      </c>
      <c r="H309" s="4" t="str">
        <f>IF(Pieces!$I309="","",Pieces!$I309)</f>
        <v/>
      </c>
    </row>
    <row r="310" spans="1:8" x14ac:dyDescent="0.2">
      <c r="A310" s="4">
        <v>308</v>
      </c>
      <c r="B310" s="3" t="str">
        <f>IF(Pieces!$C310="","",Pieces!$C310)</f>
        <v/>
      </c>
      <c r="C310" s="4" t="str">
        <f>IF(Pieces!$D310="","",Pieces!$D310)</f>
        <v/>
      </c>
      <c r="D310" s="4" t="str">
        <f>IF(Pieces!$E310="","",Pieces!$E310)</f>
        <v/>
      </c>
      <c r="E310" s="3" t="str">
        <f>IF(Pieces!$F310="","",Pieces!$F310)</f>
        <v/>
      </c>
      <c r="F310" s="4" t="str">
        <f>IF(Pieces!$G310="","",Pieces!$G310)</f>
        <v/>
      </c>
      <c r="G310" s="4" t="str">
        <f>IF(Pieces!$H310="","",Pieces!$H310)</f>
        <v/>
      </c>
      <c r="H310" s="4" t="str">
        <f>IF(Pieces!$I310="","",Pieces!$I310)</f>
        <v/>
      </c>
    </row>
    <row r="311" spans="1:8" x14ac:dyDescent="0.2">
      <c r="A311" s="4">
        <v>309</v>
      </c>
      <c r="B311" s="3" t="str">
        <f>IF(Pieces!$C311="","",Pieces!$C311)</f>
        <v/>
      </c>
      <c r="C311" s="4" t="str">
        <f>IF(Pieces!$D311="","",Pieces!$D311)</f>
        <v/>
      </c>
      <c r="D311" s="4" t="str">
        <f>IF(Pieces!$E311="","",Pieces!$E311)</f>
        <v/>
      </c>
      <c r="E311" s="3" t="str">
        <f>IF(Pieces!$F311="","",Pieces!$F311)</f>
        <v/>
      </c>
      <c r="F311" s="4" t="str">
        <f>IF(Pieces!$G311="","",Pieces!$G311)</f>
        <v/>
      </c>
      <c r="G311" s="4" t="str">
        <f>IF(Pieces!$H311="","",Pieces!$H311)</f>
        <v/>
      </c>
      <c r="H311" s="4" t="str">
        <f>IF(Pieces!$I311="","",Pieces!$I311)</f>
        <v/>
      </c>
    </row>
    <row r="312" spans="1:8" x14ac:dyDescent="0.2">
      <c r="A312" s="4">
        <v>310</v>
      </c>
      <c r="B312" s="3" t="str">
        <f>IF(Pieces!$C312="","",Pieces!$C312)</f>
        <v/>
      </c>
      <c r="C312" s="4" t="str">
        <f>IF(Pieces!$D312="","",Pieces!$D312)</f>
        <v/>
      </c>
      <c r="D312" s="4" t="str">
        <f>IF(Pieces!$E312="","",Pieces!$E312)</f>
        <v/>
      </c>
      <c r="E312" s="3" t="str">
        <f>IF(Pieces!$F312="","",Pieces!$F312)</f>
        <v/>
      </c>
      <c r="F312" s="4" t="str">
        <f>IF(Pieces!$G312="","",Pieces!$G312)</f>
        <v/>
      </c>
      <c r="G312" s="4" t="str">
        <f>IF(Pieces!$H312="","",Pieces!$H312)</f>
        <v/>
      </c>
      <c r="H312" s="4" t="str">
        <f>IF(Pieces!$I312="","",Pieces!$I312)</f>
        <v/>
      </c>
    </row>
    <row r="313" spans="1:8" x14ac:dyDescent="0.2">
      <c r="A313" s="4">
        <v>311</v>
      </c>
      <c r="B313" s="3" t="str">
        <f>IF(Pieces!$C313="","",Pieces!$C313)</f>
        <v/>
      </c>
      <c r="C313" s="4" t="str">
        <f>IF(Pieces!$D313="","",Pieces!$D313)</f>
        <v/>
      </c>
      <c r="D313" s="4" t="str">
        <f>IF(Pieces!$E313="","",Pieces!$E313)</f>
        <v/>
      </c>
      <c r="E313" s="3" t="str">
        <f>IF(Pieces!$F313="","",Pieces!$F313)</f>
        <v/>
      </c>
      <c r="F313" s="4" t="str">
        <f>IF(Pieces!$G313="","",Pieces!$G313)</f>
        <v/>
      </c>
      <c r="G313" s="4" t="str">
        <f>IF(Pieces!$H313="","",Pieces!$H313)</f>
        <v/>
      </c>
      <c r="H313" s="4" t="str">
        <f>IF(Pieces!$I313="","",Pieces!$I313)</f>
        <v/>
      </c>
    </row>
    <row r="314" spans="1:8" x14ac:dyDescent="0.2">
      <c r="A314" s="4">
        <v>312</v>
      </c>
      <c r="B314" s="3" t="str">
        <f>IF(Pieces!$C314="","",Pieces!$C314)</f>
        <v/>
      </c>
      <c r="C314" s="4" t="str">
        <f>IF(Pieces!$D314="","",Pieces!$D314)</f>
        <v/>
      </c>
      <c r="D314" s="4" t="str">
        <f>IF(Pieces!$E314="","",Pieces!$E314)</f>
        <v/>
      </c>
      <c r="E314" s="3" t="str">
        <f>IF(Pieces!$F314="","",Pieces!$F314)</f>
        <v/>
      </c>
      <c r="F314" s="4" t="str">
        <f>IF(Pieces!$G314="","",Pieces!$G314)</f>
        <v/>
      </c>
      <c r="G314" s="4" t="str">
        <f>IF(Pieces!$H314="","",Pieces!$H314)</f>
        <v/>
      </c>
      <c r="H314" s="4" t="str">
        <f>IF(Pieces!$I314="","",Pieces!$I314)</f>
        <v/>
      </c>
    </row>
    <row r="315" spans="1:8" x14ac:dyDescent="0.2">
      <c r="A315" s="4">
        <v>313</v>
      </c>
      <c r="B315" s="3" t="str">
        <f>IF(Pieces!$C315="","",Pieces!$C315)</f>
        <v/>
      </c>
      <c r="C315" s="4" t="str">
        <f>IF(Pieces!$D315="","",Pieces!$D315)</f>
        <v/>
      </c>
      <c r="D315" s="4" t="str">
        <f>IF(Pieces!$E315="","",Pieces!$E315)</f>
        <v/>
      </c>
      <c r="E315" s="3" t="str">
        <f>IF(Pieces!$F315="","",Pieces!$F315)</f>
        <v/>
      </c>
      <c r="F315" s="4" t="str">
        <f>IF(Pieces!$G315="","",Pieces!$G315)</f>
        <v/>
      </c>
      <c r="G315" s="4" t="str">
        <f>IF(Pieces!$H315="","",Pieces!$H315)</f>
        <v/>
      </c>
      <c r="H315" s="4" t="str">
        <f>IF(Pieces!$I315="","",Pieces!$I315)</f>
        <v/>
      </c>
    </row>
    <row r="316" spans="1:8" x14ac:dyDescent="0.2">
      <c r="A316" s="4">
        <v>314</v>
      </c>
      <c r="B316" s="3" t="str">
        <f>IF(Pieces!$C316="","",Pieces!$C316)</f>
        <v/>
      </c>
      <c r="C316" s="4" t="str">
        <f>IF(Pieces!$D316="","",Pieces!$D316)</f>
        <v/>
      </c>
      <c r="D316" s="4" t="str">
        <f>IF(Pieces!$E316="","",Pieces!$E316)</f>
        <v/>
      </c>
      <c r="E316" s="3" t="str">
        <f>IF(Pieces!$F316="","",Pieces!$F316)</f>
        <v/>
      </c>
      <c r="F316" s="4" t="str">
        <f>IF(Pieces!$G316="","",Pieces!$G316)</f>
        <v/>
      </c>
      <c r="G316" s="4" t="str">
        <f>IF(Pieces!$H316="","",Pieces!$H316)</f>
        <v/>
      </c>
      <c r="H316" s="4" t="str">
        <f>IF(Pieces!$I316="","",Pieces!$I316)</f>
        <v/>
      </c>
    </row>
    <row r="317" spans="1:8" x14ac:dyDescent="0.2">
      <c r="A317" s="4">
        <v>315</v>
      </c>
      <c r="B317" s="3" t="str">
        <f>IF(Pieces!$C317="","",Pieces!$C317)</f>
        <v/>
      </c>
      <c r="C317" s="4" t="str">
        <f>IF(Pieces!$D317="","",Pieces!$D317)</f>
        <v/>
      </c>
      <c r="D317" s="4" t="str">
        <f>IF(Pieces!$E317="","",Pieces!$E317)</f>
        <v/>
      </c>
      <c r="E317" s="3" t="str">
        <f>IF(Pieces!$F317="","",Pieces!$F317)</f>
        <v/>
      </c>
      <c r="F317" s="4" t="str">
        <f>IF(Pieces!$G317="","",Pieces!$G317)</f>
        <v/>
      </c>
      <c r="G317" s="4" t="str">
        <f>IF(Pieces!$H317="","",Pieces!$H317)</f>
        <v/>
      </c>
      <c r="H317" s="4" t="str">
        <f>IF(Pieces!$I317="","",Pieces!$I317)</f>
        <v/>
      </c>
    </row>
    <row r="318" spans="1:8" x14ac:dyDescent="0.2">
      <c r="A318" s="4">
        <v>316</v>
      </c>
      <c r="B318" s="3" t="str">
        <f>IF(Pieces!$C318="","",Pieces!$C318)</f>
        <v/>
      </c>
      <c r="C318" s="4" t="str">
        <f>IF(Pieces!$D318="","",Pieces!$D318)</f>
        <v/>
      </c>
      <c r="D318" s="4" t="str">
        <f>IF(Pieces!$E318="","",Pieces!$E318)</f>
        <v/>
      </c>
      <c r="E318" s="3" t="str">
        <f>IF(Pieces!$F318="","",Pieces!$F318)</f>
        <v/>
      </c>
      <c r="F318" s="4" t="str">
        <f>IF(Pieces!$G318="","",Pieces!$G318)</f>
        <v/>
      </c>
      <c r="G318" s="4" t="str">
        <f>IF(Pieces!$H318="","",Pieces!$H318)</f>
        <v/>
      </c>
      <c r="H318" s="4" t="str">
        <f>IF(Pieces!$I318="","",Pieces!$I318)</f>
        <v/>
      </c>
    </row>
    <row r="319" spans="1:8" x14ac:dyDescent="0.2">
      <c r="A319" s="4">
        <v>317</v>
      </c>
      <c r="B319" s="3" t="str">
        <f>IF(Pieces!$C319="","",Pieces!$C319)</f>
        <v/>
      </c>
      <c r="C319" s="4" t="str">
        <f>IF(Pieces!$D319="","",Pieces!$D319)</f>
        <v/>
      </c>
      <c r="D319" s="4" t="str">
        <f>IF(Pieces!$E319="","",Pieces!$E319)</f>
        <v/>
      </c>
      <c r="E319" s="3" t="str">
        <f>IF(Pieces!$F319="","",Pieces!$F319)</f>
        <v/>
      </c>
      <c r="F319" s="4" t="str">
        <f>IF(Pieces!$G319="","",Pieces!$G319)</f>
        <v/>
      </c>
      <c r="G319" s="4" t="str">
        <f>IF(Pieces!$H319="","",Pieces!$H319)</f>
        <v/>
      </c>
      <c r="H319" s="4" t="str">
        <f>IF(Pieces!$I319="","",Pieces!$I319)</f>
        <v/>
      </c>
    </row>
    <row r="320" spans="1:8" x14ac:dyDescent="0.2">
      <c r="A320" s="4">
        <v>318</v>
      </c>
      <c r="B320" s="3" t="str">
        <f>IF(Pieces!$C320="","",Pieces!$C320)</f>
        <v/>
      </c>
      <c r="C320" s="4" t="str">
        <f>IF(Pieces!$D320="","",Pieces!$D320)</f>
        <v/>
      </c>
      <c r="D320" s="4" t="str">
        <f>IF(Pieces!$E320="","",Pieces!$E320)</f>
        <v/>
      </c>
      <c r="E320" s="3" t="str">
        <f>IF(Pieces!$F320="","",Pieces!$F320)</f>
        <v/>
      </c>
      <c r="F320" s="4" t="str">
        <f>IF(Pieces!$G320="","",Pieces!$G320)</f>
        <v/>
      </c>
      <c r="G320" s="4" t="str">
        <f>IF(Pieces!$H320="","",Pieces!$H320)</f>
        <v/>
      </c>
      <c r="H320" s="4" t="str">
        <f>IF(Pieces!$I320="","",Pieces!$I320)</f>
        <v/>
      </c>
    </row>
    <row r="321" spans="1:8" x14ac:dyDescent="0.2">
      <c r="A321" s="4">
        <v>319</v>
      </c>
      <c r="B321" s="3" t="str">
        <f>IF(Pieces!$C321="","",Pieces!$C321)</f>
        <v/>
      </c>
      <c r="C321" s="4" t="str">
        <f>IF(Pieces!$D321="","",Pieces!$D321)</f>
        <v/>
      </c>
      <c r="D321" s="4" t="str">
        <f>IF(Pieces!$E321="","",Pieces!$E321)</f>
        <v/>
      </c>
      <c r="E321" s="3" t="str">
        <f>IF(Pieces!$F321="","",Pieces!$F321)</f>
        <v/>
      </c>
      <c r="F321" s="4" t="str">
        <f>IF(Pieces!$G321="","",Pieces!$G321)</f>
        <v/>
      </c>
      <c r="G321" s="4" t="str">
        <f>IF(Pieces!$H321="","",Pieces!$H321)</f>
        <v/>
      </c>
      <c r="H321" s="4" t="str">
        <f>IF(Pieces!$I321="","",Pieces!$I321)</f>
        <v/>
      </c>
    </row>
    <row r="322" spans="1:8" x14ac:dyDescent="0.2">
      <c r="A322" s="4">
        <v>320</v>
      </c>
      <c r="B322" s="3" t="str">
        <f>IF(Pieces!$C322="","",Pieces!$C322)</f>
        <v/>
      </c>
      <c r="C322" s="4" t="str">
        <f>IF(Pieces!$D322="","",Pieces!$D322)</f>
        <v/>
      </c>
      <c r="D322" s="4" t="str">
        <f>IF(Pieces!$E322="","",Pieces!$E322)</f>
        <v/>
      </c>
      <c r="E322" s="3" t="str">
        <f>IF(Pieces!$F322="","",Pieces!$F322)</f>
        <v/>
      </c>
      <c r="F322" s="4" t="str">
        <f>IF(Pieces!$G322="","",Pieces!$G322)</f>
        <v/>
      </c>
      <c r="G322" s="4" t="str">
        <f>IF(Pieces!$H322="","",Pieces!$H322)</f>
        <v/>
      </c>
      <c r="H322" s="4" t="str">
        <f>IF(Pieces!$I322="","",Pieces!$I322)</f>
        <v/>
      </c>
    </row>
    <row r="323" spans="1:8" x14ac:dyDescent="0.2">
      <c r="A323" s="4">
        <v>321</v>
      </c>
      <c r="B323" s="3" t="str">
        <f>IF(Pieces!$C323="","",Pieces!$C323)</f>
        <v/>
      </c>
      <c r="C323" s="4" t="str">
        <f>IF(Pieces!$D323="","",Pieces!$D323)</f>
        <v/>
      </c>
      <c r="D323" s="4" t="str">
        <f>IF(Pieces!$E323="","",Pieces!$E323)</f>
        <v/>
      </c>
      <c r="E323" s="3" t="str">
        <f>IF(Pieces!$F323="","",Pieces!$F323)</f>
        <v/>
      </c>
      <c r="F323" s="4" t="str">
        <f>IF(Pieces!$G323="","",Pieces!$G323)</f>
        <v/>
      </c>
      <c r="G323" s="4" t="str">
        <f>IF(Pieces!$H323="","",Pieces!$H323)</f>
        <v/>
      </c>
      <c r="H323" s="4" t="str">
        <f>IF(Pieces!$I323="","",Pieces!$I323)</f>
        <v/>
      </c>
    </row>
    <row r="324" spans="1:8" x14ac:dyDescent="0.2">
      <c r="A324" s="4">
        <v>322</v>
      </c>
      <c r="B324" s="3" t="str">
        <f>IF(Pieces!$C324="","",Pieces!$C324)</f>
        <v/>
      </c>
      <c r="C324" s="4" t="str">
        <f>IF(Pieces!$D324="","",Pieces!$D324)</f>
        <v/>
      </c>
      <c r="D324" s="4" t="str">
        <f>IF(Pieces!$E324="","",Pieces!$E324)</f>
        <v/>
      </c>
      <c r="E324" s="3" t="str">
        <f>IF(Pieces!$F324="","",Pieces!$F324)</f>
        <v/>
      </c>
      <c r="F324" s="4" t="str">
        <f>IF(Pieces!$G324="","",Pieces!$G324)</f>
        <v/>
      </c>
      <c r="G324" s="4" t="str">
        <f>IF(Pieces!$H324="","",Pieces!$H324)</f>
        <v/>
      </c>
      <c r="H324" s="4" t="str">
        <f>IF(Pieces!$I324="","",Pieces!$I324)</f>
        <v/>
      </c>
    </row>
    <row r="325" spans="1:8" x14ac:dyDescent="0.2">
      <c r="A325" s="4">
        <v>323</v>
      </c>
      <c r="B325" s="3" t="str">
        <f>IF(Pieces!$C325="","",Pieces!$C325)</f>
        <v/>
      </c>
      <c r="C325" s="4" t="str">
        <f>IF(Pieces!$D325="","",Pieces!$D325)</f>
        <v/>
      </c>
      <c r="D325" s="4" t="str">
        <f>IF(Pieces!$E325="","",Pieces!$E325)</f>
        <v/>
      </c>
      <c r="E325" s="3" t="str">
        <f>IF(Pieces!$F325="","",Pieces!$F325)</f>
        <v/>
      </c>
      <c r="F325" s="4" t="str">
        <f>IF(Pieces!$G325="","",Pieces!$G325)</f>
        <v/>
      </c>
      <c r="G325" s="4" t="str">
        <f>IF(Pieces!$H325="","",Pieces!$H325)</f>
        <v/>
      </c>
      <c r="H325" s="4" t="str">
        <f>IF(Pieces!$I325="","",Pieces!$I325)</f>
        <v/>
      </c>
    </row>
    <row r="326" spans="1:8" x14ac:dyDescent="0.2">
      <c r="A326" s="4">
        <v>324</v>
      </c>
      <c r="B326" s="3" t="str">
        <f>IF(Pieces!$C326="","",Pieces!$C326)</f>
        <v/>
      </c>
      <c r="C326" s="4" t="str">
        <f>IF(Pieces!$D326="","",Pieces!$D326)</f>
        <v/>
      </c>
      <c r="D326" s="4" t="str">
        <f>IF(Pieces!$E326="","",Pieces!$E326)</f>
        <v/>
      </c>
      <c r="E326" s="3" t="str">
        <f>IF(Pieces!$F326="","",Pieces!$F326)</f>
        <v/>
      </c>
      <c r="F326" s="4" t="str">
        <f>IF(Pieces!$G326="","",Pieces!$G326)</f>
        <v/>
      </c>
      <c r="G326" s="4" t="str">
        <f>IF(Pieces!$H326="","",Pieces!$H326)</f>
        <v/>
      </c>
      <c r="H326" s="4" t="str">
        <f>IF(Pieces!$I326="","",Pieces!$I326)</f>
        <v/>
      </c>
    </row>
    <row r="327" spans="1:8" x14ac:dyDescent="0.2">
      <c r="A327" s="4">
        <v>325</v>
      </c>
      <c r="B327" s="3" t="str">
        <f>IF(Pieces!$C327="","",Pieces!$C327)</f>
        <v/>
      </c>
      <c r="C327" s="4" t="str">
        <f>IF(Pieces!$D327="","",Pieces!$D327)</f>
        <v/>
      </c>
      <c r="D327" s="4" t="str">
        <f>IF(Pieces!$E327="","",Pieces!$E327)</f>
        <v/>
      </c>
      <c r="E327" s="3" t="str">
        <f>IF(Pieces!$F327="","",Pieces!$F327)</f>
        <v/>
      </c>
      <c r="F327" s="4" t="str">
        <f>IF(Pieces!$G327="","",Pieces!$G327)</f>
        <v/>
      </c>
      <c r="G327" s="4" t="str">
        <f>IF(Pieces!$H327="","",Pieces!$H327)</f>
        <v/>
      </c>
      <c r="H327" s="4" t="str">
        <f>IF(Pieces!$I327="","",Pieces!$I327)</f>
        <v/>
      </c>
    </row>
    <row r="328" spans="1:8" x14ac:dyDescent="0.2">
      <c r="A328" s="4">
        <v>326</v>
      </c>
      <c r="B328" s="3" t="str">
        <f>IF(Pieces!$C328="","",Pieces!$C328)</f>
        <v/>
      </c>
      <c r="C328" s="4" t="str">
        <f>IF(Pieces!$D328="","",Pieces!$D328)</f>
        <v/>
      </c>
      <c r="D328" s="4" t="str">
        <f>IF(Pieces!$E328="","",Pieces!$E328)</f>
        <v/>
      </c>
      <c r="E328" s="3" t="str">
        <f>IF(Pieces!$F328="","",Pieces!$F328)</f>
        <v/>
      </c>
      <c r="F328" s="4" t="str">
        <f>IF(Pieces!$G328="","",Pieces!$G328)</f>
        <v/>
      </c>
      <c r="G328" s="4" t="str">
        <f>IF(Pieces!$H328="","",Pieces!$H328)</f>
        <v/>
      </c>
      <c r="H328" s="4" t="str">
        <f>IF(Pieces!$I328="","",Pieces!$I328)</f>
        <v/>
      </c>
    </row>
    <row r="329" spans="1:8" x14ac:dyDescent="0.2">
      <c r="A329" s="4">
        <v>327</v>
      </c>
      <c r="B329" s="3" t="str">
        <f>IF(Pieces!$C329="","",Pieces!$C329)</f>
        <v/>
      </c>
      <c r="C329" s="4" t="str">
        <f>IF(Pieces!$D329="","",Pieces!$D329)</f>
        <v/>
      </c>
      <c r="D329" s="4" t="str">
        <f>IF(Pieces!$E329="","",Pieces!$E329)</f>
        <v/>
      </c>
      <c r="E329" s="3" t="str">
        <f>IF(Pieces!$F329="","",Pieces!$F329)</f>
        <v/>
      </c>
      <c r="F329" s="4" t="str">
        <f>IF(Pieces!$G329="","",Pieces!$G329)</f>
        <v/>
      </c>
      <c r="G329" s="4" t="str">
        <f>IF(Pieces!$H329="","",Pieces!$H329)</f>
        <v/>
      </c>
      <c r="H329" s="4" t="str">
        <f>IF(Pieces!$I329="","",Pieces!$I329)</f>
        <v/>
      </c>
    </row>
    <row r="330" spans="1:8" x14ac:dyDescent="0.2">
      <c r="A330" s="4">
        <v>328</v>
      </c>
      <c r="B330" s="3" t="str">
        <f>IF(Pieces!$C330="","",Pieces!$C330)</f>
        <v/>
      </c>
      <c r="C330" s="4" t="str">
        <f>IF(Pieces!$D330="","",Pieces!$D330)</f>
        <v/>
      </c>
      <c r="D330" s="4" t="str">
        <f>IF(Pieces!$E330="","",Pieces!$E330)</f>
        <v/>
      </c>
      <c r="E330" s="3" t="str">
        <f>IF(Pieces!$F330="","",Pieces!$F330)</f>
        <v/>
      </c>
      <c r="F330" s="4" t="str">
        <f>IF(Pieces!$G330="","",Pieces!$G330)</f>
        <v/>
      </c>
      <c r="G330" s="4" t="str">
        <f>IF(Pieces!$H330="","",Pieces!$H330)</f>
        <v/>
      </c>
      <c r="H330" s="4" t="str">
        <f>IF(Pieces!$I330="","",Pieces!$I330)</f>
        <v/>
      </c>
    </row>
    <row r="331" spans="1:8" x14ac:dyDescent="0.2">
      <c r="A331" s="4">
        <v>329</v>
      </c>
      <c r="B331" s="3" t="str">
        <f>IF(Pieces!$C331="","",Pieces!$C331)</f>
        <v/>
      </c>
      <c r="C331" s="4" t="str">
        <f>IF(Pieces!$D331="","",Pieces!$D331)</f>
        <v/>
      </c>
      <c r="D331" s="4" t="str">
        <f>IF(Pieces!$E331="","",Pieces!$E331)</f>
        <v/>
      </c>
      <c r="E331" s="3" t="str">
        <f>IF(Pieces!$F331="","",Pieces!$F331)</f>
        <v/>
      </c>
      <c r="F331" s="4" t="str">
        <f>IF(Pieces!$G331="","",Pieces!$G331)</f>
        <v/>
      </c>
      <c r="G331" s="4" t="str">
        <f>IF(Pieces!$H331="","",Pieces!$H331)</f>
        <v/>
      </c>
      <c r="H331" s="4" t="str">
        <f>IF(Pieces!$I331="","",Pieces!$I331)</f>
        <v/>
      </c>
    </row>
    <row r="332" spans="1:8" x14ac:dyDescent="0.2">
      <c r="A332" s="4">
        <v>330</v>
      </c>
      <c r="B332" s="3" t="str">
        <f>IF(Pieces!$C332="","",Pieces!$C332)</f>
        <v/>
      </c>
      <c r="C332" s="4" t="str">
        <f>IF(Pieces!$D332="","",Pieces!$D332)</f>
        <v/>
      </c>
      <c r="D332" s="4" t="str">
        <f>IF(Pieces!$E332="","",Pieces!$E332)</f>
        <v/>
      </c>
      <c r="E332" s="3" t="str">
        <f>IF(Pieces!$F332="","",Pieces!$F332)</f>
        <v/>
      </c>
      <c r="F332" s="4" t="str">
        <f>IF(Pieces!$G332="","",Pieces!$G332)</f>
        <v/>
      </c>
      <c r="G332" s="4" t="str">
        <f>IF(Pieces!$H332="","",Pieces!$H332)</f>
        <v/>
      </c>
      <c r="H332" s="4" t="str">
        <f>IF(Pieces!$I332="","",Pieces!$I332)</f>
        <v/>
      </c>
    </row>
    <row r="333" spans="1:8" x14ac:dyDescent="0.2">
      <c r="A333" s="4">
        <v>331</v>
      </c>
      <c r="B333" s="3" t="str">
        <f>IF(Pieces!$C333="","",Pieces!$C333)</f>
        <v/>
      </c>
      <c r="C333" s="4" t="str">
        <f>IF(Pieces!$D333="","",Pieces!$D333)</f>
        <v/>
      </c>
      <c r="D333" s="4" t="str">
        <f>IF(Pieces!$E333="","",Pieces!$E333)</f>
        <v/>
      </c>
      <c r="E333" s="3" t="str">
        <f>IF(Pieces!$F333="","",Pieces!$F333)</f>
        <v/>
      </c>
      <c r="F333" s="4" t="str">
        <f>IF(Pieces!$G333="","",Pieces!$G333)</f>
        <v/>
      </c>
      <c r="G333" s="4" t="str">
        <f>IF(Pieces!$H333="","",Pieces!$H333)</f>
        <v/>
      </c>
      <c r="H333" s="4" t="str">
        <f>IF(Pieces!$I333="","",Pieces!$I333)</f>
        <v/>
      </c>
    </row>
    <row r="334" spans="1:8" x14ac:dyDescent="0.2">
      <c r="A334" s="4">
        <v>332</v>
      </c>
      <c r="B334" s="3" t="str">
        <f>IF(Pieces!$C334="","",Pieces!$C334)</f>
        <v/>
      </c>
      <c r="C334" s="4" t="str">
        <f>IF(Pieces!$D334="","",Pieces!$D334)</f>
        <v/>
      </c>
      <c r="D334" s="4" t="str">
        <f>IF(Pieces!$E334="","",Pieces!$E334)</f>
        <v/>
      </c>
      <c r="E334" s="3" t="str">
        <f>IF(Pieces!$F334="","",Pieces!$F334)</f>
        <v/>
      </c>
      <c r="F334" s="4" t="str">
        <f>IF(Pieces!$G334="","",Pieces!$G334)</f>
        <v/>
      </c>
      <c r="G334" s="4" t="str">
        <f>IF(Pieces!$H334="","",Pieces!$H334)</f>
        <v/>
      </c>
      <c r="H334" s="4" t="str">
        <f>IF(Pieces!$I334="","",Pieces!$I334)</f>
        <v/>
      </c>
    </row>
    <row r="335" spans="1:8" x14ac:dyDescent="0.2">
      <c r="A335" s="4">
        <v>333</v>
      </c>
      <c r="B335" s="3" t="str">
        <f>IF(Pieces!$C335="","",Pieces!$C335)</f>
        <v/>
      </c>
      <c r="C335" s="4" t="str">
        <f>IF(Pieces!$D335="","",Pieces!$D335)</f>
        <v/>
      </c>
      <c r="D335" s="4" t="str">
        <f>IF(Pieces!$E335="","",Pieces!$E335)</f>
        <v/>
      </c>
      <c r="E335" s="3" t="str">
        <f>IF(Pieces!$F335="","",Pieces!$F335)</f>
        <v/>
      </c>
      <c r="F335" s="4" t="str">
        <f>IF(Pieces!$G335="","",Pieces!$G335)</f>
        <v/>
      </c>
      <c r="G335" s="4" t="str">
        <f>IF(Pieces!$H335="","",Pieces!$H335)</f>
        <v/>
      </c>
      <c r="H335" s="4" t="str">
        <f>IF(Pieces!$I335="","",Pieces!$I335)</f>
        <v/>
      </c>
    </row>
    <row r="336" spans="1:8" x14ac:dyDescent="0.2">
      <c r="A336" s="4">
        <v>334</v>
      </c>
      <c r="B336" s="3" t="str">
        <f>IF(Pieces!$C336="","",Pieces!$C336)</f>
        <v/>
      </c>
      <c r="C336" s="4" t="str">
        <f>IF(Pieces!$D336="","",Pieces!$D336)</f>
        <v/>
      </c>
      <c r="D336" s="4" t="str">
        <f>IF(Pieces!$E336="","",Pieces!$E336)</f>
        <v/>
      </c>
      <c r="E336" s="3" t="str">
        <f>IF(Pieces!$F336="","",Pieces!$F336)</f>
        <v/>
      </c>
      <c r="F336" s="4" t="str">
        <f>IF(Pieces!$G336="","",Pieces!$G336)</f>
        <v/>
      </c>
      <c r="G336" s="4" t="str">
        <f>IF(Pieces!$H336="","",Pieces!$H336)</f>
        <v/>
      </c>
      <c r="H336" s="4" t="str">
        <f>IF(Pieces!$I336="","",Pieces!$I336)</f>
        <v/>
      </c>
    </row>
    <row r="337" spans="1:8" x14ac:dyDescent="0.2">
      <c r="A337" s="4">
        <v>335</v>
      </c>
      <c r="B337" s="3" t="str">
        <f>IF(Pieces!$C337="","",Pieces!$C337)</f>
        <v/>
      </c>
      <c r="C337" s="4" t="str">
        <f>IF(Pieces!$D337="","",Pieces!$D337)</f>
        <v/>
      </c>
      <c r="D337" s="4" t="str">
        <f>IF(Pieces!$E337="","",Pieces!$E337)</f>
        <v/>
      </c>
      <c r="E337" s="3" t="str">
        <f>IF(Pieces!$F337="","",Pieces!$F337)</f>
        <v/>
      </c>
      <c r="F337" s="4" t="str">
        <f>IF(Pieces!$G337="","",Pieces!$G337)</f>
        <v/>
      </c>
      <c r="G337" s="4" t="str">
        <f>IF(Pieces!$H337="","",Pieces!$H337)</f>
        <v/>
      </c>
      <c r="H337" s="4" t="str">
        <f>IF(Pieces!$I337="","",Pieces!$I337)</f>
        <v/>
      </c>
    </row>
    <row r="338" spans="1:8" x14ac:dyDescent="0.2">
      <c r="A338" s="4">
        <v>336</v>
      </c>
      <c r="B338" s="3" t="str">
        <f>IF(Pieces!$C338="","",Pieces!$C338)</f>
        <v/>
      </c>
      <c r="C338" s="4" t="str">
        <f>IF(Pieces!$D338="","",Pieces!$D338)</f>
        <v/>
      </c>
      <c r="D338" s="4" t="str">
        <f>IF(Pieces!$E338="","",Pieces!$E338)</f>
        <v/>
      </c>
      <c r="E338" s="3" t="str">
        <f>IF(Pieces!$F338="","",Pieces!$F338)</f>
        <v/>
      </c>
      <c r="F338" s="4" t="str">
        <f>IF(Pieces!$G338="","",Pieces!$G338)</f>
        <v/>
      </c>
      <c r="G338" s="4" t="str">
        <f>IF(Pieces!$H338="","",Pieces!$H338)</f>
        <v/>
      </c>
      <c r="H338" s="4" t="str">
        <f>IF(Pieces!$I338="","",Pieces!$I338)</f>
        <v/>
      </c>
    </row>
    <row r="339" spans="1:8" x14ac:dyDescent="0.2">
      <c r="A339" s="4">
        <v>337</v>
      </c>
      <c r="B339" s="3" t="str">
        <f>IF(Pieces!$C339="","",Pieces!$C339)</f>
        <v/>
      </c>
      <c r="C339" s="4" t="str">
        <f>IF(Pieces!$D339="","",Pieces!$D339)</f>
        <v/>
      </c>
      <c r="D339" s="4" t="str">
        <f>IF(Pieces!$E339="","",Pieces!$E339)</f>
        <v/>
      </c>
      <c r="E339" s="3" t="str">
        <f>IF(Pieces!$F339="","",Pieces!$F339)</f>
        <v/>
      </c>
      <c r="F339" s="4" t="str">
        <f>IF(Pieces!$G339="","",Pieces!$G339)</f>
        <v/>
      </c>
      <c r="G339" s="4" t="str">
        <f>IF(Pieces!$H339="","",Pieces!$H339)</f>
        <v/>
      </c>
      <c r="H339" s="4" t="str">
        <f>IF(Pieces!$I339="","",Pieces!$I339)</f>
        <v/>
      </c>
    </row>
    <row r="340" spans="1:8" x14ac:dyDescent="0.2">
      <c r="A340" s="4">
        <v>338</v>
      </c>
      <c r="B340" s="3" t="str">
        <f>IF(Pieces!$C340="","",Pieces!$C340)</f>
        <v/>
      </c>
      <c r="C340" s="4" t="str">
        <f>IF(Pieces!$D340="","",Pieces!$D340)</f>
        <v/>
      </c>
      <c r="D340" s="4" t="str">
        <f>IF(Pieces!$E340="","",Pieces!$E340)</f>
        <v/>
      </c>
      <c r="E340" s="3" t="str">
        <f>IF(Pieces!$F340="","",Pieces!$F340)</f>
        <v/>
      </c>
      <c r="F340" s="4" t="str">
        <f>IF(Pieces!$G340="","",Pieces!$G340)</f>
        <v/>
      </c>
      <c r="G340" s="4" t="str">
        <f>IF(Pieces!$H340="","",Pieces!$H340)</f>
        <v/>
      </c>
      <c r="H340" s="4" t="str">
        <f>IF(Pieces!$I340="","",Pieces!$I340)</f>
        <v/>
      </c>
    </row>
    <row r="341" spans="1:8" x14ac:dyDescent="0.2">
      <c r="A341" s="4">
        <v>339</v>
      </c>
      <c r="B341" s="3" t="str">
        <f>IF(Pieces!$C341="","",Pieces!$C341)</f>
        <v/>
      </c>
      <c r="C341" s="4" t="str">
        <f>IF(Pieces!$D341="","",Pieces!$D341)</f>
        <v/>
      </c>
      <c r="D341" s="4" t="str">
        <f>IF(Pieces!$E341="","",Pieces!$E341)</f>
        <v/>
      </c>
      <c r="E341" s="3" t="str">
        <f>IF(Pieces!$F341="","",Pieces!$F341)</f>
        <v/>
      </c>
      <c r="F341" s="4" t="str">
        <f>IF(Pieces!$G341="","",Pieces!$G341)</f>
        <v/>
      </c>
      <c r="G341" s="4" t="str">
        <f>IF(Pieces!$H341="","",Pieces!$H341)</f>
        <v/>
      </c>
      <c r="H341" s="4" t="str">
        <f>IF(Pieces!$I341="","",Pieces!$I341)</f>
        <v/>
      </c>
    </row>
    <row r="342" spans="1:8" x14ac:dyDescent="0.2">
      <c r="A342" s="4">
        <v>340</v>
      </c>
      <c r="B342" s="3" t="str">
        <f>IF(Pieces!$C342="","",Pieces!$C342)</f>
        <v/>
      </c>
      <c r="C342" s="4" t="str">
        <f>IF(Pieces!$D342="","",Pieces!$D342)</f>
        <v/>
      </c>
      <c r="D342" s="4" t="str">
        <f>IF(Pieces!$E342="","",Pieces!$E342)</f>
        <v/>
      </c>
      <c r="E342" s="3" t="str">
        <f>IF(Pieces!$F342="","",Pieces!$F342)</f>
        <v/>
      </c>
      <c r="F342" s="4" t="str">
        <f>IF(Pieces!$G342="","",Pieces!$G342)</f>
        <v/>
      </c>
      <c r="G342" s="4" t="str">
        <f>IF(Pieces!$H342="","",Pieces!$H342)</f>
        <v/>
      </c>
      <c r="H342" s="4" t="str">
        <f>IF(Pieces!$I342="","",Pieces!$I342)</f>
        <v/>
      </c>
    </row>
    <row r="343" spans="1:8" x14ac:dyDescent="0.2">
      <c r="A343" s="4">
        <v>341</v>
      </c>
      <c r="B343" s="3" t="str">
        <f>IF(Pieces!$C343="","",Pieces!$C343)</f>
        <v/>
      </c>
      <c r="C343" s="4" t="str">
        <f>IF(Pieces!$D343="","",Pieces!$D343)</f>
        <v/>
      </c>
      <c r="D343" s="4" t="str">
        <f>IF(Pieces!$E343="","",Pieces!$E343)</f>
        <v/>
      </c>
      <c r="E343" s="3" t="str">
        <f>IF(Pieces!$F343="","",Pieces!$F343)</f>
        <v/>
      </c>
      <c r="F343" s="4" t="str">
        <f>IF(Pieces!$G343="","",Pieces!$G343)</f>
        <v/>
      </c>
      <c r="G343" s="4" t="str">
        <f>IF(Pieces!$H343="","",Pieces!$H343)</f>
        <v/>
      </c>
      <c r="H343" s="4" t="str">
        <f>IF(Pieces!$I343="","",Pieces!$I343)</f>
        <v/>
      </c>
    </row>
    <row r="344" spans="1:8" x14ac:dyDescent="0.2">
      <c r="A344" s="4">
        <v>342</v>
      </c>
      <c r="B344" s="3" t="str">
        <f>IF(Pieces!$C344="","",Pieces!$C344)</f>
        <v/>
      </c>
      <c r="C344" s="4" t="str">
        <f>IF(Pieces!$D344="","",Pieces!$D344)</f>
        <v/>
      </c>
      <c r="D344" s="4" t="str">
        <f>IF(Pieces!$E344="","",Pieces!$E344)</f>
        <v/>
      </c>
      <c r="E344" s="3" t="str">
        <f>IF(Pieces!$F344="","",Pieces!$F344)</f>
        <v/>
      </c>
      <c r="F344" s="4" t="str">
        <f>IF(Pieces!$G344="","",Pieces!$G344)</f>
        <v/>
      </c>
      <c r="G344" s="4" t="str">
        <f>IF(Pieces!$H344="","",Pieces!$H344)</f>
        <v/>
      </c>
      <c r="H344" s="4" t="str">
        <f>IF(Pieces!$I344="","",Pieces!$I344)</f>
        <v/>
      </c>
    </row>
    <row r="345" spans="1:8" x14ac:dyDescent="0.2">
      <c r="A345" s="4">
        <v>343</v>
      </c>
      <c r="B345" s="3" t="str">
        <f>IF(Pieces!$C345="","",Pieces!$C345)</f>
        <v/>
      </c>
      <c r="C345" s="4" t="str">
        <f>IF(Pieces!$D345="","",Pieces!$D345)</f>
        <v/>
      </c>
      <c r="D345" s="4" t="str">
        <f>IF(Pieces!$E345="","",Pieces!$E345)</f>
        <v/>
      </c>
      <c r="E345" s="3" t="str">
        <f>IF(Pieces!$F345="","",Pieces!$F345)</f>
        <v/>
      </c>
      <c r="F345" s="4" t="str">
        <f>IF(Pieces!$G345="","",Pieces!$G345)</f>
        <v/>
      </c>
      <c r="G345" s="4" t="str">
        <f>IF(Pieces!$H345="","",Pieces!$H345)</f>
        <v/>
      </c>
      <c r="H345" s="4" t="str">
        <f>IF(Pieces!$I345="","",Pieces!$I345)</f>
        <v/>
      </c>
    </row>
    <row r="346" spans="1:8" x14ac:dyDescent="0.2">
      <c r="A346" s="4">
        <v>344</v>
      </c>
      <c r="B346" s="3" t="str">
        <f>IF(Pieces!$C346="","",Pieces!$C346)</f>
        <v/>
      </c>
      <c r="C346" s="4" t="str">
        <f>IF(Pieces!$D346="","",Pieces!$D346)</f>
        <v/>
      </c>
      <c r="D346" s="4" t="str">
        <f>IF(Pieces!$E346="","",Pieces!$E346)</f>
        <v/>
      </c>
      <c r="E346" s="3" t="str">
        <f>IF(Pieces!$F346="","",Pieces!$F346)</f>
        <v/>
      </c>
      <c r="F346" s="4" t="str">
        <f>IF(Pieces!$G346="","",Pieces!$G346)</f>
        <v/>
      </c>
      <c r="G346" s="4" t="str">
        <f>IF(Pieces!$H346="","",Pieces!$H346)</f>
        <v/>
      </c>
      <c r="H346" s="4" t="str">
        <f>IF(Pieces!$I346="","",Pieces!$I346)</f>
        <v/>
      </c>
    </row>
    <row r="347" spans="1:8" x14ac:dyDescent="0.2">
      <c r="A347" s="4">
        <v>345</v>
      </c>
      <c r="B347" s="3" t="str">
        <f>IF(Pieces!$C347="","",Pieces!$C347)</f>
        <v/>
      </c>
      <c r="C347" s="4" t="str">
        <f>IF(Pieces!$D347="","",Pieces!$D347)</f>
        <v/>
      </c>
      <c r="D347" s="4" t="str">
        <f>IF(Pieces!$E347="","",Pieces!$E347)</f>
        <v/>
      </c>
      <c r="E347" s="3" t="str">
        <f>IF(Pieces!$F347="","",Pieces!$F347)</f>
        <v/>
      </c>
      <c r="F347" s="4" t="str">
        <f>IF(Pieces!$G347="","",Pieces!$G347)</f>
        <v/>
      </c>
      <c r="G347" s="4" t="str">
        <f>IF(Pieces!$H347="","",Pieces!$H347)</f>
        <v/>
      </c>
      <c r="H347" s="4" t="str">
        <f>IF(Pieces!$I347="","",Pieces!$I347)</f>
        <v/>
      </c>
    </row>
    <row r="348" spans="1:8" x14ac:dyDescent="0.2">
      <c r="A348" s="4">
        <v>346</v>
      </c>
      <c r="B348" s="3" t="str">
        <f>IF(Pieces!$C348="","",Pieces!$C348)</f>
        <v/>
      </c>
      <c r="C348" s="4" t="str">
        <f>IF(Pieces!$D348="","",Pieces!$D348)</f>
        <v/>
      </c>
      <c r="D348" s="4" t="str">
        <f>IF(Pieces!$E348="","",Pieces!$E348)</f>
        <v/>
      </c>
      <c r="E348" s="3" t="str">
        <f>IF(Pieces!$F348="","",Pieces!$F348)</f>
        <v/>
      </c>
      <c r="F348" s="4" t="str">
        <f>IF(Pieces!$G348="","",Pieces!$G348)</f>
        <v/>
      </c>
      <c r="G348" s="4" t="str">
        <f>IF(Pieces!$H348="","",Pieces!$H348)</f>
        <v/>
      </c>
      <c r="H348" s="4" t="str">
        <f>IF(Pieces!$I348="","",Pieces!$I348)</f>
        <v/>
      </c>
    </row>
    <row r="349" spans="1:8" x14ac:dyDescent="0.2">
      <c r="A349" s="4">
        <v>347</v>
      </c>
      <c r="B349" s="3" t="str">
        <f>IF(Pieces!$C349="","",Pieces!$C349)</f>
        <v/>
      </c>
      <c r="C349" s="4" t="str">
        <f>IF(Pieces!$D349="","",Pieces!$D349)</f>
        <v/>
      </c>
      <c r="D349" s="4" t="str">
        <f>IF(Pieces!$E349="","",Pieces!$E349)</f>
        <v/>
      </c>
      <c r="E349" s="3" t="str">
        <f>IF(Pieces!$F349="","",Pieces!$F349)</f>
        <v/>
      </c>
      <c r="F349" s="4" t="str">
        <f>IF(Pieces!$G349="","",Pieces!$G349)</f>
        <v/>
      </c>
      <c r="G349" s="4" t="str">
        <f>IF(Pieces!$H349="","",Pieces!$H349)</f>
        <v/>
      </c>
      <c r="H349" s="4" t="str">
        <f>IF(Pieces!$I349="","",Pieces!$I349)</f>
        <v/>
      </c>
    </row>
    <row r="350" spans="1:8" x14ac:dyDescent="0.2">
      <c r="A350" s="4">
        <v>348</v>
      </c>
      <c r="B350" s="3" t="str">
        <f>IF(Pieces!$C350="","",Pieces!$C350)</f>
        <v/>
      </c>
      <c r="C350" s="4" t="str">
        <f>IF(Pieces!$D350="","",Pieces!$D350)</f>
        <v/>
      </c>
      <c r="D350" s="4" t="str">
        <f>IF(Pieces!$E350="","",Pieces!$E350)</f>
        <v/>
      </c>
      <c r="E350" s="3" t="str">
        <f>IF(Pieces!$F350="","",Pieces!$F350)</f>
        <v/>
      </c>
      <c r="F350" s="4" t="str">
        <f>IF(Pieces!$G350="","",Pieces!$G350)</f>
        <v/>
      </c>
      <c r="G350" s="4" t="str">
        <f>IF(Pieces!$H350="","",Pieces!$H350)</f>
        <v/>
      </c>
      <c r="H350" s="4" t="str">
        <f>IF(Pieces!$I350="","",Pieces!$I350)</f>
        <v/>
      </c>
    </row>
    <row r="351" spans="1:8" x14ac:dyDescent="0.2">
      <c r="A351" s="4">
        <v>349</v>
      </c>
      <c r="B351" s="3" t="str">
        <f>IF(Pieces!$C351="","",Pieces!$C351)</f>
        <v/>
      </c>
      <c r="C351" s="4" t="str">
        <f>IF(Pieces!$D351="","",Pieces!$D351)</f>
        <v/>
      </c>
      <c r="D351" s="4" t="str">
        <f>IF(Pieces!$E351="","",Pieces!$E351)</f>
        <v/>
      </c>
      <c r="E351" s="3" t="str">
        <f>IF(Pieces!$F351="","",Pieces!$F351)</f>
        <v/>
      </c>
      <c r="F351" s="4" t="str">
        <f>IF(Pieces!$G351="","",Pieces!$G351)</f>
        <v/>
      </c>
      <c r="G351" s="4" t="str">
        <f>IF(Pieces!$H351="","",Pieces!$H351)</f>
        <v/>
      </c>
      <c r="H351" s="4" t="str">
        <f>IF(Pieces!$I351="","",Pieces!$I351)</f>
        <v/>
      </c>
    </row>
    <row r="352" spans="1:8" x14ac:dyDescent="0.2">
      <c r="A352" s="4">
        <v>350</v>
      </c>
      <c r="B352" s="3" t="str">
        <f>IF(Pieces!$C352="","",Pieces!$C352)</f>
        <v/>
      </c>
      <c r="C352" s="4" t="str">
        <f>IF(Pieces!$D352="","",Pieces!$D352)</f>
        <v/>
      </c>
      <c r="D352" s="4" t="str">
        <f>IF(Pieces!$E352="","",Pieces!$E352)</f>
        <v/>
      </c>
      <c r="E352" s="3" t="str">
        <f>IF(Pieces!$F352="","",Pieces!$F352)</f>
        <v/>
      </c>
      <c r="F352" s="4" t="str">
        <f>IF(Pieces!$G352="","",Pieces!$G352)</f>
        <v/>
      </c>
      <c r="G352" s="4" t="str">
        <f>IF(Pieces!$H352="","",Pieces!$H352)</f>
        <v/>
      </c>
      <c r="H352" s="4" t="str">
        <f>IF(Pieces!$I352="","",Pieces!$I352)</f>
        <v/>
      </c>
    </row>
    <row r="353" spans="1:8" x14ac:dyDescent="0.2">
      <c r="A353" s="4">
        <v>351</v>
      </c>
      <c r="B353" s="3" t="str">
        <f>IF(Pieces!$C353="","",Pieces!$C353)</f>
        <v/>
      </c>
      <c r="C353" s="4" t="str">
        <f>IF(Pieces!$D353="","",Pieces!$D353)</f>
        <v/>
      </c>
      <c r="D353" s="4" t="str">
        <f>IF(Pieces!$E353="","",Pieces!$E353)</f>
        <v/>
      </c>
      <c r="E353" s="3" t="str">
        <f>IF(Pieces!$F353="","",Pieces!$F353)</f>
        <v/>
      </c>
      <c r="F353" s="4" t="str">
        <f>IF(Pieces!$G353="","",Pieces!$G353)</f>
        <v/>
      </c>
      <c r="G353" s="4" t="str">
        <f>IF(Pieces!$H353="","",Pieces!$H353)</f>
        <v/>
      </c>
      <c r="H353" s="4" t="str">
        <f>IF(Pieces!$I353="","",Pieces!$I353)</f>
        <v/>
      </c>
    </row>
    <row r="354" spans="1:8" x14ac:dyDescent="0.2">
      <c r="A354" s="4">
        <v>352</v>
      </c>
      <c r="B354" s="3" t="str">
        <f>IF(Pieces!$C354="","",Pieces!$C354)</f>
        <v/>
      </c>
      <c r="C354" s="4" t="str">
        <f>IF(Pieces!$D354="","",Pieces!$D354)</f>
        <v/>
      </c>
      <c r="D354" s="4" t="str">
        <f>IF(Pieces!$E354="","",Pieces!$E354)</f>
        <v/>
      </c>
      <c r="E354" s="3" t="str">
        <f>IF(Pieces!$F354="","",Pieces!$F354)</f>
        <v/>
      </c>
      <c r="F354" s="4" t="str">
        <f>IF(Pieces!$G354="","",Pieces!$G354)</f>
        <v/>
      </c>
      <c r="G354" s="4" t="str">
        <f>IF(Pieces!$H354="","",Pieces!$H354)</f>
        <v/>
      </c>
      <c r="H354" s="4" t="str">
        <f>IF(Pieces!$I354="","",Pieces!$I354)</f>
        <v/>
      </c>
    </row>
    <row r="355" spans="1:8" x14ac:dyDescent="0.2">
      <c r="A355" s="4">
        <v>353</v>
      </c>
      <c r="B355" s="3" t="str">
        <f>IF(Pieces!$C355="","",Pieces!$C355)</f>
        <v/>
      </c>
      <c r="C355" s="4" t="str">
        <f>IF(Pieces!$D355="","",Pieces!$D355)</f>
        <v/>
      </c>
      <c r="D355" s="4" t="str">
        <f>IF(Pieces!$E355="","",Pieces!$E355)</f>
        <v/>
      </c>
      <c r="E355" s="3" t="str">
        <f>IF(Pieces!$F355="","",Pieces!$F355)</f>
        <v/>
      </c>
      <c r="F355" s="4" t="str">
        <f>IF(Pieces!$G355="","",Pieces!$G355)</f>
        <v/>
      </c>
      <c r="G355" s="4" t="str">
        <f>IF(Pieces!$H355="","",Pieces!$H355)</f>
        <v/>
      </c>
      <c r="H355" s="4" t="str">
        <f>IF(Pieces!$I355="","",Pieces!$I355)</f>
        <v/>
      </c>
    </row>
    <row r="356" spans="1:8" x14ac:dyDescent="0.2">
      <c r="A356" s="4">
        <v>354</v>
      </c>
      <c r="B356" s="3" t="str">
        <f>IF(Pieces!$C356="","",Pieces!$C356)</f>
        <v/>
      </c>
      <c r="C356" s="4" t="str">
        <f>IF(Pieces!$D356="","",Pieces!$D356)</f>
        <v/>
      </c>
      <c r="D356" s="4" t="str">
        <f>IF(Pieces!$E356="","",Pieces!$E356)</f>
        <v/>
      </c>
      <c r="E356" s="3" t="str">
        <f>IF(Pieces!$F356="","",Pieces!$F356)</f>
        <v/>
      </c>
      <c r="F356" s="4" t="str">
        <f>IF(Pieces!$G356="","",Pieces!$G356)</f>
        <v/>
      </c>
      <c r="G356" s="4" t="str">
        <f>IF(Pieces!$H356="","",Pieces!$H356)</f>
        <v/>
      </c>
      <c r="H356" s="4" t="str">
        <f>IF(Pieces!$I356="","",Pieces!$I356)</f>
        <v/>
      </c>
    </row>
    <row r="357" spans="1:8" x14ac:dyDescent="0.2">
      <c r="A357" s="4">
        <v>355</v>
      </c>
      <c r="B357" s="3" t="str">
        <f>IF(Pieces!$C357="","",Pieces!$C357)</f>
        <v/>
      </c>
      <c r="C357" s="4" t="str">
        <f>IF(Pieces!$D357="","",Pieces!$D357)</f>
        <v/>
      </c>
      <c r="D357" s="4" t="str">
        <f>IF(Pieces!$E357="","",Pieces!$E357)</f>
        <v/>
      </c>
      <c r="E357" s="3" t="str">
        <f>IF(Pieces!$F357="","",Pieces!$F357)</f>
        <v/>
      </c>
      <c r="F357" s="4" t="str">
        <f>IF(Pieces!$G357="","",Pieces!$G357)</f>
        <v/>
      </c>
      <c r="G357" s="4" t="str">
        <f>IF(Pieces!$H357="","",Pieces!$H357)</f>
        <v/>
      </c>
      <c r="H357" s="4" t="str">
        <f>IF(Pieces!$I357="","",Pieces!$I357)</f>
        <v/>
      </c>
    </row>
    <row r="358" spans="1:8" x14ac:dyDescent="0.2">
      <c r="A358" s="4">
        <v>356</v>
      </c>
      <c r="B358" s="3" t="str">
        <f>IF(Pieces!$C358="","",Pieces!$C358)</f>
        <v/>
      </c>
      <c r="C358" s="4" t="str">
        <f>IF(Pieces!$D358="","",Pieces!$D358)</f>
        <v/>
      </c>
      <c r="D358" s="4" t="str">
        <f>IF(Pieces!$E358="","",Pieces!$E358)</f>
        <v/>
      </c>
      <c r="E358" s="3" t="str">
        <f>IF(Pieces!$F358="","",Pieces!$F358)</f>
        <v/>
      </c>
      <c r="F358" s="4" t="str">
        <f>IF(Pieces!$G358="","",Pieces!$G358)</f>
        <v/>
      </c>
      <c r="G358" s="4" t="str">
        <f>IF(Pieces!$H358="","",Pieces!$H358)</f>
        <v/>
      </c>
      <c r="H358" s="4" t="str">
        <f>IF(Pieces!$I358="","",Pieces!$I358)</f>
        <v/>
      </c>
    </row>
    <row r="359" spans="1:8" x14ac:dyDescent="0.2">
      <c r="A359" s="4">
        <v>357</v>
      </c>
      <c r="B359" s="3" t="str">
        <f>IF(Pieces!$C359="","",Pieces!$C359)</f>
        <v/>
      </c>
      <c r="C359" s="4" t="str">
        <f>IF(Pieces!$D359="","",Pieces!$D359)</f>
        <v/>
      </c>
      <c r="D359" s="4" t="str">
        <f>IF(Pieces!$E359="","",Pieces!$E359)</f>
        <v/>
      </c>
      <c r="E359" s="3" t="str">
        <f>IF(Pieces!$F359="","",Pieces!$F359)</f>
        <v/>
      </c>
      <c r="F359" s="4" t="str">
        <f>IF(Pieces!$G359="","",Pieces!$G359)</f>
        <v/>
      </c>
      <c r="G359" s="4" t="str">
        <f>IF(Pieces!$H359="","",Pieces!$H359)</f>
        <v/>
      </c>
      <c r="H359" s="4" t="str">
        <f>IF(Pieces!$I359="","",Pieces!$I359)</f>
        <v/>
      </c>
    </row>
    <row r="360" spans="1:8" x14ac:dyDescent="0.2">
      <c r="A360" s="4">
        <v>358</v>
      </c>
      <c r="B360" s="3" t="str">
        <f>IF(Pieces!$C360="","",Pieces!$C360)</f>
        <v/>
      </c>
      <c r="C360" s="4" t="str">
        <f>IF(Pieces!$D360="","",Pieces!$D360)</f>
        <v/>
      </c>
      <c r="D360" s="4" t="str">
        <f>IF(Pieces!$E360="","",Pieces!$E360)</f>
        <v/>
      </c>
      <c r="E360" s="3" t="str">
        <f>IF(Pieces!$F360="","",Pieces!$F360)</f>
        <v/>
      </c>
      <c r="F360" s="4" t="str">
        <f>IF(Pieces!$G360="","",Pieces!$G360)</f>
        <v/>
      </c>
      <c r="G360" s="4" t="str">
        <f>IF(Pieces!$H360="","",Pieces!$H360)</f>
        <v/>
      </c>
      <c r="H360" s="4" t="str">
        <f>IF(Pieces!$I360="","",Pieces!$I360)</f>
        <v/>
      </c>
    </row>
    <row r="361" spans="1:8" x14ac:dyDescent="0.2">
      <c r="A361" s="4">
        <v>359</v>
      </c>
      <c r="B361" s="3" t="str">
        <f>IF(Pieces!$C361="","",Pieces!$C361)</f>
        <v/>
      </c>
      <c r="C361" s="4" t="str">
        <f>IF(Pieces!$D361="","",Pieces!$D361)</f>
        <v/>
      </c>
      <c r="D361" s="4" t="str">
        <f>IF(Pieces!$E361="","",Pieces!$E361)</f>
        <v/>
      </c>
      <c r="E361" s="3" t="str">
        <f>IF(Pieces!$F361="","",Pieces!$F361)</f>
        <v/>
      </c>
      <c r="F361" s="4" t="str">
        <f>IF(Pieces!$G361="","",Pieces!$G361)</f>
        <v/>
      </c>
      <c r="G361" s="4" t="str">
        <f>IF(Pieces!$H361="","",Pieces!$H361)</f>
        <v/>
      </c>
      <c r="H361" s="4" t="str">
        <f>IF(Pieces!$I361="","",Pieces!$I361)</f>
        <v/>
      </c>
    </row>
    <row r="362" spans="1:8" x14ac:dyDescent="0.2">
      <c r="A362" s="4">
        <v>360</v>
      </c>
      <c r="B362" s="3" t="str">
        <f>IF(Pieces!$C362="","",Pieces!$C362)</f>
        <v/>
      </c>
      <c r="C362" s="4" t="str">
        <f>IF(Pieces!$D362="","",Pieces!$D362)</f>
        <v/>
      </c>
      <c r="D362" s="4" t="str">
        <f>IF(Pieces!$E362="","",Pieces!$E362)</f>
        <v/>
      </c>
      <c r="E362" s="3" t="str">
        <f>IF(Pieces!$F362="","",Pieces!$F362)</f>
        <v/>
      </c>
      <c r="F362" s="4" t="str">
        <f>IF(Pieces!$G362="","",Pieces!$G362)</f>
        <v/>
      </c>
      <c r="G362" s="4" t="str">
        <f>IF(Pieces!$H362="","",Pieces!$H362)</f>
        <v/>
      </c>
      <c r="H362" s="4" t="str">
        <f>IF(Pieces!$I362="","",Pieces!$I362)</f>
        <v/>
      </c>
    </row>
    <row r="363" spans="1:8" x14ac:dyDescent="0.2">
      <c r="A363" s="4">
        <v>361</v>
      </c>
      <c r="B363" s="3" t="str">
        <f>IF(Pieces!$C363="","",Pieces!$C363)</f>
        <v/>
      </c>
      <c r="C363" s="4" t="str">
        <f>IF(Pieces!$D363="","",Pieces!$D363)</f>
        <v/>
      </c>
      <c r="D363" s="4" t="str">
        <f>IF(Pieces!$E363="","",Pieces!$E363)</f>
        <v/>
      </c>
      <c r="E363" s="3" t="str">
        <f>IF(Pieces!$F363="","",Pieces!$F363)</f>
        <v/>
      </c>
      <c r="F363" s="4" t="str">
        <f>IF(Pieces!$G363="","",Pieces!$G363)</f>
        <v/>
      </c>
      <c r="G363" s="4" t="str">
        <f>IF(Pieces!$H363="","",Pieces!$H363)</f>
        <v/>
      </c>
      <c r="H363" s="4" t="str">
        <f>IF(Pieces!$I363="","",Pieces!$I363)</f>
        <v/>
      </c>
    </row>
    <row r="364" spans="1:8" x14ac:dyDescent="0.2">
      <c r="A364" s="4">
        <v>362</v>
      </c>
      <c r="B364" s="3" t="str">
        <f>IF(Pieces!$C364="","",Pieces!$C364)</f>
        <v/>
      </c>
      <c r="C364" s="4" t="str">
        <f>IF(Pieces!$D364="","",Pieces!$D364)</f>
        <v/>
      </c>
      <c r="D364" s="4" t="str">
        <f>IF(Pieces!$E364="","",Pieces!$E364)</f>
        <v/>
      </c>
      <c r="E364" s="3" t="str">
        <f>IF(Pieces!$F364="","",Pieces!$F364)</f>
        <v/>
      </c>
      <c r="F364" s="4" t="str">
        <f>IF(Pieces!$G364="","",Pieces!$G364)</f>
        <v/>
      </c>
      <c r="G364" s="4" t="str">
        <f>IF(Pieces!$H364="","",Pieces!$H364)</f>
        <v/>
      </c>
      <c r="H364" s="4" t="str">
        <f>IF(Pieces!$I364="","",Pieces!$I364)</f>
        <v/>
      </c>
    </row>
    <row r="365" spans="1:8" x14ac:dyDescent="0.2">
      <c r="A365" s="4">
        <v>363</v>
      </c>
      <c r="B365" s="3" t="str">
        <f>IF(Pieces!$C365="","",Pieces!$C365)</f>
        <v/>
      </c>
      <c r="C365" s="4" t="str">
        <f>IF(Pieces!$D365="","",Pieces!$D365)</f>
        <v/>
      </c>
      <c r="D365" s="4" t="str">
        <f>IF(Pieces!$E365="","",Pieces!$E365)</f>
        <v/>
      </c>
      <c r="E365" s="3" t="str">
        <f>IF(Pieces!$F365="","",Pieces!$F365)</f>
        <v/>
      </c>
      <c r="F365" s="4" t="str">
        <f>IF(Pieces!$G365="","",Pieces!$G365)</f>
        <v/>
      </c>
      <c r="G365" s="4" t="str">
        <f>IF(Pieces!$H365="","",Pieces!$H365)</f>
        <v/>
      </c>
      <c r="H365" s="4" t="str">
        <f>IF(Pieces!$I365="","",Pieces!$I365)</f>
        <v/>
      </c>
    </row>
    <row r="366" spans="1:8" x14ac:dyDescent="0.2">
      <c r="A366" s="4">
        <v>364</v>
      </c>
      <c r="B366" s="3" t="str">
        <f>IF(Pieces!$C366="","",Pieces!$C366)</f>
        <v/>
      </c>
      <c r="C366" s="4" t="str">
        <f>IF(Pieces!$D366="","",Pieces!$D366)</f>
        <v/>
      </c>
      <c r="D366" s="4" t="str">
        <f>IF(Pieces!$E366="","",Pieces!$E366)</f>
        <v/>
      </c>
      <c r="E366" s="3" t="str">
        <f>IF(Pieces!$F366="","",Pieces!$F366)</f>
        <v/>
      </c>
      <c r="F366" s="4" t="str">
        <f>IF(Pieces!$G366="","",Pieces!$G366)</f>
        <v/>
      </c>
      <c r="G366" s="4" t="str">
        <f>IF(Pieces!$H366="","",Pieces!$H366)</f>
        <v/>
      </c>
      <c r="H366" s="4" t="str">
        <f>IF(Pieces!$I366="","",Pieces!$I366)</f>
        <v/>
      </c>
    </row>
    <row r="367" spans="1:8" x14ac:dyDescent="0.2">
      <c r="A367" s="4">
        <v>365</v>
      </c>
      <c r="B367" s="3" t="str">
        <f>IF(Pieces!$C367="","",Pieces!$C367)</f>
        <v/>
      </c>
      <c r="C367" s="4" t="str">
        <f>IF(Pieces!$D367="","",Pieces!$D367)</f>
        <v/>
      </c>
      <c r="D367" s="4" t="str">
        <f>IF(Pieces!$E367="","",Pieces!$E367)</f>
        <v/>
      </c>
      <c r="E367" s="3" t="str">
        <f>IF(Pieces!$F367="","",Pieces!$F367)</f>
        <v/>
      </c>
      <c r="F367" s="4" t="str">
        <f>IF(Pieces!$G367="","",Pieces!$G367)</f>
        <v/>
      </c>
      <c r="G367" s="4" t="str">
        <f>IF(Pieces!$H367="","",Pieces!$H367)</f>
        <v/>
      </c>
      <c r="H367" s="4" t="str">
        <f>IF(Pieces!$I367="","",Pieces!$I367)</f>
        <v/>
      </c>
    </row>
    <row r="368" spans="1:8" x14ac:dyDescent="0.2">
      <c r="A368" s="4">
        <v>366</v>
      </c>
      <c r="B368" s="3" t="str">
        <f>IF(Pieces!$C368="","",Pieces!$C368)</f>
        <v/>
      </c>
      <c r="C368" s="4" t="str">
        <f>IF(Pieces!$D368="","",Pieces!$D368)</f>
        <v/>
      </c>
      <c r="D368" s="4" t="str">
        <f>IF(Pieces!$E368="","",Pieces!$E368)</f>
        <v/>
      </c>
      <c r="E368" s="3" t="str">
        <f>IF(Pieces!$F368="","",Pieces!$F368)</f>
        <v/>
      </c>
      <c r="F368" s="4" t="str">
        <f>IF(Pieces!$G368="","",Pieces!$G368)</f>
        <v/>
      </c>
      <c r="G368" s="4" t="str">
        <f>IF(Pieces!$H368="","",Pieces!$H368)</f>
        <v/>
      </c>
      <c r="H368" s="4" t="str">
        <f>IF(Pieces!$I368="","",Pieces!$I368)</f>
        <v/>
      </c>
    </row>
    <row r="369" spans="1:8" x14ac:dyDescent="0.2">
      <c r="A369" s="4">
        <v>367</v>
      </c>
      <c r="B369" s="3" t="str">
        <f>IF(Pieces!$C369="","",Pieces!$C369)</f>
        <v/>
      </c>
      <c r="C369" s="4" t="str">
        <f>IF(Pieces!$D369="","",Pieces!$D369)</f>
        <v/>
      </c>
      <c r="D369" s="4" t="str">
        <f>IF(Pieces!$E369="","",Pieces!$E369)</f>
        <v/>
      </c>
      <c r="E369" s="3" t="str">
        <f>IF(Pieces!$F369="","",Pieces!$F369)</f>
        <v/>
      </c>
      <c r="F369" s="4" t="str">
        <f>IF(Pieces!$G369="","",Pieces!$G369)</f>
        <v/>
      </c>
      <c r="G369" s="4" t="str">
        <f>IF(Pieces!$H369="","",Pieces!$H369)</f>
        <v/>
      </c>
      <c r="H369" s="4" t="str">
        <f>IF(Pieces!$I369="","",Pieces!$I369)</f>
        <v/>
      </c>
    </row>
    <row r="370" spans="1:8" x14ac:dyDescent="0.2">
      <c r="A370" s="4">
        <v>368</v>
      </c>
      <c r="B370" s="3" t="str">
        <f>IF(Pieces!$C370="","",Pieces!$C370)</f>
        <v/>
      </c>
      <c r="C370" s="4" t="str">
        <f>IF(Pieces!$D370="","",Pieces!$D370)</f>
        <v/>
      </c>
      <c r="D370" s="4" t="str">
        <f>IF(Pieces!$E370="","",Pieces!$E370)</f>
        <v/>
      </c>
      <c r="E370" s="3" t="str">
        <f>IF(Pieces!$F370="","",Pieces!$F370)</f>
        <v/>
      </c>
      <c r="F370" s="4" t="str">
        <f>IF(Pieces!$G370="","",Pieces!$G370)</f>
        <v/>
      </c>
      <c r="G370" s="4" t="str">
        <f>IF(Pieces!$H370="","",Pieces!$H370)</f>
        <v/>
      </c>
      <c r="H370" s="4" t="str">
        <f>IF(Pieces!$I370="","",Pieces!$I370)</f>
        <v/>
      </c>
    </row>
    <row r="371" spans="1:8" x14ac:dyDescent="0.2">
      <c r="A371" s="4">
        <v>369</v>
      </c>
      <c r="B371" s="3" t="str">
        <f>IF(Pieces!$C371="","",Pieces!$C371)</f>
        <v/>
      </c>
      <c r="C371" s="4" t="str">
        <f>IF(Pieces!$D371="","",Pieces!$D371)</f>
        <v/>
      </c>
      <c r="D371" s="4" t="str">
        <f>IF(Pieces!$E371="","",Pieces!$E371)</f>
        <v/>
      </c>
      <c r="E371" s="3" t="str">
        <f>IF(Pieces!$F371="","",Pieces!$F371)</f>
        <v/>
      </c>
      <c r="F371" s="4" t="str">
        <f>IF(Pieces!$G371="","",Pieces!$G371)</f>
        <v/>
      </c>
      <c r="G371" s="4" t="str">
        <f>IF(Pieces!$H371="","",Pieces!$H371)</f>
        <v/>
      </c>
      <c r="H371" s="4" t="str">
        <f>IF(Pieces!$I371="","",Pieces!$I371)</f>
        <v/>
      </c>
    </row>
    <row r="372" spans="1:8" x14ac:dyDescent="0.2">
      <c r="A372" s="4">
        <v>370</v>
      </c>
      <c r="B372" s="3" t="str">
        <f>IF(Pieces!$C372="","",Pieces!$C372)</f>
        <v/>
      </c>
      <c r="C372" s="4" t="str">
        <f>IF(Pieces!$D372="","",Pieces!$D372)</f>
        <v/>
      </c>
      <c r="D372" s="4" t="str">
        <f>IF(Pieces!$E372="","",Pieces!$E372)</f>
        <v/>
      </c>
      <c r="E372" s="3" t="str">
        <f>IF(Pieces!$F372="","",Pieces!$F372)</f>
        <v/>
      </c>
      <c r="F372" s="4" t="str">
        <f>IF(Pieces!$G372="","",Pieces!$G372)</f>
        <v/>
      </c>
      <c r="G372" s="4" t="str">
        <f>IF(Pieces!$H372="","",Pieces!$H372)</f>
        <v/>
      </c>
      <c r="H372" s="4" t="str">
        <f>IF(Pieces!$I372="","",Pieces!$I372)</f>
        <v/>
      </c>
    </row>
    <row r="373" spans="1:8" x14ac:dyDescent="0.2">
      <c r="A373" s="4">
        <v>371</v>
      </c>
      <c r="B373" s="3" t="str">
        <f>IF(Pieces!$C373="","",Pieces!$C373)</f>
        <v/>
      </c>
      <c r="C373" s="4" t="str">
        <f>IF(Pieces!$D373="","",Pieces!$D373)</f>
        <v/>
      </c>
      <c r="D373" s="4" t="str">
        <f>IF(Pieces!$E373="","",Pieces!$E373)</f>
        <v/>
      </c>
      <c r="E373" s="3" t="str">
        <f>IF(Pieces!$F373="","",Pieces!$F373)</f>
        <v/>
      </c>
      <c r="F373" s="4" t="str">
        <f>IF(Pieces!$G373="","",Pieces!$G373)</f>
        <v/>
      </c>
      <c r="G373" s="4" t="str">
        <f>IF(Pieces!$H373="","",Pieces!$H373)</f>
        <v/>
      </c>
      <c r="H373" s="4" t="str">
        <f>IF(Pieces!$I373="","",Pieces!$I373)</f>
        <v/>
      </c>
    </row>
    <row r="374" spans="1:8" x14ac:dyDescent="0.2">
      <c r="A374" s="4">
        <v>372</v>
      </c>
      <c r="B374" s="3" t="str">
        <f>IF(Pieces!$C374="","",Pieces!$C374)</f>
        <v/>
      </c>
      <c r="C374" s="4" t="str">
        <f>IF(Pieces!$D374="","",Pieces!$D374)</f>
        <v/>
      </c>
      <c r="D374" s="4" t="str">
        <f>IF(Pieces!$E374="","",Pieces!$E374)</f>
        <v/>
      </c>
      <c r="E374" s="3" t="str">
        <f>IF(Pieces!$F374="","",Pieces!$F374)</f>
        <v/>
      </c>
      <c r="F374" s="4" t="str">
        <f>IF(Pieces!$G374="","",Pieces!$G374)</f>
        <v/>
      </c>
      <c r="G374" s="4" t="str">
        <f>IF(Pieces!$H374="","",Pieces!$H374)</f>
        <v/>
      </c>
      <c r="H374" s="4" t="str">
        <f>IF(Pieces!$I374="","",Pieces!$I374)</f>
        <v/>
      </c>
    </row>
    <row r="375" spans="1:8" x14ac:dyDescent="0.2">
      <c r="A375" s="4">
        <v>373</v>
      </c>
      <c r="B375" s="3" t="str">
        <f>IF(Pieces!$C375="","",Pieces!$C375)</f>
        <v/>
      </c>
      <c r="C375" s="4" t="str">
        <f>IF(Pieces!$D375="","",Pieces!$D375)</f>
        <v/>
      </c>
      <c r="D375" s="4" t="str">
        <f>IF(Pieces!$E375="","",Pieces!$E375)</f>
        <v/>
      </c>
      <c r="E375" s="3" t="str">
        <f>IF(Pieces!$F375="","",Pieces!$F375)</f>
        <v/>
      </c>
      <c r="F375" s="4" t="str">
        <f>IF(Pieces!$G375="","",Pieces!$G375)</f>
        <v/>
      </c>
      <c r="G375" s="4" t="str">
        <f>IF(Pieces!$H375="","",Pieces!$H375)</f>
        <v/>
      </c>
      <c r="H375" s="4" t="str">
        <f>IF(Pieces!$I375="","",Pieces!$I375)</f>
        <v/>
      </c>
    </row>
    <row r="376" spans="1:8" x14ac:dyDescent="0.2">
      <c r="A376" s="4">
        <v>374</v>
      </c>
      <c r="B376" s="3" t="str">
        <f>IF(Pieces!$C376="","",Pieces!$C376)</f>
        <v/>
      </c>
      <c r="C376" s="4" t="str">
        <f>IF(Pieces!$D376="","",Pieces!$D376)</f>
        <v/>
      </c>
      <c r="D376" s="4" t="str">
        <f>IF(Pieces!$E376="","",Pieces!$E376)</f>
        <v/>
      </c>
      <c r="E376" s="3" t="str">
        <f>IF(Pieces!$F376="","",Pieces!$F376)</f>
        <v/>
      </c>
      <c r="F376" s="4" t="str">
        <f>IF(Pieces!$G376="","",Pieces!$G376)</f>
        <v/>
      </c>
      <c r="G376" s="4" t="str">
        <f>IF(Pieces!$H376="","",Pieces!$H376)</f>
        <v/>
      </c>
      <c r="H376" s="4" t="str">
        <f>IF(Pieces!$I376="","",Pieces!$I376)</f>
        <v/>
      </c>
    </row>
    <row r="377" spans="1:8" x14ac:dyDescent="0.2">
      <c r="A377" s="4">
        <v>375</v>
      </c>
      <c r="B377" s="3" t="str">
        <f>IF(Pieces!$C377="","",Pieces!$C377)</f>
        <v/>
      </c>
      <c r="C377" s="4" t="str">
        <f>IF(Pieces!$D377="","",Pieces!$D377)</f>
        <v/>
      </c>
      <c r="D377" s="4" t="str">
        <f>IF(Pieces!$E377="","",Pieces!$E377)</f>
        <v/>
      </c>
      <c r="E377" s="3" t="str">
        <f>IF(Pieces!$F377="","",Pieces!$F377)</f>
        <v/>
      </c>
      <c r="F377" s="4" t="str">
        <f>IF(Pieces!$G377="","",Pieces!$G377)</f>
        <v/>
      </c>
      <c r="G377" s="4" t="str">
        <f>IF(Pieces!$H377="","",Pieces!$H377)</f>
        <v/>
      </c>
      <c r="H377" s="4" t="str">
        <f>IF(Pieces!$I377="","",Pieces!$I377)</f>
        <v/>
      </c>
    </row>
    <row r="378" spans="1:8" x14ac:dyDescent="0.2">
      <c r="A378" s="4">
        <v>376</v>
      </c>
      <c r="B378" s="3" t="str">
        <f>IF(Pieces!$C378="","",Pieces!$C378)</f>
        <v/>
      </c>
      <c r="C378" s="4" t="str">
        <f>IF(Pieces!$D378="","",Pieces!$D378)</f>
        <v/>
      </c>
      <c r="D378" s="4" t="str">
        <f>IF(Pieces!$E378="","",Pieces!$E378)</f>
        <v/>
      </c>
      <c r="E378" s="3" t="str">
        <f>IF(Pieces!$F378="","",Pieces!$F378)</f>
        <v/>
      </c>
      <c r="F378" s="4" t="str">
        <f>IF(Pieces!$G378="","",Pieces!$G378)</f>
        <v/>
      </c>
      <c r="G378" s="4" t="str">
        <f>IF(Pieces!$H378="","",Pieces!$H378)</f>
        <v/>
      </c>
      <c r="H378" s="4" t="str">
        <f>IF(Pieces!$I378="","",Pieces!$I378)</f>
        <v/>
      </c>
    </row>
    <row r="379" spans="1:8" x14ac:dyDescent="0.2">
      <c r="A379" s="4">
        <v>377</v>
      </c>
      <c r="B379" s="3" t="str">
        <f>IF(Pieces!$C379="","",Pieces!$C379)</f>
        <v/>
      </c>
      <c r="C379" s="4" t="str">
        <f>IF(Pieces!$D379="","",Pieces!$D379)</f>
        <v/>
      </c>
      <c r="D379" s="4" t="str">
        <f>IF(Pieces!$E379="","",Pieces!$E379)</f>
        <v/>
      </c>
      <c r="E379" s="3" t="str">
        <f>IF(Pieces!$F379="","",Pieces!$F379)</f>
        <v/>
      </c>
      <c r="F379" s="4" t="str">
        <f>IF(Pieces!$G379="","",Pieces!$G379)</f>
        <v/>
      </c>
      <c r="G379" s="4" t="str">
        <f>IF(Pieces!$H379="","",Pieces!$H379)</f>
        <v/>
      </c>
      <c r="H379" s="4" t="str">
        <f>IF(Pieces!$I379="","",Pieces!$I379)</f>
        <v/>
      </c>
    </row>
    <row r="380" spans="1:8" x14ac:dyDescent="0.2">
      <c r="A380" s="4">
        <v>378</v>
      </c>
      <c r="B380" s="3" t="str">
        <f>IF(Pieces!$C380="","",Pieces!$C380)</f>
        <v/>
      </c>
      <c r="C380" s="4" t="str">
        <f>IF(Pieces!$D380="","",Pieces!$D380)</f>
        <v/>
      </c>
      <c r="D380" s="4" t="str">
        <f>IF(Pieces!$E380="","",Pieces!$E380)</f>
        <v/>
      </c>
      <c r="E380" s="3" t="str">
        <f>IF(Pieces!$F380="","",Pieces!$F380)</f>
        <v/>
      </c>
      <c r="F380" s="4" t="str">
        <f>IF(Pieces!$G380="","",Pieces!$G380)</f>
        <v/>
      </c>
      <c r="G380" s="4" t="str">
        <f>IF(Pieces!$H380="","",Pieces!$H380)</f>
        <v/>
      </c>
      <c r="H380" s="4" t="str">
        <f>IF(Pieces!$I380="","",Pieces!$I380)</f>
        <v/>
      </c>
    </row>
    <row r="381" spans="1:8" x14ac:dyDescent="0.2">
      <c r="A381" s="4">
        <v>379</v>
      </c>
      <c r="B381" s="3" t="str">
        <f>IF(Pieces!$C381="","",Pieces!$C381)</f>
        <v/>
      </c>
      <c r="C381" s="4" t="str">
        <f>IF(Pieces!$D381="","",Pieces!$D381)</f>
        <v/>
      </c>
      <c r="D381" s="4" t="str">
        <f>IF(Pieces!$E381="","",Pieces!$E381)</f>
        <v/>
      </c>
      <c r="E381" s="3" t="str">
        <f>IF(Pieces!$F381="","",Pieces!$F381)</f>
        <v/>
      </c>
      <c r="F381" s="4" t="str">
        <f>IF(Pieces!$G381="","",Pieces!$G381)</f>
        <v/>
      </c>
      <c r="G381" s="4" t="str">
        <f>IF(Pieces!$H381="","",Pieces!$H381)</f>
        <v/>
      </c>
      <c r="H381" s="4" t="str">
        <f>IF(Pieces!$I381="","",Pieces!$I381)</f>
        <v/>
      </c>
    </row>
    <row r="382" spans="1:8" x14ac:dyDescent="0.2">
      <c r="A382" s="4">
        <v>380</v>
      </c>
      <c r="B382" s="3" t="str">
        <f>IF(Pieces!$C382="","",Pieces!$C382)</f>
        <v/>
      </c>
      <c r="C382" s="4" t="str">
        <f>IF(Pieces!$D382="","",Pieces!$D382)</f>
        <v/>
      </c>
      <c r="D382" s="4" t="str">
        <f>IF(Pieces!$E382="","",Pieces!$E382)</f>
        <v/>
      </c>
      <c r="E382" s="3" t="str">
        <f>IF(Pieces!$F382="","",Pieces!$F382)</f>
        <v/>
      </c>
      <c r="F382" s="4" t="str">
        <f>IF(Pieces!$G382="","",Pieces!$G382)</f>
        <v/>
      </c>
      <c r="G382" s="4" t="str">
        <f>IF(Pieces!$H382="","",Pieces!$H382)</f>
        <v/>
      </c>
      <c r="H382" s="4" t="str">
        <f>IF(Pieces!$I382="","",Pieces!$I382)</f>
        <v/>
      </c>
    </row>
    <row r="383" spans="1:8" x14ac:dyDescent="0.2">
      <c r="A383" s="4">
        <v>381</v>
      </c>
      <c r="B383" s="3" t="str">
        <f>IF(Pieces!$C383="","",Pieces!$C383)</f>
        <v/>
      </c>
      <c r="C383" s="4" t="str">
        <f>IF(Pieces!$D383="","",Pieces!$D383)</f>
        <v/>
      </c>
      <c r="D383" s="4" t="str">
        <f>IF(Pieces!$E383="","",Pieces!$E383)</f>
        <v/>
      </c>
      <c r="E383" s="3" t="str">
        <f>IF(Pieces!$F383="","",Pieces!$F383)</f>
        <v/>
      </c>
      <c r="F383" s="4" t="str">
        <f>IF(Pieces!$G383="","",Pieces!$G383)</f>
        <v/>
      </c>
      <c r="G383" s="4" t="str">
        <f>IF(Pieces!$H383="","",Pieces!$H383)</f>
        <v/>
      </c>
      <c r="H383" s="4" t="str">
        <f>IF(Pieces!$I383="","",Pieces!$I383)</f>
        <v/>
      </c>
    </row>
    <row r="384" spans="1:8" x14ac:dyDescent="0.2">
      <c r="A384" s="4">
        <v>382</v>
      </c>
      <c r="B384" s="3" t="str">
        <f>IF(Pieces!$C384="","",Pieces!$C384)</f>
        <v/>
      </c>
      <c r="C384" s="4" t="str">
        <f>IF(Pieces!$D384="","",Pieces!$D384)</f>
        <v/>
      </c>
      <c r="D384" s="4" t="str">
        <f>IF(Pieces!$E384="","",Pieces!$E384)</f>
        <v/>
      </c>
      <c r="E384" s="3" t="str">
        <f>IF(Pieces!$F384="","",Pieces!$F384)</f>
        <v/>
      </c>
      <c r="F384" s="4" t="str">
        <f>IF(Pieces!$G384="","",Pieces!$G384)</f>
        <v/>
      </c>
      <c r="G384" s="4" t="str">
        <f>IF(Pieces!$H384="","",Pieces!$H384)</f>
        <v/>
      </c>
      <c r="H384" s="4" t="str">
        <f>IF(Pieces!$I384="","",Pieces!$I384)</f>
        <v/>
      </c>
    </row>
    <row r="385" spans="1:8" x14ac:dyDescent="0.2">
      <c r="A385" s="4">
        <v>383</v>
      </c>
      <c r="B385" s="3" t="str">
        <f>IF(Pieces!$C385="","",Pieces!$C385)</f>
        <v/>
      </c>
      <c r="C385" s="4" t="str">
        <f>IF(Pieces!$D385="","",Pieces!$D385)</f>
        <v/>
      </c>
      <c r="D385" s="4" t="str">
        <f>IF(Pieces!$E385="","",Pieces!$E385)</f>
        <v/>
      </c>
      <c r="E385" s="3" t="str">
        <f>IF(Pieces!$F385="","",Pieces!$F385)</f>
        <v/>
      </c>
      <c r="F385" s="4" t="str">
        <f>IF(Pieces!$G385="","",Pieces!$G385)</f>
        <v/>
      </c>
      <c r="G385" s="4" t="str">
        <f>IF(Pieces!$H385="","",Pieces!$H385)</f>
        <v/>
      </c>
      <c r="H385" s="4" t="str">
        <f>IF(Pieces!$I385="","",Pieces!$I385)</f>
        <v/>
      </c>
    </row>
    <row r="386" spans="1:8" x14ac:dyDescent="0.2">
      <c r="A386" s="4">
        <v>384</v>
      </c>
      <c r="B386" s="3" t="str">
        <f>IF(Pieces!$C386="","",Pieces!$C386)</f>
        <v/>
      </c>
      <c r="C386" s="4" t="str">
        <f>IF(Pieces!$D386="","",Pieces!$D386)</f>
        <v/>
      </c>
      <c r="D386" s="4" t="str">
        <f>IF(Pieces!$E386="","",Pieces!$E386)</f>
        <v/>
      </c>
      <c r="E386" s="3" t="str">
        <f>IF(Pieces!$F386="","",Pieces!$F386)</f>
        <v/>
      </c>
      <c r="F386" s="4" t="str">
        <f>IF(Pieces!$G386="","",Pieces!$G386)</f>
        <v/>
      </c>
      <c r="G386" s="4" t="str">
        <f>IF(Pieces!$H386="","",Pieces!$H386)</f>
        <v/>
      </c>
      <c r="H386" s="4" t="str">
        <f>IF(Pieces!$I386="","",Pieces!$I386)</f>
        <v/>
      </c>
    </row>
    <row r="387" spans="1:8" x14ac:dyDescent="0.2">
      <c r="A387" s="4">
        <v>385</v>
      </c>
      <c r="B387" s="3" t="str">
        <f>IF(Pieces!$C387="","",Pieces!$C387)</f>
        <v/>
      </c>
      <c r="C387" s="4" t="str">
        <f>IF(Pieces!$D387="","",Pieces!$D387)</f>
        <v/>
      </c>
      <c r="D387" s="4" t="str">
        <f>IF(Pieces!$E387="","",Pieces!$E387)</f>
        <v/>
      </c>
      <c r="E387" s="3" t="str">
        <f>IF(Pieces!$F387="","",Pieces!$F387)</f>
        <v/>
      </c>
      <c r="F387" s="4" t="str">
        <f>IF(Pieces!$G387="","",Pieces!$G387)</f>
        <v/>
      </c>
      <c r="G387" s="4" t="str">
        <f>IF(Pieces!$H387="","",Pieces!$H387)</f>
        <v/>
      </c>
      <c r="H387" s="4" t="str">
        <f>IF(Pieces!$I387="","",Pieces!$I387)</f>
        <v/>
      </c>
    </row>
    <row r="388" spans="1:8" x14ac:dyDescent="0.2">
      <c r="A388" s="4">
        <v>386</v>
      </c>
      <c r="B388" s="3" t="str">
        <f>IF(Pieces!$C388="","",Pieces!$C388)</f>
        <v/>
      </c>
      <c r="C388" s="4" t="str">
        <f>IF(Pieces!$D388="","",Pieces!$D388)</f>
        <v/>
      </c>
      <c r="D388" s="4" t="str">
        <f>IF(Pieces!$E388="","",Pieces!$E388)</f>
        <v/>
      </c>
      <c r="E388" s="3" t="str">
        <f>IF(Pieces!$F388="","",Pieces!$F388)</f>
        <v/>
      </c>
      <c r="F388" s="4" t="str">
        <f>IF(Pieces!$G388="","",Pieces!$G388)</f>
        <v/>
      </c>
      <c r="G388" s="4" t="str">
        <f>IF(Pieces!$H388="","",Pieces!$H388)</f>
        <v/>
      </c>
      <c r="H388" s="4" t="str">
        <f>IF(Pieces!$I388="","",Pieces!$I388)</f>
        <v/>
      </c>
    </row>
    <row r="389" spans="1:8" x14ac:dyDescent="0.2">
      <c r="A389" s="4">
        <v>387</v>
      </c>
      <c r="B389" s="3" t="str">
        <f>IF(Pieces!$C389="","",Pieces!$C389)</f>
        <v/>
      </c>
      <c r="C389" s="4" t="str">
        <f>IF(Pieces!$D389="","",Pieces!$D389)</f>
        <v/>
      </c>
      <c r="D389" s="4" t="str">
        <f>IF(Pieces!$E389="","",Pieces!$E389)</f>
        <v/>
      </c>
      <c r="E389" s="3" t="str">
        <f>IF(Pieces!$F389="","",Pieces!$F389)</f>
        <v/>
      </c>
      <c r="F389" s="4" t="str">
        <f>IF(Pieces!$G389="","",Pieces!$G389)</f>
        <v/>
      </c>
      <c r="G389" s="4" t="str">
        <f>IF(Pieces!$H389="","",Pieces!$H389)</f>
        <v/>
      </c>
      <c r="H389" s="4" t="str">
        <f>IF(Pieces!$I389="","",Pieces!$I389)</f>
        <v/>
      </c>
    </row>
    <row r="390" spans="1:8" x14ac:dyDescent="0.2">
      <c r="A390" s="4">
        <v>388</v>
      </c>
      <c r="B390" s="3" t="str">
        <f>IF(Pieces!$C390="","",Pieces!$C390)</f>
        <v/>
      </c>
      <c r="C390" s="4" t="str">
        <f>IF(Pieces!$D390="","",Pieces!$D390)</f>
        <v/>
      </c>
      <c r="D390" s="4" t="str">
        <f>IF(Pieces!$E390="","",Pieces!$E390)</f>
        <v/>
      </c>
      <c r="E390" s="3" t="str">
        <f>IF(Pieces!$F390="","",Pieces!$F390)</f>
        <v/>
      </c>
      <c r="F390" s="4" t="str">
        <f>IF(Pieces!$G390="","",Pieces!$G390)</f>
        <v/>
      </c>
      <c r="G390" s="4" t="str">
        <f>IF(Pieces!$H390="","",Pieces!$H390)</f>
        <v/>
      </c>
      <c r="H390" s="4" t="str">
        <f>IF(Pieces!$I390="","",Pieces!$I390)</f>
        <v/>
      </c>
    </row>
    <row r="391" spans="1:8" x14ac:dyDescent="0.2">
      <c r="A391" s="4">
        <v>389</v>
      </c>
      <c r="B391" s="3" t="str">
        <f>IF(Pieces!$C391="","",Pieces!$C391)</f>
        <v/>
      </c>
      <c r="C391" s="4" t="str">
        <f>IF(Pieces!$D391="","",Pieces!$D391)</f>
        <v/>
      </c>
      <c r="D391" s="4" t="str">
        <f>IF(Pieces!$E391="","",Pieces!$E391)</f>
        <v/>
      </c>
      <c r="E391" s="3" t="str">
        <f>IF(Pieces!$F391="","",Pieces!$F391)</f>
        <v/>
      </c>
      <c r="F391" s="4" t="str">
        <f>IF(Pieces!$G391="","",Pieces!$G391)</f>
        <v/>
      </c>
      <c r="G391" s="4" t="str">
        <f>IF(Pieces!$H391="","",Pieces!$H391)</f>
        <v/>
      </c>
      <c r="H391" s="4" t="str">
        <f>IF(Pieces!$I391="","",Pieces!$I391)</f>
        <v/>
      </c>
    </row>
    <row r="392" spans="1:8" x14ac:dyDescent="0.2">
      <c r="A392" s="4">
        <v>390</v>
      </c>
      <c r="B392" s="3" t="str">
        <f>IF(Pieces!$C392="","",Pieces!$C392)</f>
        <v/>
      </c>
      <c r="C392" s="4" t="str">
        <f>IF(Pieces!$D392="","",Pieces!$D392)</f>
        <v/>
      </c>
      <c r="D392" s="4" t="str">
        <f>IF(Pieces!$E392="","",Pieces!$E392)</f>
        <v/>
      </c>
      <c r="E392" s="3" t="str">
        <f>IF(Pieces!$F392="","",Pieces!$F392)</f>
        <v/>
      </c>
      <c r="F392" s="4" t="str">
        <f>IF(Pieces!$G392="","",Pieces!$G392)</f>
        <v/>
      </c>
      <c r="G392" s="4" t="str">
        <f>IF(Pieces!$H392="","",Pieces!$H392)</f>
        <v/>
      </c>
      <c r="H392" s="4" t="str">
        <f>IF(Pieces!$I392="","",Pieces!$I392)</f>
        <v/>
      </c>
    </row>
    <row r="393" spans="1:8" x14ac:dyDescent="0.2">
      <c r="A393" s="4">
        <v>391</v>
      </c>
      <c r="B393" s="3" t="str">
        <f>IF(Pieces!$C393="","",Pieces!$C393)</f>
        <v/>
      </c>
      <c r="C393" s="4" t="str">
        <f>IF(Pieces!$D393="","",Pieces!$D393)</f>
        <v/>
      </c>
      <c r="D393" s="4" t="str">
        <f>IF(Pieces!$E393="","",Pieces!$E393)</f>
        <v/>
      </c>
      <c r="E393" s="3" t="str">
        <f>IF(Pieces!$F393="","",Pieces!$F393)</f>
        <v/>
      </c>
      <c r="F393" s="4" t="str">
        <f>IF(Pieces!$G393="","",Pieces!$G393)</f>
        <v/>
      </c>
      <c r="G393" s="4" t="str">
        <f>IF(Pieces!$H393="","",Pieces!$H393)</f>
        <v/>
      </c>
      <c r="H393" s="4" t="str">
        <f>IF(Pieces!$I393="","",Pieces!$I393)</f>
        <v/>
      </c>
    </row>
    <row r="394" spans="1:8" x14ac:dyDescent="0.2">
      <c r="A394" s="4">
        <v>392</v>
      </c>
      <c r="B394" s="3" t="str">
        <f>IF(Pieces!$C394="","",Pieces!$C394)</f>
        <v/>
      </c>
      <c r="C394" s="4" t="str">
        <f>IF(Pieces!$D394="","",Pieces!$D394)</f>
        <v/>
      </c>
      <c r="D394" s="4" t="str">
        <f>IF(Pieces!$E394="","",Pieces!$E394)</f>
        <v/>
      </c>
      <c r="E394" s="3" t="str">
        <f>IF(Pieces!$F394="","",Pieces!$F394)</f>
        <v/>
      </c>
      <c r="F394" s="4" t="str">
        <f>IF(Pieces!$G394="","",Pieces!$G394)</f>
        <v/>
      </c>
      <c r="G394" s="4" t="str">
        <f>IF(Pieces!$H394="","",Pieces!$H394)</f>
        <v/>
      </c>
      <c r="H394" s="4" t="str">
        <f>IF(Pieces!$I394="","",Pieces!$I394)</f>
        <v/>
      </c>
    </row>
    <row r="395" spans="1:8" x14ac:dyDescent="0.2">
      <c r="A395" s="4">
        <v>393</v>
      </c>
      <c r="B395" s="3" t="str">
        <f>IF(Pieces!$C395="","",Pieces!$C395)</f>
        <v/>
      </c>
      <c r="C395" s="4" t="str">
        <f>IF(Pieces!$D395="","",Pieces!$D395)</f>
        <v/>
      </c>
      <c r="D395" s="4" t="str">
        <f>IF(Pieces!$E395="","",Pieces!$E395)</f>
        <v/>
      </c>
      <c r="E395" s="3" t="str">
        <f>IF(Pieces!$F395="","",Pieces!$F395)</f>
        <v/>
      </c>
      <c r="F395" s="4" t="str">
        <f>IF(Pieces!$G395="","",Pieces!$G395)</f>
        <v/>
      </c>
      <c r="G395" s="4" t="str">
        <f>IF(Pieces!$H395="","",Pieces!$H395)</f>
        <v/>
      </c>
      <c r="H395" s="4" t="str">
        <f>IF(Pieces!$I395="","",Pieces!$I395)</f>
        <v/>
      </c>
    </row>
    <row r="396" spans="1:8" x14ac:dyDescent="0.2">
      <c r="A396" s="4">
        <v>394</v>
      </c>
      <c r="B396" s="3" t="str">
        <f>IF(Pieces!$C396="","",Pieces!$C396)</f>
        <v/>
      </c>
      <c r="C396" s="4" t="str">
        <f>IF(Pieces!$D396="","",Pieces!$D396)</f>
        <v/>
      </c>
      <c r="D396" s="4" t="str">
        <f>IF(Pieces!$E396="","",Pieces!$E396)</f>
        <v/>
      </c>
      <c r="E396" s="3" t="str">
        <f>IF(Pieces!$F396="","",Pieces!$F396)</f>
        <v/>
      </c>
      <c r="F396" s="4" t="str">
        <f>IF(Pieces!$G396="","",Pieces!$G396)</f>
        <v/>
      </c>
      <c r="G396" s="4" t="str">
        <f>IF(Pieces!$H396="","",Pieces!$H396)</f>
        <v/>
      </c>
      <c r="H396" s="4" t="str">
        <f>IF(Pieces!$I396="","",Pieces!$I396)</f>
        <v/>
      </c>
    </row>
    <row r="397" spans="1:8" x14ac:dyDescent="0.2">
      <c r="A397" s="4">
        <v>395</v>
      </c>
      <c r="B397" s="3" t="str">
        <f>IF(Pieces!$C397="","",Pieces!$C397)</f>
        <v/>
      </c>
      <c r="C397" s="4" t="str">
        <f>IF(Pieces!$D397="","",Pieces!$D397)</f>
        <v/>
      </c>
      <c r="D397" s="4" t="str">
        <f>IF(Pieces!$E397="","",Pieces!$E397)</f>
        <v/>
      </c>
      <c r="E397" s="3" t="str">
        <f>IF(Pieces!$F397="","",Pieces!$F397)</f>
        <v/>
      </c>
      <c r="F397" s="4" t="str">
        <f>IF(Pieces!$G397="","",Pieces!$G397)</f>
        <v/>
      </c>
      <c r="G397" s="4" t="str">
        <f>IF(Pieces!$H397="","",Pieces!$H397)</f>
        <v/>
      </c>
      <c r="H397" s="4" t="str">
        <f>IF(Pieces!$I397="","",Pieces!$I397)</f>
        <v/>
      </c>
    </row>
    <row r="398" spans="1:8" x14ac:dyDescent="0.2">
      <c r="A398" s="4">
        <v>396</v>
      </c>
      <c r="B398" s="3" t="str">
        <f>IF(Pieces!$C398="","",Pieces!$C398)</f>
        <v/>
      </c>
      <c r="C398" s="4" t="str">
        <f>IF(Pieces!$D398="","",Pieces!$D398)</f>
        <v/>
      </c>
      <c r="D398" s="4" t="str">
        <f>IF(Pieces!$E398="","",Pieces!$E398)</f>
        <v/>
      </c>
      <c r="E398" s="3" t="str">
        <f>IF(Pieces!$F398="","",Pieces!$F398)</f>
        <v/>
      </c>
      <c r="F398" s="4" t="str">
        <f>IF(Pieces!$G398="","",Pieces!$G398)</f>
        <v/>
      </c>
      <c r="G398" s="4" t="str">
        <f>IF(Pieces!$H398="","",Pieces!$H398)</f>
        <v/>
      </c>
      <c r="H398" s="4" t="str">
        <f>IF(Pieces!$I398="","",Pieces!$I398)</f>
        <v/>
      </c>
    </row>
    <row r="399" spans="1:8" x14ac:dyDescent="0.2">
      <c r="A399" s="4">
        <v>397</v>
      </c>
      <c r="B399" s="3" t="str">
        <f>IF(Pieces!$C399="","",Pieces!$C399)</f>
        <v/>
      </c>
      <c r="C399" s="4" t="str">
        <f>IF(Pieces!$D399="","",Pieces!$D399)</f>
        <v/>
      </c>
      <c r="D399" s="4" t="str">
        <f>IF(Pieces!$E399="","",Pieces!$E399)</f>
        <v/>
      </c>
      <c r="E399" s="3" t="str">
        <f>IF(Pieces!$F399="","",Pieces!$F399)</f>
        <v/>
      </c>
      <c r="F399" s="4" t="str">
        <f>IF(Pieces!$G399="","",Pieces!$G399)</f>
        <v/>
      </c>
      <c r="G399" s="4" t="str">
        <f>IF(Pieces!$H399="","",Pieces!$H399)</f>
        <v/>
      </c>
      <c r="H399" s="4" t="str">
        <f>IF(Pieces!$I399="","",Pieces!$I399)</f>
        <v/>
      </c>
    </row>
    <row r="400" spans="1:8" x14ac:dyDescent="0.2">
      <c r="A400" s="4">
        <v>398</v>
      </c>
      <c r="B400" s="3" t="str">
        <f>IF(Pieces!$C400="","",Pieces!$C400)</f>
        <v/>
      </c>
      <c r="C400" s="4" t="str">
        <f>IF(Pieces!$D400="","",Pieces!$D400)</f>
        <v/>
      </c>
      <c r="D400" s="4" t="str">
        <f>IF(Pieces!$E400="","",Pieces!$E400)</f>
        <v/>
      </c>
      <c r="E400" s="3" t="str">
        <f>IF(Pieces!$F400="","",Pieces!$F400)</f>
        <v/>
      </c>
      <c r="F400" s="4" t="str">
        <f>IF(Pieces!$G400="","",Pieces!$G400)</f>
        <v/>
      </c>
      <c r="G400" s="4" t="str">
        <f>IF(Pieces!$H400="","",Pieces!$H400)</f>
        <v/>
      </c>
      <c r="H400" s="4" t="str">
        <f>IF(Pieces!$I400="","",Pieces!$I400)</f>
        <v/>
      </c>
    </row>
    <row r="401" spans="1:8" x14ac:dyDescent="0.2">
      <c r="A401" s="4">
        <v>399</v>
      </c>
      <c r="B401" s="3" t="str">
        <f>IF(Pieces!$C401="","",Pieces!$C401)</f>
        <v/>
      </c>
      <c r="C401" s="4" t="str">
        <f>IF(Pieces!$D401="","",Pieces!$D401)</f>
        <v/>
      </c>
      <c r="D401" s="4" t="str">
        <f>IF(Pieces!$E401="","",Pieces!$E401)</f>
        <v/>
      </c>
      <c r="E401" s="3" t="str">
        <f>IF(Pieces!$F401="","",Pieces!$F401)</f>
        <v/>
      </c>
      <c r="F401" s="4" t="str">
        <f>IF(Pieces!$G401="","",Pieces!$G401)</f>
        <v/>
      </c>
      <c r="G401" s="4" t="str">
        <f>IF(Pieces!$H401="","",Pieces!$H401)</f>
        <v/>
      </c>
      <c r="H401" s="4" t="str">
        <f>IF(Pieces!$I401="","",Pieces!$I401)</f>
        <v/>
      </c>
    </row>
    <row r="402" spans="1:8" x14ac:dyDescent="0.2">
      <c r="A402" s="4">
        <v>400</v>
      </c>
      <c r="B402" s="3" t="str">
        <f>IF(Pieces!$C402="","",Pieces!$C402)</f>
        <v/>
      </c>
      <c r="C402" s="4" t="str">
        <f>IF(Pieces!$D402="","",Pieces!$D402)</f>
        <v/>
      </c>
      <c r="D402" s="4" t="str">
        <f>IF(Pieces!$E402="","",Pieces!$E402)</f>
        <v/>
      </c>
      <c r="E402" s="3" t="str">
        <f>IF(Pieces!$F402="","",Pieces!$F402)</f>
        <v/>
      </c>
      <c r="F402" s="4" t="str">
        <f>IF(Pieces!$G402="","",Pieces!$G402)</f>
        <v/>
      </c>
      <c r="G402" s="4" t="str">
        <f>IF(Pieces!$H402="","",Pieces!$H402)</f>
        <v/>
      </c>
      <c r="H402" s="4" t="str">
        <f>IF(Pieces!$I402="","",Pieces!$I402)</f>
        <v/>
      </c>
    </row>
  </sheetData>
  <sortState xmlns:xlrd2="http://schemas.microsoft.com/office/spreadsheetml/2017/richdata2" ref="A3:H16">
    <sortCondition descending="1" ref="F3:F16"/>
  </sortState>
  <mergeCells count="1">
    <mergeCell ref="A1:H1"/>
  </mergeCells>
  <dataValidations count="1">
    <dataValidation type="list" allowBlank="1" sqref="E3:E402" xr:uid="{00000000-0002-0000-0300-000000000000}">
      <formula1>"Y,N"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07"/>
  <sheetViews>
    <sheetView showGridLines="0" zoomScale="171" workbookViewId="0">
      <pane ySplit="6" topLeftCell="A7" activePane="bottomLeft" state="frozen"/>
      <selection pane="bottomLeft" activeCell="G3" sqref="G3:S3"/>
    </sheetView>
  </sheetViews>
  <sheetFormatPr baseColWidth="10" defaultColWidth="8.83203125" defaultRowHeight="15" x14ac:dyDescent="0.2"/>
  <cols>
    <col min="1" max="1" width="7.6640625" bestFit="1" customWidth="1"/>
    <col min="2" max="2" width="12" customWidth="1"/>
    <col min="3" max="4" width="8" hidden="1" customWidth="1"/>
    <col min="5" max="5" width="7" hidden="1" customWidth="1"/>
    <col min="6" max="7" width="9" customWidth="1"/>
    <col min="8" max="8" width="8" customWidth="1"/>
    <col min="9" max="9" width="10.5" customWidth="1"/>
    <col min="10" max="10" width="6" customWidth="1"/>
    <col min="11" max="13" width="8" hidden="1" customWidth="1"/>
    <col min="14" max="14" width="10" hidden="1" customWidth="1"/>
    <col min="15" max="15" width="11" hidden="1" customWidth="1"/>
    <col min="16" max="16" width="9" hidden="1" customWidth="1"/>
    <col min="17" max="17" width="8" hidden="1" customWidth="1"/>
    <col min="18" max="18" width="9.1640625" hidden="1" customWidth="1"/>
    <col min="19" max="19" width="11" customWidth="1"/>
    <col min="20" max="20" width="2" customWidth="1"/>
    <col min="21" max="21" width="28.1640625" bestFit="1" customWidth="1"/>
    <col min="22" max="22" width="18" customWidth="1"/>
    <col min="23" max="23" width="2" customWidth="1"/>
  </cols>
  <sheetData>
    <row r="1" spans="1:25" x14ac:dyDescent="0.2">
      <c r="A1" s="42" t="s">
        <v>63</v>
      </c>
      <c r="B1" s="42"/>
      <c r="C1" s="42"/>
      <c r="D1" s="42"/>
      <c r="E1" s="42"/>
      <c r="F1" s="42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25" x14ac:dyDescent="0.2">
      <c r="A2" s="42" t="s">
        <v>64</v>
      </c>
      <c r="B2" s="42"/>
      <c r="C2" s="42"/>
      <c r="D2" s="42"/>
      <c r="E2" s="42"/>
      <c r="F2" s="42"/>
      <c r="G2" s="44">
        <f ca="1">TODAY()</f>
        <v>46082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25" x14ac:dyDescent="0.2">
      <c r="A3" s="42" t="s">
        <v>65</v>
      </c>
      <c r="B3" s="42"/>
      <c r="C3" s="42"/>
      <c r="D3" s="42"/>
      <c r="E3" s="42"/>
      <c r="F3" s="42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</row>
    <row r="5" spans="1:25" ht="24" customHeight="1" x14ac:dyDescent="0.2">
      <c r="A5" s="40" t="s">
        <v>61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</row>
    <row r="6" spans="1:25" x14ac:dyDescent="0.2">
      <c r="A6" s="15" t="s">
        <v>33</v>
      </c>
      <c r="B6" s="15" t="s">
        <v>62</v>
      </c>
      <c r="C6" s="15" t="s">
        <v>34</v>
      </c>
      <c r="D6" s="15" t="s">
        <v>35</v>
      </c>
      <c r="E6" s="15" t="s">
        <v>36</v>
      </c>
      <c r="F6" s="15" t="s">
        <v>37</v>
      </c>
      <c r="G6" s="15" t="s">
        <v>38</v>
      </c>
      <c r="H6" s="15" t="s">
        <v>39</v>
      </c>
      <c r="I6" s="15" t="s">
        <v>40</v>
      </c>
      <c r="J6" s="15" t="s">
        <v>41</v>
      </c>
      <c r="K6" s="15" t="s">
        <v>42</v>
      </c>
      <c r="L6" s="15" t="s">
        <v>43</v>
      </c>
      <c r="M6" s="15" t="s">
        <v>44</v>
      </c>
      <c r="N6" s="15" t="s">
        <v>45</v>
      </c>
      <c r="O6" s="15" t="s">
        <v>46</v>
      </c>
      <c r="P6" s="15" t="s">
        <v>47</v>
      </c>
      <c r="Q6" s="15" t="s">
        <v>48</v>
      </c>
      <c r="R6" s="15" t="s">
        <v>49</v>
      </c>
      <c r="S6" s="15" t="s">
        <v>50</v>
      </c>
    </row>
    <row r="7" spans="1:25" x14ac:dyDescent="0.2">
      <c r="A7" s="4">
        <v>1</v>
      </c>
      <c r="B7" s="3" t="str">
        <f>IF(SortedPieces!$B3="","",SortedPieces!$B3)</f>
        <v/>
      </c>
      <c r="C7" s="4" t="str">
        <f>IF(SortedPieces!$C3="","",SortedPieces!$C3)</f>
        <v/>
      </c>
      <c r="D7" s="4" t="str">
        <f>IF(SortedPieces!$D3="","",SortedPieces!$D3)</f>
        <v/>
      </c>
      <c r="E7" s="3" t="str">
        <f>IF(SortedPieces!$E3="","",SortedPieces!$E3)</f>
        <v/>
      </c>
      <c r="F7" s="4" t="str">
        <f>IF($B7="","",IF($C7&lt;=$O7,$C7,IF(AND($E7="Y",$D7&lt;=$O7),$D7,IF(AND($E7="Y",$D7&lt;=Inputs!$B$15,$C7&lt;=Inputs!$B$15),IF($C7&lt;$D7,$D7,$C7),IF(AND($E7="Y",$D7&lt;=Inputs!$B$15),$D7,$C7)))))</f>
        <v/>
      </c>
      <c r="G7" s="4" t="str">
        <f>IF($B7="","",IF($C7&lt;=$O7,$D7,IF(AND($E7="Y",$D7&lt;=$O7),$C7,IF(AND($E7="Y",$D7&lt;=Inputs!$B$15,$C7&lt;=Inputs!$B$15),IF($C7&lt;$D7,$C7,$D7),IF(AND($E7="Y",$D7&lt;=Inputs!$B$15),$C7,$D7)))))</f>
        <v/>
      </c>
      <c r="H7" s="3" t="str">
        <f t="shared" ref="H7:H70" si="0">IF($B7="","",IF(AND($E7="Y",$F7=$D7,$G7=$C7),"Y","N"))</f>
        <v/>
      </c>
      <c r="I7" s="4" t="str">
        <f>IF($B7="","",1)</f>
        <v/>
      </c>
      <c r="J7" s="4" t="str">
        <f>IF($B7="","",1)</f>
        <v/>
      </c>
      <c r="K7" s="4" t="str">
        <f>IF($B7="","",0)</f>
        <v/>
      </c>
      <c r="L7" s="4" t="str">
        <f>IF($B7="","",0)</f>
        <v/>
      </c>
      <c r="M7" s="4" t="str">
        <f t="shared" ref="M7:M70" si="1">IF($B7="","",$K7+$F7)</f>
        <v/>
      </c>
      <c r="N7" s="4" t="str">
        <f>IF($B7="","",$G7)</f>
        <v/>
      </c>
      <c r="O7" s="4">
        <f>Inputs!$B$15</f>
        <v>3300</v>
      </c>
      <c r="P7" s="3" t="str">
        <f>IF($B7="","",IF($F7&lt;=Inputs!$B$15,TRUE,FALSE))</f>
        <v/>
      </c>
      <c r="Q7" s="3" t="str">
        <f>IF($B7="","",FALSE)</f>
        <v/>
      </c>
      <c r="R7" s="3" t="str">
        <f>IF($B7="","",FALSE)</f>
        <v/>
      </c>
      <c r="S7" s="3" t="str">
        <f>IF($B7="","",IF(OR($F7&gt;Inputs!$B$15,$G7&gt;Inputs!$B$16),"TOO BIG",IF($R7,"NEW SHEET",IF($Q7,"NEW ROW","OK"))))</f>
        <v/>
      </c>
      <c r="U7" s="37" t="s">
        <v>51</v>
      </c>
      <c r="V7" s="38"/>
      <c r="W7" s="39"/>
      <c r="Y7" s="18"/>
    </row>
    <row r="8" spans="1:25" x14ac:dyDescent="0.2">
      <c r="A8" s="4">
        <v>2</v>
      </c>
      <c r="B8" s="3" t="str">
        <f>IF(SortedPieces!$B4="","",SortedPieces!$B4)</f>
        <v/>
      </c>
      <c r="C8" s="4" t="str">
        <f>IF(SortedPieces!$C4="","",SortedPieces!$C4)</f>
        <v/>
      </c>
      <c r="D8" s="4" t="str">
        <f>IF(SortedPieces!$D4="","",SortedPieces!$D4)</f>
        <v/>
      </c>
      <c r="E8" s="3" t="str">
        <f>IF(SortedPieces!$E4="","",SortedPieces!$E4)</f>
        <v/>
      </c>
      <c r="F8" s="4" t="str">
        <f>IF($B8="","",IF($C8&lt;=$O8,$C8,IF(AND($E8="Y",$D8&lt;=$O8),$D8,IF(AND($E8="Y",$D8&lt;=Inputs!$B$15,$C8&lt;=Inputs!$B$15),IF($C8&lt;$D8,$D8,$C8),IF(AND($E8="Y",$D8&lt;=Inputs!$B$15),$D8,$C8)))))</f>
        <v/>
      </c>
      <c r="G8" s="4" t="str">
        <f>IF($B8="","",IF($C8&lt;=$O8,$D8,IF(AND($E8="Y",$D8&lt;=$O8),$C8,IF(AND($E8="Y",$D8&lt;=Inputs!$B$15,$C8&lt;=Inputs!$B$15),IF($C8&lt;$D8,$C8,$D8),IF(AND($E8="Y",$D8&lt;=Inputs!$B$15),$C8,$D8)))))</f>
        <v/>
      </c>
      <c r="H8" s="3" t="str">
        <f t="shared" si="0"/>
        <v/>
      </c>
      <c r="I8" s="4" t="str">
        <f t="shared" ref="I8:I71" si="2">IF($B8="","",IF($R8,$I7+1,$I7))</f>
        <v/>
      </c>
      <c r="J8" s="4" t="str">
        <f t="shared" ref="J8:J71" si="3">IF($B8="","",IF($R8,1,IF($Q8,$J7+1,$J7)))</f>
        <v/>
      </c>
      <c r="K8" s="4" t="str">
        <f t="shared" ref="K8:K71" si="4">IF($B8="","",IF($R8,0,IF($Q8,0,$M7)))</f>
        <v/>
      </c>
      <c r="L8" s="4" t="str">
        <f t="shared" ref="L8:L71" si="5">IF($B8="","",IF($R8,0,IF($Q8,$L7+$N7,$L7)))</f>
        <v/>
      </c>
      <c r="M8" s="4" t="str">
        <f t="shared" si="1"/>
        <v/>
      </c>
      <c r="N8" s="4" t="str">
        <f t="shared" ref="N8:N71" si="6">IF($B8="","",IF($R8,$G8,IF($Q8,$G8,MAX($N7,$G8))))</f>
        <v/>
      </c>
      <c r="O8" s="4" t="str">
        <f>IF($B8="","",Inputs!$B$15-$M7)</f>
        <v/>
      </c>
      <c r="P8" s="3" t="str">
        <f t="shared" ref="P8:P71" si="7">IF($B8="","",IF($F8&lt;=$O8,TRUE,FALSE))</f>
        <v/>
      </c>
      <c r="Q8" s="3" t="str">
        <f t="shared" ref="Q8:Q71" si="8">IF($B8="","",NOT($P8))</f>
        <v/>
      </c>
      <c r="R8" s="3" t="str">
        <f>IF($B8="","",IF($Q8,($L7+$N7+$G8)&gt;Inputs!$B$16,FALSE))</f>
        <v/>
      </c>
      <c r="S8" s="3" t="str">
        <f>IF($B8="","",IF(OR($F8&gt;Inputs!$B$15,$G8&gt;Inputs!$B$16),"TOO BIG",IF($R8,"NEW SHEET",IF($Q8,"NEW ROW","OK"))))</f>
        <v/>
      </c>
      <c r="U8" s="3" t="s">
        <v>52</v>
      </c>
      <c r="V8" s="8">
        <f>IFERROR(MAX(I7:I406),0)</f>
        <v>0</v>
      </c>
    </row>
    <row r="9" spans="1:25" x14ac:dyDescent="0.2">
      <c r="A9" s="4">
        <v>3</v>
      </c>
      <c r="B9" s="3" t="str">
        <f>IF(SortedPieces!$B5="","",SortedPieces!$B5)</f>
        <v/>
      </c>
      <c r="C9" s="4" t="str">
        <f>IF(SortedPieces!$C5="","",SortedPieces!$C5)</f>
        <v/>
      </c>
      <c r="D9" s="4" t="str">
        <f>IF(SortedPieces!$D5="","",SortedPieces!$D5)</f>
        <v/>
      </c>
      <c r="E9" s="3" t="str">
        <f>IF(SortedPieces!$E5="","",SortedPieces!$E5)</f>
        <v/>
      </c>
      <c r="F9" s="4" t="str">
        <f>IF($B9="","",IF($C9&lt;=$O9,$C9,IF(AND($E9="Y",$D9&lt;=$O9),$D9,IF(AND($E9="Y",$D9&lt;=Inputs!$B$15,$C9&lt;=Inputs!$B$15),IF($C9&lt;$D9,$D9,$C9),IF(AND($E9="Y",$D9&lt;=Inputs!$B$15),$D9,$C9)))))</f>
        <v/>
      </c>
      <c r="G9" s="4" t="str">
        <f>IF($B9="","",IF($C9&lt;=$O9,$D9,IF(AND($E9="Y",$D9&lt;=$O9),$C9,IF(AND($E9="Y",$D9&lt;=Inputs!$B$15,$C9&lt;=Inputs!$B$15),IF($C9&lt;$D9,$C9,$D9),IF(AND($E9="Y",$D9&lt;=Inputs!$B$15),$C9,$D9)))))</f>
        <v/>
      </c>
      <c r="H9" s="3" t="str">
        <f t="shared" si="0"/>
        <v/>
      </c>
      <c r="I9" s="4" t="str">
        <f t="shared" si="2"/>
        <v/>
      </c>
      <c r="J9" s="4" t="str">
        <f t="shared" si="3"/>
        <v/>
      </c>
      <c r="K9" s="4" t="str">
        <f t="shared" si="4"/>
        <v/>
      </c>
      <c r="L9" s="4" t="str">
        <f t="shared" si="5"/>
        <v/>
      </c>
      <c r="M9" s="4" t="str">
        <f t="shared" si="1"/>
        <v/>
      </c>
      <c r="N9" s="4" t="str">
        <f t="shared" si="6"/>
        <v/>
      </c>
      <c r="O9" s="4" t="str">
        <f>IF($B9="","",Inputs!$B$15-$M8)</f>
        <v/>
      </c>
      <c r="P9" s="3" t="str">
        <f t="shared" si="7"/>
        <v/>
      </c>
      <c r="Q9" s="3" t="str">
        <f t="shared" si="8"/>
        <v/>
      </c>
      <c r="R9" s="3" t="str">
        <f>IF($B9="","",IF($Q9,($L8+$N8+$G9)&gt;Inputs!$B$16,FALSE))</f>
        <v/>
      </c>
      <c r="S9" s="3" t="str">
        <f>IF($B9="","",IF(OR($F9&gt;Inputs!$B$15,$G9&gt;Inputs!$B$16),"TOO BIG",IF($R9,"NEW SHEET",IF($Q9,"NEW ROW","OK"))))</f>
        <v/>
      </c>
      <c r="U9" s="3" t="s">
        <v>53</v>
      </c>
      <c r="V9" s="9">
        <f>V8*(Inputs!$B$15*Inputs!$B$16)/1000000</f>
        <v>0</v>
      </c>
    </row>
    <row r="10" spans="1:25" x14ac:dyDescent="0.2">
      <c r="A10" s="4">
        <v>4</v>
      </c>
      <c r="B10" s="3" t="str">
        <f>IF(SortedPieces!$B6="","",SortedPieces!$B6)</f>
        <v/>
      </c>
      <c r="C10" s="4" t="str">
        <f>IF(SortedPieces!$C6="","",SortedPieces!$C6)</f>
        <v/>
      </c>
      <c r="D10" s="4" t="str">
        <f>IF(SortedPieces!$D6="","",SortedPieces!$D6)</f>
        <v/>
      </c>
      <c r="E10" s="3" t="str">
        <f>IF(SortedPieces!$E6="","",SortedPieces!$E6)</f>
        <v/>
      </c>
      <c r="F10" s="4" t="str">
        <f>IF($B10="","",IF($C10&lt;=$O10,$C10,IF(AND($E10="Y",$D10&lt;=$O10),$D10,IF(AND($E10="Y",$D10&lt;=Inputs!$B$15,$C10&lt;=Inputs!$B$15),IF($C10&lt;$D10,$D10,$C10),IF(AND($E10="Y",$D10&lt;=Inputs!$B$15),$D10,$C10)))))</f>
        <v/>
      </c>
      <c r="G10" s="4" t="str">
        <f>IF($B10="","",IF($C10&lt;=$O10,$D10,IF(AND($E10="Y",$D10&lt;=$O10),$C10,IF(AND($E10="Y",$D10&lt;=Inputs!$B$15,$C10&lt;=Inputs!$B$15),IF($C10&lt;$D10,$C10,$D10),IF(AND($E10="Y",$D10&lt;=Inputs!$B$15),$C10,$D10)))))</f>
        <v/>
      </c>
      <c r="H10" s="3" t="str">
        <f t="shared" si="0"/>
        <v/>
      </c>
      <c r="I10" s="4" t="str">
        <f t="shared" si="2"/>
        <v/>
      </c>
      <c r="J10" s="4" t="str">
        <f t="shared" si="3"/>
        <v/>
      </c>
      <c r="K10" s="4" t="str">
        <f t="shared" si="4"/>
        <v/>
      </c>
      <c r="L10" s="4" t="str">
        <f t="shared" si="5"/>
        <v/>
      </c>
      <c r="M10" s="4" t="str">
        <f t="shared" si="1"/>
        <v/>
      </c>
      <c r="N10" s="4" t="str">
        <f t="shared" si="6"/>
        <v/>
      </c>
      <c r="O10" s="4" t="str">
        <f>IF($B10="","",Inputs!$B$15-$M9)</f>
        <v/>
      </c>
      <c r="P10" s="3" t="str">
        <f t="shared" si="7"/>
        <v/>
      </c>
      <c r="Q10" s="3" t="str">
        <f t="shared" si="8"/>
        <v/>
      </c>
      <c r="R10" s="3" t="str">
        <f>IF($B10="","",IF($Q10,($L9+$N9+$G10)&gt;Inputs!$B$16,FALSE))</f>
        <v/>
      </c>
      <c r="S10" s="3" t="str">
        <f>IF($B10="","",IF(OR($F10&gt;Inputs!$B$15,$G10&gt;Inputs!$B$16),"TOO BIG",IF($R10,"NEW SHEET",IF($Q10,"NEW ROW","OK"))))</f>
        <v/>
      </c>
      <c r="U10" s="3" t="s">
        <v>54</v>
      </c>
      <c r="V10" s="9">
        <f>SUM(SortedPieces!F3:F402)</f>
        <v>0</v>
      </c>
    </row>
    <row r="11" spans="1:25" x14ac:dyDescent="0.2">
      <c r="A11" s="4">
        <v>5</v>
      </c>
      <c r="B11" s="3" t="str">
        <f>IF(SortedPieces!$B7="","",SortedPieces!$B7)</f>
        <v/>
      </c>
      <c r="C11" s="4" t="str">
        <f>IF(SortedPieces!$C7="","",SortedPieces!$C7)</f>
        <v/>
      </c>
      <c r="D11" s="4" t="str">
        <f>IF(SortedPieces!$D7="","",SortedPieces!$D7)</f>
        <v/>
      </c>
      <c r="E11" s="3" t="str">
        <f>IF(SortedPieces!$E7="","",SortedPieces!$E7)</f>
        <v/>
      </c>
      <c r="F11" s="4" t="str">
        <f>IF($B11="","",IF($C11&lt;=$O11,$C11,IF(AND($E11="Y",$D11&lt;=$O11),$D11,IF(AND($E11="Y",$D11&lt;=Inputs!$B$15,$C11&lt;=Inputs!$B$15),IF($C11&lt;$D11,$D11,$C11),IF(AND($E11="Y",$D11&lt;=Inputs!$B$15),$D11,$C11)))))</f>
        <v/>
      </c>
      <c r="G11" s="4" t="str">
        <f>IF($B11="","",IF($C11&lt;=$O11,$D11,IF(AND($E11="Y",$D11&lt;=$O11),$C11,IF(AND($E11="Y",$D11&lt;=Inputs!$B$15,$C11&lt;=Inputs!$B$15),IF($C11&lt;$D11,$C11,$D11),IF(AND($E11="Y",$D11&lt;=Inputs!$B$15),$C11,$D11)))))</f>
        <v/>
      </c>
      <c r="H11" s="3" t="str">
        <f t="shared" si="0"/>
        <v/>
      </c>
      <c r="I11" s="4" t="str">
        <f t="shared" si="2"/>
        <v/>
      </c>
      <c r="J11" s="4" t="str">
        <f t="shared" si="3"/>
        <v/>
      </c>
      <c r="K11" s="4" t="str">
        <f t="shared" si="4"/>
        <v/>
      </c>
      <c r="L11" s="4" t="str">
        <f t="shared" si="5"/>
        <v/>
      </c>
      <c r="M11" s="4" t="str">
        <f t="shared" si="1"/>
        <v/>
      </c>
      <c r="N11" s="4" t="str">
        <f t="shared" si="6"/>
        <v/>
      </c>
      <c r="O11" s="4" t="str">
        <f>IF($B11="","",Inputs!$B$15-$M10)</f>
        <v/>
      </c>
      <c r="P11" s="3" t="str">
        <f t="shared" si="7"/>
        <v/>
      </c>
      <c r="Q11" s="3" t="str">
        <f t="shared" si="8"/>
        <v/>
      </c>
      <c r="R11" s="3" t="str">
        <f>IF($B11="","",IF($Q11,($L10+$N10+$G11)&gt;Inputs!$B$16,FALSE))</f>
        <v/>
      </c>
      <c r="S11" s="3" t="str">
        <f>IF($B11="","",IF(OR($F11&gt;Inputs!$B$15,$G11&gt;Inputs!$B$16),"TOO BIG",IF($R11,"NEW SHEET",IF($Q11,"NEW ROW","OK"))))</f>
        <v/>
      </c>
      <c r="U11" s="3" t="s">
        <v>55</v>
      </c>
      <c r="V11" s="10">
        <f>IF(V9=0,0,1-(V10/V9))</f>
        <v>0</v>
      </c>
    </row>
    <row r="12" spans="1:25" x14ac:dyDescent="0.2">
      <c r="A12" s="4">
        <v>6</v>
      </c>
      <c r="B12" s="3" t="str">
        <f>IF(SortedPieces!$B8="","",SortedPieces!$B8)</f>
        <v/>
      </c>
      <c r="C12" s="4" t="str">
        <f>IF(SortedPieces!$C8="","",SortedPieces!$C8)</f>
        <v/>
      </c>
      <c r="D12" s="4" t="str">
        <f>IF(SortedPieces!$D8="","",SortedPieces!$D8)</f>
        <v/>
      </c>
      <c r="E12" s="3" t="str">
        <f>IF(SortedPieces!$E8="","",SortedPieces!$E8)</f>
        <v/>
      </c>
      <c r="F12" s="4" t="str">
        <f>IF($B12="","",IF($C12&lt;=$O12,$C12,IF(AND($E12="Y",$D12&lt;=$O12),$D12,IF(AND($E12="Y",$D12&lt;=Inputs!$B$15,$C12&lt;=Inputs!$B$15),IF($C12&lt;$D12,$D12,$C12),IF(AND($E12="Y",$D12&lt;=Inputs!$B$15),$D12,$C12)))))</f>
        <v/>
      </c>
      <c r="G12" s="4" t="str">
        <f>IF($B12="","",IF($C12&lt;=$O12,$D12,IF(AND($E12="Y",$D12&lt;=$O12),$C12,IF(AND($E12="Y",$D12&lt;=Inputs!$B$15,$C12&lt;=Inputs!$B$15),IF($C12&lt;$D12,$C12,$D12),IF(AND($E12="Y",$D12&lt;=Inputs!$B$15),$C12,$D12)))))</f>
        <v/>
      </c>
      <c r="H12" s="3" t="str">
        <f t="shared" si="0"/>
        <v/>
      </c>
      <c r="I12" s="4" t="str">
        <f t="shared" si="2"/>
        <v/>
      </c>
      <c r="J12" s="4" t="str">
        <f t="shared" si="3"/>
        <v/>
      </c>
      <c r="K12" s="4" t="str">
        <f t="shared" si="4"/>
        <v/>
      </c>
      <c r="L12" s="4" t="str">
        <f t="shared" si="5"/>
        <v/>
      </c>
      <c r="M12" s="4" t="str">
        <f t="shared" si="1"/>
        <v/>
      </c>
      <c r="N12" s="4" t="str">
        <f t="shared" si="6"/>
        <v/>
      </c>
      <c r="O12" s="4" t="str">
        <f>IF($B12="","",Inputs!$B$15-$M11)</f>
        <v/>
      </c>
      <c r="P12" s="3" t="str">
        <f t="shared" si="7"/>
        <v/>
      </c>
      <c r="Q12" s="3" t="str">
        <f t="shared" si="8"/>
        <v/>
      </c>
      <c r="R12" s="3" t="str">
        <f>IF($B12="","",IF($Q12,($L11+$N11+$G12)&gt;Inputs!$B$16,FALSE))</f>
        <v/>
      </c>
      <c r="S12" s="3" t="str">
        <f>IF($B12="","",IF(OR($F12&gt;Inputs!$B$15,$G12&gt;Inputs!$B$16),"TOO BIG",IF($R12,"NEW SHEET",IF($Q12,"NEW ROW","OK"))))</f>
        <v/>
      </c>
      <c r="U12" s="3" t="s">
        <v>56</v>
      </c>
      <c r="V12" s="8">
        <f>ROUNDUP(V8*(1+Inputs!$B$10),0)</f>
        <v>0</v>
      </c>
    </row>
    <row r="13" spans="1:25" x14ac:dyDescent="0.2">
      <c r="A13" s="4">
        <v>7</v>
      </c>
      <c r="B13" s="3" t="str">
        <f>IF(SortedPieces!$B9="","",SortedPieces!$B9)</f>
        <v/>
      </c>
      <c r="C13" s="4" t="str">
        <f>IF(SortedPieces!$C9="","",SortedPieces!$C9)</f>
        <v/>
      </c>
      <c r="D13" s="4" t="str">
        <f>IF(SortedPieces!$D9="","",SortedPieces!$D9)</f>
        <v/>
      </c>
      <c r="E13" s="3" t="str">
        <f>IF(SortedPieces!$E9="","",SortedPieces!$E9)</f>
        <v/>
      </c>
      <c r="F13" s="4" t="str">
        <f>IF($B13="","",IF($C13&lt;=$O13,$C13,IF(AND($E13="Y",$D13&lt;=$O13),$D13,IF(AND($E13="Y",$D13&lt;=Inputs!$B$15,$C13&lt;=Inputs!$B$15),IF($C13&lt;$D13,$D13,$C13),IF(AND($E13="Y",$D13&lt;=Inputs!$B$15),$D13,$C13)))))</f>
        <v/>
      </c>
      <c r="G13" s="4" t="str">
        <f>IF($B13="","",IF($C13&lt;=$O13,$D13,IF(AND($E13="Y",$D13&lt;=$O13),$C13,IF(AND($E13="Y",$D13&lt;=Inputs!$B$15,$C13&lt;=Inputs!$B$15),IF($C13&lt;$D13,$C13,$D13),IF(AND($E13="Y",$D13&lt;=Inputs!$B$15),$C13,$D13)))))</f>
        <v/>
      </c>
      <c r="H13" s="3" t="str">
        <f t="shared" si="0"/>
        <v/>
      </c>
      <c r="I13" s="4" t="str">
        <f t="shared" si="2"/>
        <v/>
      </c>
      <c r="J13" s="4" t="str">
        <f t="shared" si="3"/>
        <v/>
      </c>
      <c r="K13" s="4" t="str">
        <f t="shared" si="4"/>
        <v/>
      </c>
      <c r="L13" s="4" t="str">
        <f t="shared" si="5"/>
        <v/>
      </c>
      <c r="M13" s="4" t="str">
        <f t="shared" si="1"/>
        <v/>
      </c>
      <c r="N13" s="4" t="str">
        <f t="shared" si="6"/>
        <v/>
      </c>
      <c r="O13" s="4" t="str">
        <f>IF($B13="","",Inputs!$B$15-$M12)</f>
        <v/>
      </c>
      <c r="P13" s="3" t="str">
        <f t="shared" si="7"/>
        <v/>
      </c>
      <c r="Q13" s="3" t="str">
        <f t="shared" si="8"/>
        <v/>
      </c>
      <c r="R13" s="3" t="str">
        <f>IF($B13="","",IF($Q13,($L12+$N12+$G13)&gt;Inputs!$B$16,FALSE))</f>
        <v/>
      </c>
      <c r="S13" s="3" t="str">
        <f>IF($B13="","",IF(OR($F13&gt;Inputs!$B$15,$G13&gt;Inputs!$B$16),"TOO BIG",IF($R13,"NEW SHEET",IF($Q13,"NEW ROW","OK"))))</f>
        <v/>
      </c>
      <c r="U13" s="3" t="s">
        <v>57</v>
      </c>
      <c r="V13" s="11">
        <f>V12*Inputs!$B$9</f>
        <v>0</v>
      </c>
    </row>
    <row r="14" spans="1:25" x14ac:dyDescent="0.2">
      <c r="A14" s="4">
        <v>8</v>
      </c>
      <c r="B14" s="3" t="str">
        <f>IF(SortedPieces!$B10="","",SortedPieces!$B10)</f>
        <v/>
      </c>
      <c r="C14" s="4" t="str">
        <f>IF(SortedPieces!$C10="","",SortedPieces!$C10)</f>
        <v/>
      </c>
      <c r="D14" s="4" t="str">
        <f>IF(SortedPieces!$D10="","",SortedPieces!$D10)</f>
        <v/>
      </c>
      <c r="E14" s="3" t="str">
        <f>IF(SortedPieces!$E10="","",SortedPieces!$E10)</f>
        <v/>
      </c>
      <c r="F14" s="4" t="str">
        <f>IF($B14="","",IF($C14&lt;=$O14,$C14,IF(AND($E14="Y",$D14&lt;=$O14),$D14,IF(AND($E14="Y",$D14&lt;=Inputs!$B$15,$C14&lt;=Inputs!$B$15),IF($C14&lt;$D14,$D14,$C14),IF(AND($E14="Y",$D14&lt;=Inputs!$B$15),$D14,$C14)))))</f>
        <v/>
      </c>
      <c r="G14" s="4" t="str">
        <f>IF($B14="","",IF($C14&lt;=$O14,$D14,IF(AND($E14="Y",$D14&lt;=$O14),$C14,IF(AND($E14="Y",$D14&lt;=Inputs!$B$15,$C14&lt;=Inputs!$B$15),IF($C14&lt;$D14,$C14,$D14),IF(AND($E14="Y",$D14&lt;=Inputs!$B$15),$C14,$D14)))))</f>
        <v/>
      </c>
      <c r="H14" s="3" t="str">
        <f t="shared" si="0"/>
        <v/>
      </c>
      <c r="I14" s="4" t="str">
        <f t="shared" si="2"/>
        <v/>
      </c>
      <c r="J14" s="4" t="str">
        <f t="shared" si="3"/>
        <v/>
      </c>
      <c r="K14" s="4" t="str">
        <f t="shared" si="4"/>
        <v/>
      </c>
      <c r="L14" s="4" t="str">
        <f t="shared" si="5"/>
        <v/>
      </c>
      <c r="M14" s="4" t="str">
        <f t="shared" si="1"/>
        <v/>
      </c>
      <c r="N14" s="4" t="str">
        <f t="shared" si="6"/>
        <v/>
      </c>
      <c r="O14" s="4" t="str">
        <f>IF($B14="","",Inputs!$B$15-$M13)</f>
        <v/>
      </c>
      <c r="P14" s="3" t="str">
        <f t="shared" si="7"/>
        <v/>
      </c>
      <c r="Q14" s="3" t="str">
        <f t="shared" si="8"/>
        <v/>
      </c>
      <c r="R14" s="3" t="str">
        <f>IF($B14="","",IF($Q14,($L13+$N13+$G14)&gt;Inputs!$B$16,FALSE))</f>
        <v/>
      </c>
      <c r="S14" s="3" t="str">
        <f>IF($B14="","",IF(OR($F14&gt;Inputs!$B$15,$G14&gt;Inputs!$B$16),"TOO BIG",IF($R14,"NEW SHEET",IF($Q14,"NEW ROW","OK"))))</f>
        <v/>
      </c>
    </row>
    <row r="15" spans="1:25" x14ac:dyDescent="0.2">
      <c r="A15" s="4">
        <v>9</v>
      </c>
      <c r="B15" s="3" t="str">
        <f>IF(SortedPieces!$B11="","",SortedPieces!$B11)</f>
        <v/>
      </c>
      <c r="C15" s="4" t="str">
        <f>IF(SortedPieces!$C11="","",SortedPieces!$C11)</f>
        <v/>
      </c>
      <c r="D15" s="4" t="str">
        <f>IF(SortedPieces!$D11="","",SortedPieces!$D11)</f>
        <v/>
      </c>
      <c r="E15" s="3" t="str">
        <f>IF(SortedPieces!$E11="","",SortedPieces!$E11)</f>
        <v/>
      </c>
      <c r="F15" s="4" t="str">
        <f>IF($B15="","",IF($C15&lt;=$O15,$C15,IF(AND($E15="Y",$D15&lt;=$O15),$D15,IF(AND($E15="Y",$D15&lt;=Inputs!$B$15,$C15&lt;=Inputs!$B$15),IF($C15&lt;$D15,$D15,$C15),IF(AND($E15="Y",$D15&lt;=Inputs!$B$15),$D15,$C15)))))</f>
        <v/>
      </c>
      <c r="G15" s="4" t="str">
        <f>IF($B15="","",IF($C15&lt;=$O15,$D15,IF(AND($E15="Y",$D15&lt;=$O15),$C15,IF(AND($E15="Y",$D15&lt;=Inputs!$B$15,$C15&lt;=Inputs!$B$15),IF($C15&lt;$D15,$C15,$D15),IF(AND($E15="Y",$D15&lt;=Inputs!$B$15),$C15,$D15)))))</f>
        <v/>
      </c>
      <c r="H15" s="3" t="str">
        <f t="shared" si="0"/>
        <v/>
      </c>
      <c r="I15" s="4" t="str">
        <f t="shared" si="2"/>
        <v/>
      </c>
      <c r="J15" s="4" t="str">
        <f t="shared" si="3"/>
        <v/>
      </c>
      <c r="K15" s="4" t="str">
        <f t="shared" si="4"/>
        <v/>
      </c>
      <c r="L15" s="4" t="str">
        <f t="shared" si="5"/>
        <v/>
      </c>
      <c r="M15" s="4" t="str">
        <f t="shared" si="1"/>
        <v/>
      </c>
      <c r="N15" s="4" t="str">
        <f t="shared" si="6"/>
        <v/>
      </c>
      <c r="O15" s="4" t="str">
        <f>IF($B15="","",Inputs!$B$15-$M14)</f>
        <v/>
      </c>
      <c r="P15" s="3" t="str">
        <f t="shared" si="7"/>
        <v/>
      </c>
      <c r="Q15" s="3" t="str">
        <f t="shared" si="8"/>
        <v/>
      </c>
      <c r="R15" s="3" t="str">
        <f>IF($B15="","",IF($Q15,($L14+$N14+$G15)&gt;Inputs!$B$16,FALSE))</f>
        <v/>
      </c>
      <c r="S15" s="3" t="str">
        <f>IF($B15="","",IF(OR($F15&gt;Inputs!$B$15,$G15&gt;Inputs!$B$16),"TOO BIG",IF($R15,"NEW SHEET",IF($Q15,"NEW ROW","OK"))))</f>
        <v/>
      </c>
    </row>
    <row r="16" spans="1:25" x14ac:dyDescent="0.2">
      <c r="A16" s="4">
        <v>10</v>
      </c>
      <c r="B16" s="3" t="str">
        <f>IF(SortedPieces!$B12="","",SortedPieces!$B12)</f>
        <v/>
      </c>
      <c r="C16" s="4" t="str">
        <f>IF(SortedPieces!$C12="","",SortedPieces!$C12)</f>
        <v/>
      </c>
      <c r="D16" s="4" t="str">
        <f>IF(SortedPieces!$D12="","",SortedPieces!$D12)</f>
        <v/>
      </c>
      <c r="E16" s="3" t="str">
        <f>IF(SortedPieces!$E12="","",SortedPieces!$E12)</f>
        <v/>
      </c>
      <c r="F16" s="4" t="str">
        <f>IF($B16="","",IF($C16&lt;=$O16,$C16,IF(AND($E16="Y",$D16&lt;=$O16),$D16,IF(AND($E16="Y",$D16&lt;=Inputs!$B$15,$C16&lt;=Inputs!$B$15),IF($C16&lt;$D16,$D16,$C16),IF(AND($E16="Y",$D16&lt;=Inputs!$B$15),$D16,$C16)))))</f>
        <v/>
      </c>
      <c r="G16" s="4" t="str">
        <f>IF($B16="","",IF($C16&lt;=$O16,$D16,IF(AND($E16="Y",$D16&lt;=$O16),$C16,IF(AND($E16="Y",$D16&lt;=Inputs!$B$15,$C16&lt;=Inputs!$B$15),IF($C16&lt;$D16,$C16,$D16),IF(AND($E16="Y",$D16&lt;=Inputs!$B$15),$C16,$D16)))))</f>
        <v/>
      </c>
      <c r="H16" s="3" t="str">
        <f t="shared" si="0"/>
        <v/>
      </c>
      <c r="I16" s="4" t="str">
        <f t="shared" si="2"/>
        <v/>
      </c>
      <c r="J16" s="4" t="str">
        <f t="shared" si="3"/>
        <v/>
      </c>
      <c r="K16" s="4" t="str">
        <f t="shared" si="4"/>
        <v/>
      </c>
      <c r="L16" s="4" t="str">
        <f t="shared" si="5"/>
        <v/>
      </c>
      <c r="M16" s="4" t="str">
        <f t="shared" si="1"/>
        <v/>
      </c>
      <c r="N16" s="4" t="str">
        <f t="shared" si="6"/>
        <v/>
      </c>
      <c r="O16" s="4" t="str">
        <f>IF($B16="","",Inputs!$B$15-$M15)</f>
        <v/>
      </c>
      <c r="P16" s="3" t="str">
        <f t="shared" si="7"/>
        <v/>
      </c>
      <c r="Q16" s="3" t="str">
        <f t="shared" si="8"/>
        <v/>
      </c>
      <c r="R16" s="3" t="str">
        <f>IF($B16="","",IF($Q16,($L15+$N15+$G16)&gt;Inputs!$B$16,FALSE))</f>
        <v/>
      </c>
      <c r="S16" s="3" t="str">
        <f>IF($B16="","",IF(OR($F16&gt;Inputs!$B$15,$G16&gt;Inputs!$B$16),"TOO BIG",IF($R16,"NEW SHEET",IF($Q16,"NEW ROW","OK"))))</f>
        <v/>
      </c>
    </row>
    <row r="17" spans="1:19" x14ac:dyDescent="0.2">
      <c r="A17" s="4">
        <v>11</v>
      </c>
      <c r="B17" s="3" t="str">
        <f>IF(SortedPieces!$B13="","",SortedPieces!$B13)</f>
        <v/>
      </c>
      <c r="C17" s="4" t="str">
        <f>IF(SortedPieces!$C13="","",SortedPieces!$C13)</f>
        <v/>
      </c>
      <c r="D17" s="4" t="str">
        <f>IF(SortedPieces!$D13="","",SortedPieces!$D13)</f>
        <v/>
      </c>
      <c r="E17" s="3" t="str">
        <f>IF(SortedPieces!$E13="","",SortedPieces!$E13)</f>
        <v/>
      </c>
      <c r="F17" s="4" t="str">
        <f>IF($B17="","",IF($C17&lt;=$O17,$C17,IF(AND($E17="Y",$D17&lt;=$O17),$D17,IF(AND($E17="Y",$D17&lt;=Inputs!$B$15,$C17&lt;=Inputs!$B$15),IF($C17&lt;$D17,$D17,$C17),IF(AND($E17="Y",$D17&lt;=Inputs!$B$15),$D17,$C17)))))</f>
        <v/>
      </c>
      <c r="G17" s="4" t="str">
        <f>IF($B17="","",IF($C17&lt;=$O17,$D17,IF(AND($E17="Y",$D17&lt;=$O17),$C17,IF(AND($E17="Y",$D17&lt;=Inputs!$B$15,$C17&lt;=Inputs!$B$15),IF($C17&lt;$D17,$C17,$D17),IF(AND($E17="Y",$D17&lt;=Inputs!$B$15),$C17,$D17)))))</f>
        <v/>
      </c>
      <c r="H17" s="3" t="str">
        <f t="shared" si="0"/>
        <v/>
      </c>
      <c r="I17" s="4" t="str">
        <f t="shared" si="2"/>
        <v/>
      </c>
      <c r="J17" s="4" t="str">
        <f t="shared" si="3"/>
        <v/>
      </c>
      <c r="K17" s="4" t="str">
        <f t="shared" si="4"/>
        <v/>
      </c>
      <c r="L17" s="4" t="str">
        <f t="shared" si="5"/>
        <v/>
      </c>
      <c r="M17" s="4" t="str">
        <f t="shared" si="1"/>
        <v/>
      </c>
      <c r="N17" s="4" t="str">
        <f t="shared" si="6"/>
        <v/>
      </c>
      <c r="O17" s="4" t="str">
        <f>IF($B17="","",Inputs!$B$15-$M16)</f>
        <v/>
      </c>
      <c r="P17" s="3" t="str">
        <f t="shared" si="7"/>
        <v/>
      </c>
      <c r="Q17" s="3" t="str">
        <f t="shared" si="8"/>
        <v/>
      </c>
      <c r="R17" s="3" t="str">
        <f>IF($B17="","",IF($Q17,($L16+$N16+$G17)&gt;Inputs!$B$16,FALSE))</f>
        <v/>
      </c>
      <c r="S17" s="3" t="str">
        <f>IF($B17="","",IF(OR($F17&gt;Inputs!$B$15,$G17&gt;Inputs!$B$16),"TOO BIG",IF($R17,"NEW SHEET",IF($Q17,"NEW ROW","OK"))))</f>
        <v/>
      </c>
    </row>
    <row r="18" spans="1:19" x14ac:dyDescent="0.2">
      <c r="A18" s="4">
        <v>12</v>
      </c>
      <c r="B18" s="3" t="str">
        <f>IF(SortedPieces!$B14="","",SortedPieces!$B14)</f>
        <v/>
      </c>
      <c r="C18" s="4" t="str">
        <f>IF(SortedPieces!$C14="","",SortedPieces!$C14)</f>
        <v/>
      </c>
      <c r="D18" s="4" t="str">
        <f>IF(SortedPieces!$D14="","",SortedPieces!$D14)</f>
        <v/>
      </c>
      <c r="E18" s="3" t="str">
        <f>IF(SortedPieces!$E14="","",SortedPieces!$E14)</f>
        <v/>
      </c>
      <c r="F18" s="4" t="str">
        <f>IF($B18="","",IF($C18&lt;=$O18,$C18,IF(AND($E18="Y",$D18&lt;=$O18),$D18,IF(AND($E18="Y",$D18&lt;=Inputs!$B$15,$C18&lt;=Inputs!$B$15),IF($C18&lt;$D18,$D18,$C18),IF(AND($E18="Y",$D18&lt;=Inputs!$B$15),$D18,$C18)))))</f>
        <v/>
      </c>
      <c r="G18" s="4" t="str">
        <f>IF($B18="","",IF($C18&lt;=$O18,$D18,IF(AND($E18="Y",$D18&lt;=$O18),$C18,IF(AND($E18="Y",$D18&lt;=Inputs!$B$15,$C18&lt;=Inputs!$B$15),IF($C18&lt;$D18,$C18,$D18),IF(AND($E18="Y",$D18&lt;=Inputs!$B$15),$C18,$D18)))))</f>
        <v/>
      </c>
      <c r="H18" s="3" t="str">
        <f t="shared" si="0"/>
        <v/>
      </c>
      <c r="I18" s="4" t="str">
        <f t="shared" si="2"/>
        <v/>
      </c>
      <c r="J18" s="4" t="str">
        <f t="shared" si="3"/>
        <v/>
      </c>
      <c r="K18" s="4" t="str">
        <f t="shared" si="4"/>
        <v/>
      </c>
      <c r="L18" s="4" t="str">
        <f t="shared" si="5"/>
        <v/>
      </c>
      <c r="M18" s="4" t="str">
        <f t="shared" si="1"/>
        <v/>
      </c>
      <c r="N18" s="4" t="str">
        <f t="shared" si="6"/>
        <v/>
      </c>
      <c r="O18" s="4" t="str">
        <f>IF($B18="","",Inputs!$B$15-$M17)</f>
        <v/>
      </c>
      <c r="P18" s="3" t="str">
        <f t="shared" si="7"/>
        <v/>
      </c>
      <c r="Q18" s="3" t="str">
        <f t="shared" si="8"/>
        <v/>
      </c>
      <c r="R18" s="3" t="str">
        <f>IF($B18="","",IF($Q18,($L17+$N17+$G18)&gt;Inputs!$B$16,FALSE))</f>
        <v/>
      </c>
      <c r="S18" s="3" t="str">
        <f>IF($B18="","",IF(OR($F18&gt;Inputs!$B$15,$G18&gt;Inputs!$B$16),"TOO BIG",IF($R18,"NEW SHEET",IF($Q18,"NEW ROW","OK"))))</f>
        <v/>
      </c>
    </row>
    <row r="19" spans="1:19" x14ac:dyDescent="0.2">
      <c r="A19" s="4">
        <v>13</v>
      </c>
      <c r="B19" s="3" t="str">
        <f>IF(SortedPieces!$B15="","",SortedPieces!$B15)</f>
        <v/>
      </c>
      <c r="C19" s="4" t="str">
        <f>IF(SortedPieces!$C15="","",SortedPieces!$C15)</f>
        <v/>
      </c>
      <c r="D19" s="4" t="str">
        <f>IF(SortedPieces!$D15="","",SortedPieces!$D15)</f>
        <v/>
      </c>
      <c r="E19" s="3" t="str">
        <f>IF(SortedPieces!$E15="","",SortedPieces!$E15)</f>
        <v/>
      </c>
      <c r="F19" s="4" t="str">
        <f>IF($B19="","",IF($C19&lt;=$O19,$C19,IF(AND($E19="Y",$D19&lt;=$O19),$D19,IF(AND($E19="Y",$D19&lt;=Inputs!$B$15,$C19&lt;=Inputs!$B$15),IF($C19&lt;$D19,$D19,$C19),IF(AND($E19="Y",$D19&lt;=Inputs!$B$15),$D19,$C19)))))</f>
        <v/>
      </c>
      <c r="G19" s="4" t="str">
        <f>IF($B19="","",IF($C19&lt;=$O19,$D19,IF(AND($E19="Y",$D19&lt;=$O19),$C19,IF(AND($E19="Y",$D19&lt;=Inputs!$B$15,$C19&lt;=Inputs!$B$15),IF($C19&lt;$D19,$C19,$D19),IF(AND($E19="Y",$D19&lt;=Inputs!$B$15),$C19,$D19)))))</f>
        <v/>
      </c>
      <c r="H19" s="3" t="str">
        <f t="shared" si="0"/>
        <v/>
      </c>
      <c r="I19" s="4" t="str">
        <f t="shared" si="2"/>
        <v/>
      </c>
      <c r="J19" s="4" t="str">
        <f t="shared" si="3"/>
        <v/>
      </c>
      <c r="K19" s="4" t="str">
        <f t="shared" si="4"/>
        <v/>
      </c>
      <c r="L19" s="4" t="str">
        <f t="shared" si="5"/>
        <v/>
      </c>
      <c r="M19" s="4" t="str">
        <f t="shared" si="1"/>
        <v/>
      </c>
      <c r="N19" s="4" t="str">
        <f t="shared" si="6"/>
        <v/>
      </c>
      <c r="O19" s="4" t="str">
        <f>IF($B19="","",Inputs!$B$15-$M18)</f>
        <v/>
      </c>
      <c r="P19" s="3" t="str">
        <f t="shared" si="7"/>
        <v/>
      </c>
      <c r="Q19" s="3" t="str">
        <f t="shared" si="8"/>
        <v/>
      </c>
      <c r="R19" s="3" t="str">
        <f>IF($B19="","",IF($Q19,($L18+$N18+$G19)&gt;Inputs!$B$16,FALSE))</f>
        <v/>
      </c>
      <c r="S19" s="3" t="str">
        <f>IF($B19="","",IF(OR($F19&gt;Inputs!$B$15,$G19&gt;Inputs!$B$16),"TOO BIG",IF($R19,"NEW SHEET",IF($Q19,"NEW ROW","OK"))))</f>
        <v/>
      </c>
    </row>
    <row r="20" spans="1:19" x14ac:dyDescent="0.2">
      <c r="A20" s="4">
        <v>14</v>
      </c>
      <c r="B20" s="3" t="str">
        <f>IF(SortedPieces!$B16="","",SortedPieces!$B16)</f>
        <v/>
      </c>
      <c r="C20" s="4" t="str">
        <f>IF(SortedPieces!$C16="","",SortedPieces!$C16)</f>
        <v/>
      </c>
      <c r="D20" s="4" t="str">
        <f>IF(SortedPieces!$D16="","",SortedPieces!$D16)</f>
        <v/>
      </c>
      <c r="E20" s="3" t="str">
        <f>IF(SortedPieces!$E16="","",SortedPieces!$E16)</f>
        <v/>
      </c>
      <c r="F20" s="4" t="str">
        <f>IF($B20="","",IF($C20&lt;=$O20,$C20,IF(AND($E20="Y",$D20&lt;=$O20),$D20,IF(AND($E20="Y",$D20&lt;=Inputs!$B$15,$C20&lt;=Inputs!$B$15),IF($C20&lt;$D20,$D20,$C20),IF(AND($E20="Y",$D20&lt;=Inputs!$B$15),$D20,$C20)))))</f>
        <v/>
      </c>
      <c r="G20" s="4" t="str">
        <f>IF($B20="","",IF($C20&lt;=$O20,$D20,IF(AND($E20="Y",$D20&lt;=$O20),$C20,IF(AND($E20="Y",$D20&lt;=Inputs!$B$15,$C20&lt;=Inputs!$B$15),IF($C20&lt;$D20,$C20,$D20),IF(AND($E20="Y",$D20&lt;=Inputs!$B$15),$C20,$D20)))))</f>
        <v/>
      </c>
      <c r="H20" s="3" t="str">
        <f t="shared" si="0"/>
        <v/>
      </c>
      <c r="I20" s="4" t="str">
        <f t="shared" si="2"/>
        <v/>
      </c>
      <c r="J20" s="4" t="str">
        <f t="shared" si="3"/>
        <v/>
      </c>
      <c r="K20" s="4" t="str">
        <f t="shared" si="4"/>
        <v/>
      </c>
      <c r="L20" s="4" t="str">
        <f t="shared" si="5"/>
        <v/>
      </c>
      <c r="M20" s="4" t="str">
        <f t="shared" si="1"/>
        <v/>
      </c>
      <c r="N20" s="4" t="str">
        <f t="shared" si="6"/>
        <v/>
      </c>
      <c r="O20" s="4" t="str">
        <f>IF($B20="","",Inputs!$B$15-$M19)</f>
        <v/>
      </c>
      <c r="P20" s="3" t="str">
        <f t="shared" si="7"/>
        <v/>
      </c>
      <c r="Q20" s="3" t="str">
        <f t="shared" si="8"/>
        <v/>
      </c>
      <c r="R20" s="3" t="str">
        <f>IF($B20="","",IF($Q20,($L19+$N19+$G20)&gt;Inputs!$B$16,FALSE))</f>
        <v/>
      </c>
      <c r="S20" s="3" t="str">
        <f>IF($B20="","",IF(OR($F20&gt;Inputs!$B$15,$G20&gt;Inputs!$B$16),"TOO BIG",IF($R20,"NEW SHEET",IF($Q20,"NEW ROW","OK"))))</f>
        <v/>
      </c>
    </row>
    <row r="21" spans="1:19" x14ac:dyDescent="0.2">
      <c r="A21" s="4">
        <v>15</v>
      </c>
      <c r="B21" s="3" t="str">
        <f>IF(SortedPieces!$B17="","",SortedPieces!$B17)</f>
        <v/>
      </c>
      <c r="C21" s="4" t="str">
        <f>IF(SortedPieces!$C17="","",SortedPieces!$C17)</f>
        <v/>
      </c>
      <c r="D21" s="4" t="str">
        <f>IF(SortedPieces!$D17="","",SortedPieces!$D17)</f>
        <v/>
      </c>
      <c r="E21" s="3" t="str">
        <f>IF(SortedPieces!$E17="","",SortedPieces!$E17)</f>
        <v/>
      </c>
      <c r="F21" s="4" t="str">
        <f>IF($B21="","",IF($C21&lt;=$O21,$C21,IF(AND($E21="Y",$D21&lt;=$O21),$D21,IF(AND($E21="Y",$D21&lt;=Inputs!$B$15,$C21&lt;=Inputs!$B$15),IF($C21&lt;$D21,$D21,$C21),IF(AND($E21="Y",$D21&lt;=Inputs!$B$15),$D21,$C21)))))</f>
        <v/>
      </c>
      <c r="G21" s="4" t="str">
        <f>IF($B21="","",IF($C21&lt;=$O21,$D21,IF(AND($E21="Y",$D21&lt;=$O21),$C21,IF(AND($E21="Y",$D21&lt;=Inputs!$B$15,$C21&lt;=Inputs!$B$15),IF($C21&lt;$D21,$C21,$D21),IF(AND($E21="Y",$D21&lt;=Inputs!$B$15),$C21,$D21)))))</f>
        <v/>
      </c>
      <c r="H21" s="3" t="str">
        <f t="shared" si="0"/>
        <v/>
      </c>
      <c r="I21" s="4" t="str">
        <f t="shared" si="2"/>
        <v/>
      </c>
      <c r="J21" s="4" t="str">
        <f t="shared" si="3"/>
        <v/>
      </c>
      <c r="K21" s="4" t="str">
        <f t="shared" si="4"/>
        <v/>
      </c>
      <c r="L21" s="4" t="str">
        <f t="shared" si="5"/>
        <v/>
      </c>
      <c r="M21" s="4" t="str">
        <f t="shared" si="1"/>
        <v/>
      </c>
      <c r="N21" s="4" t="str">
        <f t="shared" si="6"/>
        <v/>
      </c>
      <c r="O21" s="4" t="str">
        <f>IF($B21="","",Inputs!$B$15-$M20)</f>
        <v/>
      </c>
      <c r="P21" s="3" t="str">
        <f t="shared" si="7"/>
        <v/>
      </c>
      <c r="Q21" s="3" t="str">
        <f t="shared" si="8"/>
        <v/>
      </c>
      <c r="R21" s="3" t="str">
        <f>IF($B21="","",IF($Q21,($L20+$N20+$G21)&gt;Inputs!$B$16,FALSE))</f>
        <v/>
      </c>
      <c r="S21" s="3" t="str">
        <f>IF($B21="","",IF(OR($F21&gt;Inputs!$B$15,$G21&gt;Inputs!$B$16),"TOO BIG",IF($R21,"NEW SHEET",IF($Q21,"NEW ROW","OK"))))</f>
        <v/>
      </c>
    </row>
    <row r="22" spans="1:19" x14ac:dyDescent="0.2">
      <c r="A22" s="4">
        <v>16</v>
      </c>
      <c r="B22" s="3" t="str">
        <f>IF(SortedPieces!$B18="","",SortedPieces!$B18)</f>
        <v/>
      </c>
      <c r="C22" s="4" t="str">
        <f>IF(SortedPieces!$C18="","",SortedPieces!$C18)</f>
        <v/>
      </c>
      <c r="D22" s="4" t="str">
        <f>IF(SortedPieces!$D18="","",SortedPieces!$D18)</f>
        <v/>
      </c>
      <c r="E22" s="3" t="str">
        <f>IF(SortedPieces!$E18="","",SortedPieces!$E18)</f>
        <v/>
      </c>
      <c r="F22" s="4" t="str">
        <f>IF($B22="","",IF($C22&lt;=$O22,$C22,IF(AND($E22="Y",$D22&lt;=$O22),$D22,IF(AND($E22="Y",$D22&lt;=Inputs!$B$15,$C22&lt;=Inputs!$B$15),IF($C22&lt;$D22,$D22,$C22),IF(AND($E22="Y",$D22&lt;=Inputs!$B$15),$D22,$C22)))))</f>
        <v/>
      </c>
      <c r="G22" s="4" t="str">
        <f>IF($B22="","",IF($C22&lt;=$O22,$D22,IF(AND($E22="Y",$D22&lt;=$O22),$C22,IF(AND($E22="Y",$D22&lt;=Inputs!$B$15,$C22&lt;=Inputs!$B$15),IF($C22&lt;$D22,$C22,$D22),IF(AND($E22="Y",$D22&lt;=Inputs!$B$15),$C22,$D22)))))</f>
        <v/>
      </c>
      <c r="H22" s="3" t="str">
        <f t="shared" si="0"/>
        <v/>
      </c>
      <c r="I22" s="4" t="str">
        <f t="shared" si="2"/>
        <v/>
      </c>
      <c r="J22" s="4" t="str">
        <f t="shared" si="3"/>
        <v/>
      </c>
      <c r="K22" s="4" t="str">
        <f t="shared" si="4"/>
        <v/>
      </c>
      <c r="L22" s="4" t="str">
        <f t="shared" si="5"/>
        <v/>
      </c>
      <c r="M22" s="4" t="str">
        <f t="shared" si="1"/>
        <v/>
      </c>
      <c r="N22" s="4" t="str">
        <f t="shared" si="6"/>
        <v/>
      </c>
      <c r="O22" s="4" t="str">
        <f>IF($B22="","",Inputs!$B$15-$M21)</f>
        <v/>
      </c>
      <c r="P22" s="3" t="str">
        <f t="shared" si="7"/>
        <v/>
      </c>
      <c r="Q22" s="3" t="str">
        <f t="shared" si="8"/>
        <v/>
      </c>
      <c r="R22" s="3" t="str">
        <f>IF($B22="","",IF($Q22,($L21+$N21+$G22)&gt;Inputs!$B$16,FALSE))</f>
        <v/>
      </c>
      <c r="S22" s="3" t="str">
        <f>IF($B22="","",IF(OR($F22&gt;Inputs!$B$15,$G22&gt;Inputs!$B$16),"TOO BIG",IF($R22,"NEW SHEET",IF($Q22,"NEW ROW","OK"))))</f>
        <v/>
      </c>
    </row>
    <row r="23" spans="1:19" x14ac:dyDescent="0.2">
      <c r="A23" s="4">
        <v>17</v>
      </c>
      <c r="B23" s="3" t="str">
        <f>IF(SortedPieces!$B19="","",SortedPieces!$B19)</f>
        <v/>
      </c>
      <c r="C23" s="4" t="str">
        <f>IF(SortedPieces!$C19="","",SortedPieces!$C19)</f>
        <v/>
      </c>
      <c r="D23" s="4" t="str">
        <f>IF(SortedPieces!$D19="","",SortedPieces!$D19)</f>
        <v/>
      </c>
      <c r="E23" s="3" t="str">
        <f>IF(SortedPieces!$E19="","",SortedPieces!$E19)</f>
        <v/>
      </c>
      <c r="F23" s="4" t="str">
        <f>IF($B23="","",IF($C23&lt;=$O23,$C23,IF(AND($E23="Y",$D23&lt;=$O23),$D23,IF(AND($E23="Y",$D23&lt;=Inputs!$B$15,$C23&lt;=Inputs!$B$15),IF($C23&lt;$D23,$D23,$C23),IF(AND($E23="Y",$D23&lt;=Inputs!$B$15),$D23,$C23)))))</f>
        <v/>
      </c>
      <c r="G23" s="4" t="str">
        <f>IF($B23="","",IF($C23&lt;=$O23,$D23,IF(AND($E23="Y",$D23&lt;=$O23),$C23,IF(AND($E23="Y",$D23&lt;=Inputs!$B$15,$C23&lt;=Inputs!$B$15),IF($C23&lt;$D23,$C23,$D23),IF(AND($E23="Y",$D23&lt;=Inputs!$B$15),$C23,$D23)))))</f>
        <v/>
      </c>
      <c r="H23" s="3" t="str">
        <f t="shared" si="0"/>
        <v/>
      </c>
      <c r="I23" s="4" t="str">
        <f t="shared" si="2"/>
        <v/>
      </c>
      <c r="J23" s="4" t="str">
        <f t="shared" si="3"/>
        <v/>
      </c>
      <c r="K23" s="4" t="str">
        <f t="shared" si="4"/>
        <v/>
      </c>
      <c r="L23" s="4" t="str">
        <f t="shared" si="5"/>
        <v/>
      </c>
      <c r="M23" s="4" t="str">
        <f t="shared" si="1"/>
        <v/>
      </c>
      <c r="N23" s="4" t="str">
        <f t="shared" si="6"/>
        <v/>
      </c>
      <c r="O23" s="4" t="str">
        <f>IF($B23="","",Inputs!$B$15-$M22)</f>
        <v/>
      </c>
      <c r="P23" s="3" t="str">
        <f t="shared" si="7"/>
        <v/>
      </c>
      <c r="Q23" s="3" t="str">
        <f t="shared" si="8"/>
        <v/>
      </c>
      <c r="R23" s="3" t="str">
        <f>IF($B23="","",IF($Q23,($L22+$N22+$G23)&gt;Inputs!$B$16,FALSE))</f>
        <v/>
      </c>
      <c r="S23" s="3" t="str">
        <f>IF($B23="","",IF(OR($F23&gt;Inputs!$B$15,$G23&gt;Inputs!$B$16),"TOO BIG",IF($R23,"NEW SHEET",IF($Q23,"NEW ROW","OK"))))</f>
        <v/>
      </c>
    </row>
    <row r="24" spans="1:19" x14ac:dyDescent="0.2">
      <c r="A24" s="4">
        <v>18</v>
      </c>
      <c r="B24" s="3" t="str">
        <f>IF(SortedPieces!$B20="","",SortedPieces!$B20)</f>
        <v/>
      </c>
      <c r="C24" s="4" t="str">
        <f>IF(SortedPieces!$C20="","",SortedPieces!$C20)</f>
        <v/>
      </c>
      <c r="D24" s="4" t="str">
        <f>IF(SortedPieces!$D20="","",SortedPieces!$D20)</f>
        <v/>
      </c>
      <c r="E24" s="3" t="str">
        <f>IF(SortedPieces!$E20="","",SortedPieces!$E20)</f>
        <v/>
      </c>
      <c r="F24" s="4" t="str">
        <f>IF($B24="","",IF($C24&lt;=$O24,$C24,IF(AND($E24="Y",$D24&lt;=$O24),$D24,IF(AND($E24="Y",$D24&lt;=Inputs!$B$15,$C24&lt;=Inputs!$B$15),IF($C24&lt;$D24,$D24,$C24),IF(AND($E24="Y",$D24&lt;=Inputs!$B$15),$D24,$C24)))))</f>
        <v/>
      </c>
      <c r="G24" s="4" t="str">
        <f>IF($B24="","",IF($C24&lt;=$O24,$D24,IF(AND($E24="Y",$D24&lt;=$O24),$C24,IF(AND($E24="Y",$D24&lt;=Inputs!$B$15,$C24&lt;=Inputs!$B$15),IF($C24&lt;$D24,$C24,$D24),IF(AND($E24="Y",$D24&lt;=Inputs!$B$15),$C24,$D24)))))</f>
        <v/>
      </c>
      <c r="H24" s="3" t="str">
        <f t="shared" si="0"/>
        <v/>
      </c>
      <c r="I24" s="4" t="str">
        <f t="shared" si="2"/>
        <v/>
      </c>
      <c r="J24" s="4" t="str">
        <f t="shared" si="3"/>
        <v/>
      </c>
      <c r="K24" s="4" t="str">
        <f t="shared" si="4"/>
        <v/>
      </c>
      <c r="L24" s="4" t="str">
        <f t="shared" si="5"/>
        <v/>
      </c>
      <c r="M24" s="4" t="str">
        <f t="shared" si="1"/>
        <v/>
      </c>
      <c r="N24" s="4" t="str">
        <f t="shared" si="6"/>
        <v/>
      </c>
      <c r="O24" s="4" t="str">
        <f>IF($B24="","",Inputs!$B$15-$M23)</f>
        <v/>
      </c>
      <c r="P24" s="3" t="str">
        <f t="shared" si="7"/>
        <v/>
      </c>
      <c r="Q24" s="3" t="str">
        <f t="shared" si="8"/>
        <v/>
      </c>
      <c r="R24" s="3" t="str">
        <f>IF($B24="","",IF($Q24,($L23+$N23+$G24)&gt;Inputs!$B$16,FALSE))</f>
        <v/>
      </c>
      <c r="S24" s="3" t="str">
        <f>IF($B24="","",IF(OR($F24&gt;Inputs!$B$15,$G24&gt;Inputs!$B$16),"TOO BIG",IF($R24,"NEW SHEET",IF($Q24,"NEW ROW","OK"))))</f>
        <v/>
      </c>
    </row>
    <row r="25" spans="1:19" x14ac:dyDescent="0.2">
      <c r="A25" s="4">
        <v>19</v>
      </c>
      <c r="B25" s="3" t="str">
        <f>IF(SortedPieces!$B21="","",SortedPieces!$B21)</f>
        <v/>
      </c>
      <c r="C25" s="4" t="str">
        <f>IF(SortedPieces!$C21="","",SortedPieces!$C21)</f>
        <v/>
      </c>
      <c r="D25" s="4" t="str">
        <f>IF(SortedPieces!$D21="","",SortedPieces!$D21)</f>
        <v/>
      </c>
      <c r="E25" s="3" t="str">
        <f>IF(SortedPieces!$E21="","",SortedPieces!$E21)</f>
        <v/>
      </c>
      <c r="F25" s="4" t="str">
        <f>IF($B25="","",IF($C25&lt;=$O25,$C25,IF(AND($E25="Y",$D25&lt;=$O25),$D25,IF(AND($E25="Y",$D25&lt;=Inputs!$B$15,$C25&lt;=Inputs!$B$15),IF($C25&lt;$D25,$D25,$C25),IF(AND($E25="Y",$D25&lt;=Inputs!$B$15),$D25,$C25)))))</f>
        <v/>
      </c>
      <c r="G25" s="4" t="str">
        <f>IF($B25="","",IF($C25&lt;=$O25,$D25,IF(AND($E25="Y",$D25&lt;=$O25),$C25,IF(AND($E25="Y",$D25&lt;=Inputs!$B$15,$C25&lt;=Inputs!$B$15),IF($C25&lt;$D25,$C25,$D25),IF(AND($E25="Y",$D25&lt;=Inputs!$B$15),$C25,$D25)))))</f>
        <v/>
      </c>
      <c r="H25" s="3" t="str">
        <f t="shared" si="0"/>
        <v/>
      </c>
      <c r="I25" s="4" t="str">
        <f t="shared" si="2"/>
        <v/>
      </c>
      <c r="J25" s="4" t="str">
        <f t="shared" si="3"/>
        <v/>
      </c>
      <c r="K25" s="4" t="str">
        <f t="shared" si="4"/>
        <v/>
      </c>
      <c r="L25" s="4" t="str">
        <f t="shared" si="5"/>
        <v/>
      </c>
      <c r="M25" s="4" t="str">
        <f t="shared" si="1"/>
        <v/>
      </c>
      <c r="N25" s="4" t="str">
        <f t="shared" si="6"/>
        <v/>
      </c>
      <c r="O25" s="4" t="str">
        <f>IF($B25="","",Inputs!$B$15-$M24)</f>
        <v/>
      </c>
      <c r="P25" s="3" t="str">
        <f t="shared" si="7"/>
        <v/>
      </c>
      <c r="Q25" s="3" t="str">
        <f t="shared" si="8"/>
        <v/>
      </c>
      <c r="R25" s="3" t="str">
        <f>IF($B25="","",IF($Q25,($L24+$N24+$G25)&gt;Inputs!$B$16,FALSE))</f>
        <v/>
      </c>
      <c r="S25" s="3" t="str">
        <f>IF($B25="","",IF(OR($F25&gt;Inputs!$B$15,$G25&gt;Inputs!$B$16),"TOO BIG",IF($R25,"NEW SHEET",IF($Q25,"NEW ROW","OK"))))</f>
        <v/>
      </c>
    </row>
    <row r="26" spans="1:19" x14ac:dyDescent="0.2">
      <c r="A26" s="4">
        <v>20</v>
      </c>
      <c r="B26" s="3" t="str">
        <f>IF(SortedPieces!$B22="","",SortedPieces!$B22)</f>
        <v/>
      </c>
      <c r="C26" s="4" t="str">
        <f>IF(SortedPieces!$C22="","",SortedPieces!$C22)</f>
        <v/>
      </c>
      <c r="D26" s="4" t="str">
        <f>IF(SortedPieces!$D22="","",SortedPieces!$D22)</f>
        <v/>
      </c>
      <c r="E26" s="3" t="str">
        <f>IF(SortedPieces!$E22="","",SortedPieces!$E22)</f>
        <v/>
      </c>
      <c r="F26" s="4" t="str">
        <f>IF($B26="","",IF($C26&lt;=$O26,$C26,IF(AND($E26="Y",$D26&lt;=$O26),$D26,IF(AND($E26="Y",$D26&lt;=Inputs!$B$15,$C26&lt;=Inputs!$B$15),IF($C26&lt;$D26,$D26,$C26),IF(AND($E26="Y",$D26&lt;=Inputs!$B$15),$D26,$C26)))))</f>
        <v/>
      </c>
      <c r="G26" s="4" t="str">
        <f>IF($B26="","",IF($C26&lt;=$O26,$D26,IF(AND($E26="Y",$D26&lt;=$O26),$C26,IF(AND($E26="Y",$D26&lt;=Inputs!$B$15,$C26&lt;=Inputs!$B$15),IF($C26&lt;$D26,$C26,$D26),IF(AND($E26="Y",$D26&lt;=Inputs!$B$15),$C26,$D26)))))</f>
        <v/>
      </c>
      <c r="H26" s="3" t="str">
        <f t="shared" si="0"/>
        <v/>
      </c>
      <c r="I26" s="4" t="str">
        <f t="shared" si="2"/>
        <v/>
      </c>
      <c r="J26" s="4" t="str">
        <f t="shared" si="3"/>
        <v/>
      </c>
      <c r="K26" s="4" t="str">
        <f t="shared" si="4"/>
        <v/>
      </c>
      <c r="L26" s="4" t="str">
        <f t="shared" si="5"/>
        <v/>
      </c>
      <c r="M26" s="4" t="str">
        <f t="shared" si="1"/>
        <v/>
      </c>
      <c r="N26" s="4" t="str">
        <f t="shared" si="6"/>
        <v/>
      </c>
      <c r="O26" s="4" t="str">
        <f>IF($B26="","",Inputs!$B$15-$M25)</f>
        <v/>
      </c>
      <c r="P26" s="3" t="str">
        <f t="shared" si="7"/>
        <v/>
      </c>
      <c r="Q26" s="3" t="str">
        <f t="shared" si="8"/>
        <v/>
      </c>
      <c r="R26" s="3" t="str">
        <f>IF($B26="","",IF($Q26,($L25+$N25+$G26)&gt;Inputs!$B$16,FALSE))</f>
        <v/>
      </c>
      <c r="S26" s="3" t="str">
        <f>IF($B26="","",IF(OR($F26&gt;Inputs!$B$15,$G26&gt;Inputs!$B$16),"TOO BIG",IF($R26,"NEW SHEET",IF($Q26,"NEW ROW","OK"))))</f>
        <v/>
      </c>
    </row>
    <row r="27" spans="1:19" x14ac:dyDescent="0.2">
      <c r="A27" s="4">
        <v>21</v>
      </c>
      <c r="B27" s="3" t="str">
        <f>IF(SortedPieces!$B23="","",SortedPieces!$B23)</f>
        <v/>
      </c>
      <c r="C27" s="4" t="str">
        <f>IF(SortedPieces!$C23="","",SortedPieces!$C23)</f>
        <v/>
      </c>
      <c r="D27" s="4" t="str">
        <f>IF(SortedPieces!$D23="","",SortedPieces!$D23)</f>
        <v/>
      </c>
      <c r="E27" s="3" t="str">
        <f>IF(SortedPieces!$E23="","",SortedPieces!$E23)</f>
        <v/>
      </c>
      <c r="F27" s="4" t="str">
        <f>IF($B27="","",IF($C27&lt;=$O27,$C27,IF(AND($E27="Y",$D27&lt;=$O27),$D27,IF(AND($E27="Y",$D27&lt;=Inputs!$B$15,$C27&lt;=Inputs!$B$15),IF($C27&lt;$D27,$D27,$C27),IF(AND($E27="Y",$D27&lt;=Inputs!$B$15),$D27,$C27)))))</f>
        <v/>
      </c>
      <c r="G27" s="4" t="str">
        <f>IF($B27="","",IF($C27&lt;=$O27,$D27,IF(AND($E27="Y",$D27&lt;=$O27),$C27,IF(AND($E27="Y",$D27&lt;=Inputs!$B$15,$C27&lt;=Inputs!$B$15),IF($C27&lt;$D27,$C27,$D27),IF(AND($E27="Y",$D27&lt;=Inputs!$B$15),$C27,$D27)))))</f>
        <v/>
      </c>
      <c r="H27" s="3" t="str">
        <f t="shared" si="0"/>
        <v/>
      </c>
      <c r="I27" s="4" t="str">
        <f t="shared" si="2"/>
        <v/>
      </c>
      <c r="J27" s="4" t="str">
        <f t="shared" si="3"/>
        <v/>
      </c>
      <c r="K27" s="4" t="str">
        <f t="shared" si="4"/>
        <v/>
      </c>
      <c r="L27" s="4" t="str">
        <f t="shared" si="5"/>
        <v/>
      </c>
      <c r="M27" s="4" t="str">
        <f t="shared" si="1"/>
        <v/>
      </c>
      <c r="N27" s="4" t="str">
        <f t="shared" si="6"/>
        <v/>
      </c>
      <c r="O27" s="4" t="str">
        <f>IF($B27="","",Inputs!$B$15-$M26)</f>
        <v/>
      </c>
      <c r="P27" s="3" t="str">
        <f t="shared" si="7"/>
        <v/>
      </c>
      <c r="Q27" s="3" t="str">
        <f t="shared" si="8"/>
        <v/>
      </c>
      <c r="R27" s="3" t="str">
        <f>IF($B27="","",IF($Q27,($L26+$N26+$G27)&gt;Inputs!$B$16,FALSE))</f>
        <v/>
      </c>
      <c r="S27" s="3" t="str">
        <f>IF($B27="","",IF(OR($F27&gt;Inputs!$B$15,$G27&gt;Inputs!$B$16),"TOO BIG",IF($R27,"NEW SHEET",IF($Q27,"NEW ROW","OK"))))</f>
        <v/>
      </c>
    </row>
    <row r="28" spans="1:19" x14ac:dyDescent="0.2">
      <c r="A28" s="4">
        <v>22</v>
      </c>
      <c r="B28" s="3" t="str">
        <f>IF(SortedPieces!$B24="","",SortedPieces!$B24)</f>
        <v/>
      </c>
      <c r="C28" s="4" t="str">
        <f>IF(SortedPieces!$C24="","",SortedPieces!$C24)</f>
        <v/>
      </c>
      <c r="D28" s="4" t="str">
        <f>IF(SortedPieces!$D24="","",SortedPieces!$D24)</f>
        <v/>
      </c>
      <c r="E28" s="3" t="str">
        <f>IF(SortedPieces!$E24="","",SortedPieces!$E24)</f>
        <v/>
      </c>
      <c r="F28" s="4" t="str">
        <f>IF($B28="","",IF($C28&lt;=$O28,$C28,IF(AND($E28="Y",$D28&lt;=$O28),$D28,IF(AND($E28="Y",$D28&lt;=Inputs!$B$15,$C28&lt;=Inputs!$B$15),IF($C28&lt;$D28,$D28,$C28),IF(AND($E28="Y",$D28&lt;=Inputs!$B$15),$D28,$C28)))))</f>
        <v/>
      </c>
      <c r="G28" s="4" t="str">
        <f>IF($B28="","",IF($C28&lt;=$O28,$D28,IF(AND($E28="Y",$D28&lt;=$O28),$C28,IF(AND($E28="Y",$D28&lt;=Inputs!$B$15,$C28&lt;=Inputs!$B$15),IF($C28&lt;$D28,$C28,$D28),IF(AND($E28="Y",$D28&lt;=Inputs!$B$15),$C28,$D28)))))</f>
        <v/>
      </c>
      <c r="H28" s="3" t="str">
        <f t="shared" si="0"/>
        <v/>
      </c>
      <c r="I28" s="4" t="str">
        <f t="shared" si="2"/>
        <v/>
      </c>
      <c r="J28" s="4" t="str">
        <f t="shared" si="3"/>
        <v/>
      </c>
      <c r="K28" s="4" t="str">
        <f t="shared" si="4"/>
        <v/>
      </c>
      <c r="L28" s="4" t="str">
        <f t="shared" si="5"/>
        <v/>
      </c>
      <c r="M28" s="4" t="str">
        <f t="shared" si="1"/>
        <v/>
      </c>
      <c r="N28" s="4" t="str">
        <f t="shared" si="6"/>
        <v/>
      </c>
      <c r="O28" s="4" t="str">
        <f>IF($B28="","",Inputs!$B$15-$M27)</f>
        <v/>
      </c>
      <c r="P28" s="3" t="str">
        <f t="shared" si="7"/>
        <v/>
      </c>
      <c r="Q28" s="3" t="str">
        <f t="shared" si="8"/>
        <v/>
      </c>
      <c r="R28" s="3" t="str">
        <f>IF($B28="","",IF($Q28,($L27+$N27+$G28)&gt;Inputs!$B$16,FALSE))</f>
        <v/>
      </c>
      <c r="S28" s="3" t="str">
        <f>IF($B28="","",IF(OR($F28&gt;Inputs!$B$15,$G28&gt;Inputs!$B$16),"TOO BIG",IF($R28,"NEW SHEET",IF($Q28,"NEW ROW","OK"))))</f>
        <v/>
      </c>
    </row>
    <row r="29" spans="1:19" x14ac:dyDescent="0.2">
      <c r="A29" s="4">
        <v>23</v>
      </c>
      <c r="B29" s="3" t="str">
        <f>IF(SortedPieces!$B25="","",SortedPieces!$B25)</f>
        <v/>
      </c>
      <c r="C29" s="4" t="str">
        <f>IF(SortedPieces!$C25="","",SortedPieces!$C25)</f>
        <v/>
      </c>
      <c r="D29" s="4" t="str">
        <f>IF(SortedPieces!$D25="","",SortedPieces!$D25)</f>
        <v/>
      </c>
      <c r="E29" s="3" t="str">
        <f>IF(SortedPieces!$E25="","",SortedPieces!$E25)</f>
        <v/>
      </c>
      <c r="F29" s="4" t="str">
        <f>IF($B29="","",IF($C29&lt;=$O29,$C29,IF(AND($E29="Y",$D29&lt;=$O29),$D29,IF(AND($E29="Y",$D29&lt;=Inputs!$B$15,$C29&lt;=Inputs!$B$15),IF($C29&lt;$D29,$D29,$C29),IF(AND($E29="Y",$D29&lt;=Inputs!$B$15),$D29,$C29)))))</f>
        <v/>
      </c>
      <c r="G29" s="4" t="str">
        <f>IF($B29="","",IF($C29&lt;=$O29,$D29,IF(AND($E29="Y",$D29&lt;=$O29),$C29,IF(AND($E29="Y",$D29&lt;=Inputs!$B$15,$C29&lt;=Inputs!$B$15),IF($C29&lt;$D29,$C29,$D29),IF(AND($E29="Y",$D29&lt;=Inputs!$B$15),$C29,$D29)))))</f>
        <v/>
      </c>
      <c r="H29" s="3" t="str">
        <f t="shared" si="0"/>
        <v/>
      </c>
      <c r="I29" s="4" t="str">
        <f t="shared" si="2"/>
        <v/>
      </c>
      <c r="J29" s="4" t="str">
        <f t="shared" si="3"/>
        <v/>
      </c>
      <c r="K29" s="4" t="str">
        <f t="shared" si="4"/>
        <v/>
      </c>
      <c r="L29" s="4" t="str">
        <f t="shared" si="5"/>
        <v/>
      </c>
      <c r="M29" s="4" t="str">
        <f t="shared" si="1"/>
        <v/>
      </c>
      <c r="N29" s="4" t="str">
        <f t="shared" si="6"/>
        <v/>
      </c>
      <c r="O29" s="4" t="str">
        <f>IF($B29="","",Inputs!$B$15-$M28)</f>
        <v/>
      </c>
      <c r="P29" s="3" t="str">
        <f t="shared" si="7"/>
        <v/>
      </c>
      <c r="Q29" s="3" t="str">
        <f t="shared" si="8"/>
        <v/>
      </c>
      <c r="R29" s="3" t="str">
        <f>IF($B29="","",IF($Q29,($L28+$N28+$G29)&gt;Inputs!$B$16,FALSE))</f>
        <v/>
      </c>
      <c r="S29" s="3" t="str">
        <f>IF($B29="","",IF(OR($F29&gt;Inputs!$B$15,$G29&gt;Inputs!$B$16),"TOO BIG",IF($R29,"NEW SHEET",IF($Q29,"NEW ROW","OK"))))</f>
        <v/>
      </c>
    </row>
    <row r="30" spans="1:19" x14ac:dyDescent="0.2">
      <c r="A30" s="4">
        <v>24</v>
      </c>
      <c r="B30" s="3" t="str">
        <f>IF(SortedPieces!$B26="","",SortedPieces!$B26)</f>
        <v/>
      </c>
      <c r="C30" s="4" t="str">
        <f>IF(SortedPieces!$C26="","",SortedPieces!$C26)</f>
        <v/>
      </c>
      <c r="D30" s="4" t="str">
        <f>IF(SortedPieces!$D26="","",SortedPieces!$D26)</f>
        <v/>
      </c>
      <c r="E30" s="3" t="str">
        <f>IF(SortedPieces!$E26="","",SortedPieces!$E26)</f>
        <v/>
      </c>
      <c r="F30" s="4" t="str">
        <f>IF($B30="","",IF($C30&lt;=$O30,$C30,IF(AND($E30="Y",$D30&lt;=$O30),$D30,IF(AND($E30="Y",$D30&lt;=Inputs!$B$15,$C30&lt;=Inputs!$B$15),IF($C30&lt;$D30,$D30,$C30),IF(AND($E30="Y",$D30&lt;=Inputs!$B$15),$D30,$C30)))))</f>
        <v/>
      </c>
      <c r="G30" s="4" t="str">
        <f>IF($B30="","",IF($C30&lt;=$O30,$D30,IF(AND($E30="Y",$D30&lt;=$O30),$C30,IF(AND($E30="Y",$D30&lt;=Inputs!$B$15,$C30&lt;=Inputs!$B$15),IF($C30&lt;$D30,$C30,$D30),IF(AND($E30="Y",$D30&lt;=Inputs!$B$15),$C30,$D30)))))</f>
        <v/>
      </c>
      <c r="H30" s="3" t="str">
        <f t="shared" si="0"/>
        <v/>
      </c>
      <c r="I30" s="4" t="str">
        <f t="shared" si="2"/>
        <v/>
      </c>
      <c r="J30" s="4" t="str">
        <f t="shared" si="3"/>
        <v/>
      </c>
      <c r="K30" s="4" t="str">
        <f t="shared" si="4"/>
        <v/>
      </c>
      <c r="L30" s="4" t="str">
        <f t="shared" si="5"/>
        <v/>
      </c>
      <c r="M30" s="4" t="str">
        <f t="shared" si="1"/>
        <v/>
      </c>
      <c r="N30" s="4" t="str">
        <f t="shared" si="6"/>
        <v/>
      </c>
      <c r="O30" s="4" t="str">
        <f>IF($B30="","",Inputs!$B$15-$M29)</f>
        <v/>
      </c>
      <c r="P30" s="3" t="str">
        <f t="shared" si="7"/>
        <v/>
      </c>
      <c r="Q30" s="3" t="str">
        <f t="shared" si="8"/>
        <v/>
      </c>
      <c r="R30" s="3" t="str">
        <f>IF($B30="","",IF($Q30,($L29+$N29+$G30)&gt;Inputs!$B$16,FALSE))</f>
        <v/>
      </c>
      <c r="S30" s="3" t="str">
        <f>IF($B30="","",IF(OR($F30&gt;Inputs!$B$15,$G30&gt;Inputs!$B$16),"TOO BIG",IF($R30,"NEW SHEET",IF($Q30,"NEW ROW","OK"))))</f>
        <v/>
      </c>
    </row>
    <row r="31" spans="1:19" x14ac:dyDescent="0.2">
      <c r="A31" s="4">
        <v>25</v>
      </c>
      <c r="B31" s="3" t="str">
        <f>IF(SortedPieces!$B27="","",SortedPieces!$B27)</f>
        <v/>
      </c>
      <c r="C31" s="4" t="str">
        <f>IF(SortedPieces!$C27="","",SortedPieces!$C27)</f>
        <v/>
      </c>
      <c r="D31" s="4" t="str">
        <f>IF(SortedPieces!$D27="","",SortedPieces!$D27)</f>
        <v/>
      </c>
      <c r="E31" s="3" t="str">
        <f>IF(SortedPieces!$E27="","",SortedPieces!$E27)</f>
        <v/>
      </c>
      <c r="F31" s="4" t="str">
        <f>IF($B31="","",IF($C31&lt;=$O31,$C31,IF(AND($E31="Y",$D31&lt;=$O31),$D31,IF(AND($E31="Y",$D31&lt;=Inputs!$B$15,$C31&lt;=Inputs!$B$15),IF($C31&lt;$D31,$D31,$C31),IF(AND($E31="Y",$D31&lt;=Inputs!$B$15),$D31,$C31)))))</f>
        <v/>
      </c>
      <c r="G31" s="4" t="str">
        <f>IF($B31="","",IF($C31&lt;=$O31,$D31,IF(AND($E31="Y",$D31&lt;=$O31),$C31,IF(AND($E31="Y",$D31&lt;=Inputs!$B$15,$C31&lt;=Inputs!$B$15),IF($C31&lt;$D31,$C31,$D31),IF(AND($E31="Y",$D31&lt;=Inputs!$B$15),$C31,$D31)))))</f>
        <v/>
      </c>
      <c r="H31" s="3" t="str">
        <f t="shared" si="0"/>
        <v/>
      </c>
      <c r="I31" s="4" t="str">
        <f t="shared" si="2"/>
        <v/>
      </c>
      <c r="J31" s="4" t="str">
        <f t="shared" si="3"/>
        <v/>
      </c>
      <c r="K31" s="4" t="str">
        <f t="shared" si="4"/>
        <v/>
      </c>
      <c r="L31" s="4" t="str">
        <f t="shared" si="5"/>
        <v/>
      </c>
      <c r="M31" s="4" t="str">
        <f t="shared" si="1"/>
        <v/>
      </c>
      <c r="N31" s="4" t="str">
        <f t="shared" si="6"/>
        <v/>
      </c>
      <c r="O31" s="4" t="str">
        <f>IF($B31="","",Inputs!$B$15-$M30)</f>
        <v/>
      </c>
      <c r="P31" s="3" t="str">
        <f t="shared" si="7"/>
        <v/>
      </c>
      <c r="Q31" s="3" t="str">
        <f t="shared" si="8"/>
        <v/>
      </c>
      <c r="R31" s="3" t="str">
        <f>IF($B31="","",IF($Q31,($L30+$N30+$G31)&gt;Inputs!$B$16,FALSE))</f>
        <v/>
      </c>
      <c r="S31" s="3" t="str">
        <f>IF($B31="","",IF(OR($F31&gt;Inputs!$B$15,$G31&gt;Inputs!$B$16),"TOO BIG",IF($R31,"NEW SHEET",IF($Q31,"NEW ROW","OK"))))</f>
        <v/>
      </c>
    </row>
    <row r="32" spans="1:19" x14ac:dyDescent="0.2">
      <c r="A32" s="4">
        <v>26</v>
      </c>
      <c r="B32" s="3" t="str">
        <f>IF(SortedPieces!$B28="","",SortedPieces!$B28)</f>
        <v/>
      </c>
      <c r="C32" s="4" t="str">
        <f>IF(SortedPieces!$C28="","",SortedPieces!$C28)</f>
        <v/>
      </c>
      <c r="D32" s="4" t="str">
        <f>IF(SortedPieces!$D28="","",SortedPieces!$D28)</f>
        <v/>
      </c>
      <c r="E32" s="3" t="str">
        <f>IF(SortedPieces!$E28="","",SortedPieces!$E28)</f>
        <v/>
      </c>
      <c r="F32" s="4" t="str">
        <f>IF($B32="","",IF($C32&lt;=$O32,$C32,IF(AND($E32="Y",$D32&lt;=$O32),$D32,IF(AND($E32="Y",$D32&lt;=Inputs!$B$15,$C32&lt;=Inputs!$B$15),IF($C32&lt;$D32,$D32,$C32),IF(AND($E32="Y",$D32&lt;=Inputs!$B$15),$D32,$C32)))))</f>
        <v/>
      </c>
      <c r="G32" s="4" t="str">
        <f>IF($B32="","",IF($C32&lt;=$O32,$D32,IF(AND($E32="Y",$D32&lt;=$O32),$C32,IF(AND($E32="Y",$D32&lt;=Inputs!$B$15,$C32&lt;=Inputs!$B$15),IF($C32&lt;$D32,$C32,$D32),IF(AND($E32="Y",$D32&lt;=Inputs!$B$15),$C32,$D32)))))</f>
        <v/>
      </c>
      <c r="H32" s="3" t="str">
        <f t="shared" si="0"/>
        <v/>
      </c>
      <c r="I32" s="4" t="str">
        <f t="shared" si="2"/>
        <v/>
      </c>
      <c r="J32" s="4" t="str">
        <f t="shared" si="3"/>
        <v/>
      </c>
      <c r="K32" s="4" t="str">
        <f t="shared" si="4"/>
        <v/>
      </c>
      <c r="L32" s="4" t="str">
        <f t="shared" si="5"/>
        <v/>
      </c>
      <c r="M32" s="4" t="str">
        <f t="shared" si="1"/>
        <v/>
      </c>
      <c r="N32" s="4" t="str">
        <f t="shared" si="6"/>
        <v/>
      </c>
      <c r="O32" s="4" t="str">
        <f>IF($B32="","",Inputs!$B$15-$M31)</f>
        <v/>
      </c>
      <c r="P32" s="3" t="str">
        <f t="shared" si="7"/>
        <v/>
      </c>
      <c r="Q32" s="3" t="str">
        <f t="shared" si="8"/>
        <v/>
      </c>
      <c r="R32" s="3" t="str">
        <f>IF($B32="","",IF($Q32,($L31+$N31+$G32)&gt;Inputs!$B$16,FALSE))</f>
        <v/>
      </c>
      <c r="S32" s="3" t="str">
        <f>IF($B32="","",IF(OR($F32&gt;Inputs!$B$15,$G32&gt;Inputs!$B$16),"TOO BIG",IF($R32,"NEW SHEET",IF($Q32,"NEW ROW","OK"))))</f>
        <v/>
      </c>
    </row>
    <row r="33" spans="1:19" x14ac:dyDescent="0.2">
      <c r="A33" s="4">
        <v>27</v>
      </c>
      <c r="B33" s="3" t="str">
        <f>IF(SortedPieces!$B29="","",SortedPieces!$B29)</f>
        <v/>
      </c>
      <c r="C33" s="4" t="str">
        <f>IF(SortedPieces!$C29="","",SortedPieces!$C29)</f>
        <v/>
      </c>
      <c r="D33" s="4" t="str">
        <f>IF(SortedPieces!$D29="","",SortedPieces!$D29)</f>
        <v/>
      </c>
      <c r="E33" s="3" t="str">
        <f>IF(SortedPieces!$E29="","",SortedPieces!$E29)</f>
        <v/>
      </c>
      <c r="F33" s="4" t="str">
        <f>IF($B33="","",IF($C33&lt;=$O33,$C33,IF(AND($E33="Y",$D33&lt;=$O33),$D33,IF(AND($E33="Y",$D33&lt;=Inputs!$B$15,$C33&lt;=Inputs!$B$15),IF($C33&lt;$D33,$D33,$C33),IF(AND($E33="Y",$D33&lt;=Inputs!$B$15),$D33,$C33)))))</f>
        <v/>
      </c>
      <c r="G33" s="4" t="str">
        <f>IF($B33="","",IF($C33&lt;=$O33,$D33,IF(AND($E33="Y",$D33&lt;=$O33),$C33,IF(AND($E33="Y",$D33&lt;=Inputs!$B$15,$C33&lt;=Inputs!$B$15),IF($C33&lt;$D33,$C33,$D33),IF(AND($E33="Y",$D33&lt;=Inputs!$B$15),$C33,$D33)))))</f>
        <v/>
      </c>
      <c r="H33" s="3" t="str">
        <f t="shared" si="0"/>
        <v/>
      </c>
      <c r="I33" s="4" t="str">
        <f t="shared" si="2"/>
        <v/>
      </c>
      <c r="J33" s="4" t="str">
        <f t="shared" si="3"/>
        <v/>
      </c>
      <c r="K33" s="4" t="str">
        <f t="shared" si="4"/>
        <v/>
      </c>
      <c r="L33" s="4" t="str">
        <f t="shared" si="5"/>
        <v/>
      </c>
      <c r="M33" s="4" t="str">
        <f t="shared" si="1"/>
        <v/>
      </c>
      <c r="N33" s="4" t="str">
        <f t="shared" si="6"/>
        <v/>
      </c>
      <c r="O33" s="4" t="str">
        <f>IF($B33="","",Inputs!$B$15-$M32)</f>
        <v/>
      </c>
      <c r="P33" s="3" t="str">
        <f t="shared" si="7"/>
        <v/>
      </c>
      <c r="Q33" s="3" t="str">
        <f t="shared" si="8"/>
        <v/>
      </c>
      <c r="R33" s="3" t="str">
        <f>IF($B33="","",IF($Q33,($L32+$N32+$G33)&gt;Inputs!$B$16,FALSE))</f>
        <v/>
      </c>
      <c r="S33" s="3" t="str">
        <f>IF($B33="","",IF(OR($F33&gt;Inputs!$B$15,$G33&gt;Inputs!$B$16),"TOO BIG",IF($R33,"NEW SHEET",IF($Q33,"NEW ROW","OK"))))</f>
        <v/>
      </c>
    </row>
    <row r="34" spans="1:19" x14ac:dyDescent="0.2">
      <c r="A34" s="4">
        <v>28</v>
      </c>
      <c r="B34" s="3" t="str">
        <f>IF(SortedPieces!$B30="","",SortedPieces!$B30)</f>
        <v/>
      </c>
      <c r="C34" s="4" t="str">
        <f>IF(SortedPieces!$C30="","",SortedPieces!$C30)</f>
        <v/>
      </c>
      <c r="D34" s="4" t="str">
        <f>IF(SortedPieces!$D30="","",SortedPieces!$D30)</f>
        <v/>
      </c>
      <c r="E34" s="3" t="str">
        <f>IF(SortedPieces!$E30="","",SortedPieces!$E30)</f>
        <v/>
      </c>
      <c r="F34" s="4" t="str">
        <f>IF($B34="","",IF($C34&lt;=$O34,$C34,IF(AND($E34="Y",$D34&lt;=$O34),$D34,IF(AND($E34="Y",$D34&lt;=Inputs!$B$15,$C34&lt;=Inputs!$B$15),IF($C34&lt;$D34,$D34,$C34),IF(AND($E34="Y",$D34&lt;=Inputs!$B$15),$D34,$C34)))))</f>
        <v/>
      </c>
      <c r="G34" s="4" t="str">
        <f>IF($B34="","",IF($C34&lt;=$O34,$D34,IF(AND($E34="Y",$D34&lt;=$O34),$C34,IF(AND($E34="Y",$D34&lt;=Inputs!$B$15,$C34&lt;=Inputs!$B$15),IF($C34&lt;$D34,$C34,$D34),IF(AND($E34="Y",$D34&lt;=Inputs!$B$15),$C34,$D34)))))</f>
        <v/>
      </c>
      <c r="H34" s="3" t="str">
        <f t="shared" si="0"/>
        <v/>
      </c>
      <c r="I34" s="4" t="str">
        <f t="shared" si="2"/>
        <v/>
      </c>
      <c r="J34" s="4" t="str">
        <f t="shared" si="3"/>
        <v/>
      </c>
      <c r="K34" s="4" t="str">
        <f t="shared" si="4"/>
        <v/>
      </c>
      <c r="L34" s="4" t="str">
        <f t="shared" si="5"/>
        <v/>
      </c>
      <c r="M34" s="4" t="str">
        <f t="shared" si="1"/>
        <v/>
      </c>
      <c r="N34" s="4" t="str">
        <f t="shared" si="6"/>
        <v/>
      </c>
      <c r="O34" s="4" t="str">
        <f>IF($B34="","",Inputs!$B$15-$M33)</f>
        <v/>
      </c>
      <c r="P34" s="3" t="str">
        <f t="shared" si="7"/>
        <v/>
      </c>
      <c r="Q34" s="3" t="str">
        <f t="shared" si="8"/>
        <v/>
      </c>
      <c r="R34" s="3" t="str">
        <f>IF($B34="","",IF($Q34,($L33+$N33+$G34)&gt;Inputs!$B$16,FALSE))</f>
        <v/>
      </c>
      <c r="S34" s="3" t="str">
        <f>IF($B34="","",IF(OR($F34&gt;Inputs!$B$15,$G34&gt;Inputs!$B$16),"TOO BIG",IF($R34,"NEW SHEET",IF($Q34,"NEW ROW","OK"))))</f>
        <v/>
      </c>
    </row>
    <row r="35" spans="1:19" x14ac:dyDescent="0.2">
      <c r="A35" s="4">
        <v>29</v>
      </c>
      <c r="B35" s="3" t="str">
        <f>IF(SortedPieces!$B31="","",SortedPieces!$B31)</f>
        <v/>
      </c>
      <c r="C35" s="4" t="str">
        <f>IF(SortedPieces!$C31="","",SortedPieces!$C31)</f>
        <v/>
      </c>
      <c r="D35" s="4" t="str">
        <f>IF(SortedPieces!$D31="","",SortedPieces!$D31)</f>
        <v/>
      </c>
      <c r="E35" s="3" t="str">
        <f>IF(SortedPieces!$E31="","",SortedPieces!$E31)</f>
        <v/>
      </c>
      <c r="F35" s="4" t="str">
        <f>IF($B35="","",IF($C35&lt;=$O35,$C35,IF(AND($E35="Y",$D35&lt;=$O35),$D35,IF(AND($E35="Y",$D35&lt;=Inputs!$B$15,$C35&lt;=Inputs!$B$15),IF($C35&lt;$D35,$D35,$C35),IF(AND($E35="Y",$D35&lt;=Inputs!$B$15),$D35,$C35)))))</f>
        <v/>
      </c>
      <c r="G35" s="4" t="str">
        <f>IF($B35="","",IF($C35&lt;=$O35,$D35,IF(AND($E35="Y",$D35&lt;=$O35),$C35,IF(AND($E35="Y",$D35&lt;=Inputs!$B$15,$C35&lt;=Inputs!$B$15),IF($C35&lt;$D35,$C35,$D35),IF(AND($E35="Y",$D35&lt;=Inputs!$B$15),$C35,$D35)))))</f>
        <v/>
      </c>
      <c r="H35" s="3" t="str">
        <f t="shared" si="0"/>
        <v/>
      </c>
      <c r="I35" s="4" t="str">
        <f t="shared" si="2"/>
        <v/>
      </c>
      <c r="J35" s="4" t="str">
        <f t="shared" si="3"/>
        <v/>
      </c>
      <c r="K35" s="4" t="str">
        <f t="shared" si="4"/>
        <v/>
      </c>
      <c r="L35" s="4" t="str">
        <f t="shared" si="5"/>
        <v/>
      </c>
      <c r="M35" s="4" t="str">
        <f t="shared" si="1"/>
        <v/>
      </c>
      <c r="N35" s="4" t="str">
        <f t="shared" si="6"/>
        <v/>
      </c>
      <c r="O35" s="4" t="str">
        <f>IF($B35="","",Inputs!$B$15-$M34)</f>
        <v/>
      </c>
      <c r="P35" s="3" t="str">
        <f t="shared" si="7"/>
        <v/>
      </c>
      <c r="Q35" s="3" t="str">
        <f t="shared" si="8"/>
        <v/>
      </c>
      <c r="R35" s="3" t="str">
        <f>IF($B35="","",IF($Q35,($L34+$N34+$G35)&gt;Inputs!$B$16,FALSE))</f>
        <v/>
      </c>
      <c r="S35" s="3" t="str">
        <f>IF($B35="","",IF(OR($F35&gt;Inputs!$B$15,$G35&gt;Inputs!$B$16),"TOO BIG",IF($R35,"NEW SHEET",IF($Q35,"NEW ROW","OK"))))</f>
        <v/>
      </c>
    </row>
    <row r="36" spans="1:19" x14ac:dyDescent="0.2">
      <c r="A36" s="4">
        <v>30</v>
      </c>
      <c r="B36" s="3" t="str">
        <f>IF(SortedPieces!$B32="","",SortedPieces!$B32)</f>
        <v/>
      </c>
      <c r="C36" s="4" t="str">
        <f>IF(SortedPieces!$C32="","",SortedPieces!$C32)</f>
        <v/>
      </c>
      <c r="D36" s="4" t="str">
        <f>IF(SortedPieces!$D32="","",SortedPieces!$D32)</f>
        <v/>
      </c>
      <c r="E36" s="3" t="str">
        <f>IF(SortedPieces!$E32="","",SortedPieces!$E32)</f>
        <v/>
      </c>
      <c r="F36" s="4" t="str">
        <f>IF($B36="","",IF($C36&lt;=$O36,$C36,IF(AND($E36="Y",$D36&lt;=$O36),$D36,IF(AND($E36="Y",$D36&lt;=Inputs!$B$15,$C36&lt;=Inputs!$B$15),IF($C36&lt;$D36,$D36,$C36),IF(AND($E36="Y",$D36&lt;=Inputs!$B$15),$D36,$C36)))))</f>
        <v/>
      </c>
      <c r="G36" s="4" t="str">
        <f>IF($B36="","",IF($C36&lt;=$O36,$D36,IF(AND($E36="Y",$D36&lt;=$O36),$C36,IF(AND($E36="Y",$D36&lt;=Inputs!$B$15,$C36&lt;=Inputs!$B$15),IF($C36&lt;$D36,$C36,$D36),IF(AND($E36="Y",$D36&lt;=Inputs!$B$15),$C36,$D36)))))</f>
        <v/>
      </c>
      <c r="H36" s="3" t="str">
        <f t="shared" si="0"/>
        <v/>
      </c>
      <c r="I36" s="4" t="str">
        <f t="shared" si="2"/>
        <v/>
      </c>
      <c r="J36" s="4" t="str">
        <f t="shared" si="3"/>
        <v/>
      </c>
      <c r="K36" s="4" t="str">
        <f t="shared" si="4"/>
        <v/>
      </c>
      <c r="L36" s="4" t="str">
        <f t="shared" si="5"/>
        <v/>
      </c>
      <c r="M36" s="4" t="str">
        <f t="shared" si="1"/>
        <v/>
      </c>
      <c r="N36" s="4" t="str">
        <f t="shared" si="6"/>
        <v/>
      </c>
      <c r="O36" s="4" t="str">
        <f>IF($B36="","",Inputs!$B$15-$M35)</f>
        <v/>
      </c>
      <c r="P36" s="3" t="str">
        <f t="shared" si="7"/>
        <v/>
      </c>
      <c r="Q36" s="3" t="str">
        <f t="shared" si="8"/>
        <v/>
      </c>
      <c r="R36" s="3" t="str">
        <f>IF($B36="","",IF($Q36,($L35+$N35+$G36)&gt;Inputs!$B$16,FALSE))</f>
        <v/>
      </c>
      <c r="S36" s="3" t="str">
        <f>IF($B36="","",IF(OR($F36&gt;Inputs!$B$15,$G36&gt;Inputs!$B$16),"TOO BIG",IF($R36,"NEW SHEET",IF($Q36,"NEW ROW","OK"))))</f>
        <v/>
      </c>
    </row>
    <row r="37" spans="1:19" x14ac:dyDescent="0.2">
      <c r="A37" s="4">
        <v>31</v>
      </c>
      <c r="B37" s="3" t="str">
        <f>IF(SortedPieces!$B33="","",SortedPieces!$B33)</f>
        <v/>
      </c>
      <c r="C37" s="4" t="str">
        <f>IF(SortedPieces!$C33="","",SortedPieces!$C33)</f>
        <v/>
      </c>
      <c r="D37" s="4" t="str">
        <f>IF(SortedPieces!$D33="","",SortedPieces!$D33)</f>
        <v/>
      </c>
      <c r="E37" s="3" t="str">
        <f>IF(SortedPieces!$E33="","",SortedPieces!$E33)</f>
        <v/>
      </c>
      <c r="F37" s="4" t="str">
        <f>IF($B37="","",IF($C37&lt;=$O37,$C37,IF(AND($E37="Y",$D37&lt;=$O37),$D37,IF(AND($E37="Y",$D37&lt;=Inputs!$B$15,$C37&lt;=Inputs!$B$15),IF($C37&lt;$D37,$D37,$C37),IF(AND($E37="Y",$D37&lt;=Inputs!$B$15),$D37,$C37)))))</f>
        <v/>
      </c>
      <c r="G37" s="4" t="str">
        <f>IF($B37="","",IF($C37&lt;=$O37,$D37,IF(AND($E37="Y",$D37&lt;=$O37),$C37,IF(AND($E37="Y",$D37&lt;=Inputs!$B$15,$C37&lt;=Inputs!$B$15),IF($C37&lt;$D37,$C37,$D37),IF(AND($E37="Y",$D37&lt;=Inputs!$B$15),$C37,$D37)))))</f>
        <v/>
      </c>
      <c r="H37" s="3" t="str">
        <f t="shared" si="0"/>
        <v/>
      </c>
      <c r="I37" s="4" t="str">
        <f t="shared" si="2"/>
        <v/>
      </c>
      <c r="J37" s="4" t="str">
        <f t="shared" si="3"/>
        <v/>
      </c>
      <c r="K37" s="4" t="str">
        <f t="shared" si="4"/>
        <v/>
      </c>
      <c r="L37" s="4" t="str">
        <f t="shared" si="5"/>
        <v/>
      </c>
      <c r="M37" s="4" t="str">
        <f t="shared" si="1"/>
        <v/>
      </c>
      <c r="N37" s="4" t="str">
        <f t="shared" si="6"/>
        <v/>
      </c>
      <c r="O37" s="4" t="str">
        <f>IF($B37="","",Inputs!$B$15-$M36)</f>
        <v/>
      </c>
      <c r="P37" s="3" t="str">
        <f t="shared" si="7"/>
        <v/>
      </c>
      <c r="Q37" s="3" t="str">
        <f t="shared" si="8"/>
        <v/>
      </c>
      <c r="R37" s="3" t="str">
        <f>IF($B37="","",IF($Q37,($L36+$N36+$G37)&gt;Inputs!$B$16,FALSE))</f>
        <v/>
      </c>
      <c r="S37" s="3" t="str">
        <f>IF($B37="","",IF(OR($F37&gt;Inputs!$B$15,$G37&gt;Inputs!$B$16),"TOO BIG",IF($R37,"NEW SHEET",IF($Q37,"NEW ROW","OK"))))</f>
        <v/>
      </c>
    </row>
    <row r="38" spans="1:19" x14ac:dyDescent="0.2">
      <c r="A38" s="4">
        <v>32</v>
      </c>
      <c r="B38" s="3" t="str">
        <f>IF(SortedPieces!$B34="","",SortedPieces!$B34)</f>
        <v/>
      </c>
      <c r="C38" s="4" t="str">
        <f>IF(SortedPieces!$C34="","",SortedPieces!$C34)</f>
        <v/>
      </c>
      <c r="D38" s="4" t="str">
        <f>IF(SortedPieces!$D34="","",SortedPieces!$D34)</f>
        <v/>
      </c>
      <c r="E38" s="3" t="str">
        <f>IF(SortedPieces!$E34="","",SortedPieces!$E34)</f>
        <v/>
      </c>
      <c r="F38" s="4" t="str">
        <f>IF($B38="","",IF($C38&lt;=$O38,$C38,IF(AND($E38="Y",$D38&lt;=$O38),$D38,IF(AND($E38="Y",$D38&lt;=Inputs!$B$15,$C38&lt;=Inputs!$B$15),IF($C38&lt;$D38,$D38,$C38),IF(AND($E38="Y",$D38&lt;=Inputs!$B$15),$D38,$C38)))))</f>
        <v/>
      </c>
      <c r="G38" s="4" t="str">
        <f>IF($B38="","",IF($C38&lt;=$O38,$D38,IF(AND($E38="Y",$D38&lt;=$O38),$C38,IF(AND($E38="Y",$D38&lt;=Inputs!$B$15,$C38&lt;=Inputs!$B$15),IF($C38&lt;$D38,$C38,$D38),IF(AND($E38="Y",$D38&lt;=Inputs!$B$15),$C38,$D38)))))</f>
        <v/>
      </c>
      <c r="H38" s="3" t="str">
        <f t="shared" si="0"/>
        <v/>
      </c>
      <c r="I38" s="4" t="str">
        <f t="shared" si="2"/>
        <v/>
      </c>
      <c r="J38" s="4" t="str">
        <f t="shared" si="3"/>
        <v/>
      </c>
      <c r="K38" s="4" t="str">
        <f t="shared" si="4"/>
        <v/>
      </c>
      <c r="L38" s="4" t="str">
        <f t="shared" si="5"/>
        <v/>
      </c>
      <c r="M38" s="4" t="str">
        <f t="shared" si="1"/>
        <v/>
      </c>
      <c r="N38" s="4" t="str">
        <f t="shared" si="6"/>
        <v/>
      </c>
      <c r="O38" s="4" t="str">
        <f>IF($B38="","",Inputs!$B$15-$M37)</f>
        <v/>
      </c>
      <c r="P38" s="3" t="str">
        <f t="shared" si="7"/>
        <v/>
      </c>
      <c r="Q38" s="3" t="str">
        <f t="shared" si="8"/>
        <v/>
      </c>
      <c r="R38" s="3" t="str">
        <f>IF($B38="","",IF($Q38,($L37+$N37+$G38)&gt;Inputs!$B$16,FALSE))</f>
        <v/>
      </c>
      <c r="S38" s="3" t="str">
        <f>IF($B38="","",IF(OR($F38&gt;Inputs!$B$15,$G38&gt;Inputs!$B$16),"TOO BIG",IF($R38,"NEW SHEET",IF($Q38,"NEW ROW","OK"))))</f>
        <v/>
      </c>
    </row>
    <row r="39" spans="1:19" x14ac:dyDescent="0.2">
      <c r="A39" s="4">
        <v>33</v>
      </c>
      <c r="B39" s="3" t="str">
        <f>IF(SortedPieces!$B35="","",SortedPieces!$B35)</f>
        <v/>
      </c>
      <c r="C39" s="4" t="str">
        <f>IF(SortedPieces!$C35="","",SortedPieces!$C35)</f>
        <v/>
      </c>
      <c r="D39" s="4" t="str">
        <f>IF(SortedPieces!$D35="","",SortedPieces!$D35)</f>
        <v/>
      </c>
      <c r="E39" s="3" t="str">
        <f>IF(SortedPieces!$E35="","",SortedPieces!$E35)</f>
        <v/>
      </c>
      <c r="F39" s="4" t="str">
        <f>IF($B39="","",IF($C39&lt;=$O39,$C39,IF(AND($E39="Y",$D39&lt;=$O39),$D39,IF(AND($E39="Y",$D39&lt;=Inputs!$B$15,$C39&lt;=Inputs!$B$15),IF($C39&lt;$D39,$D39,$C39),IF(AND($E39="Y",$D39&lt;=Inputs!$B$15),$D39,$C39)))))</f>
        <v/>
      </c>
      <c r="G39" s="4" t="str">
        <f>IF($B39="","",IF($C39&lt;=$O39,$D39,IF(AND($E39="Y",$D39&lt;=$O39),$C39,IF(AND($E39="Y",$D39&lt;=Inputs!$B$15,$C39&lt;=Inputs!$B$15),IF($C39&lt;$D39,$C39,$D39),IF(AND($E39="Y",$D39&lt;=Inputs!$B$15),$C39,$D39)))))</f>
        <v/>
      </c>
      <c r="H39" s="3" t="str">
        <f t="shared" si="0"/>
        <v/>
      </c>
      <c r="I39" s="4" t="str">
        <f t="shared" si="2"/>
        <v/>
      </c>
      <c r="J39" s="4" t="str">
        <f t="shared" si="3"/>
        <v/>
      </c>
      <c r="K39" s="4" t="str">
        <f t="shared" si="4"/>
        <v/>
      </c>
      <c r="L39" s="4" t="str">
        <f t="shared" si="5"/>
        <v/>
      </c>
      <c r="M39" s="4" t="str">
        <f t="shared" si="1"/>
        <v/>
      </c>
      <c r="N39" s="4" t="str">
        <f t="shared" si="6"/>
        <v/>
      </c>
      <c r="O39" s="4" t="str">
        <f>IF($B39="","",Inputs!$B$15-$M38)</f>
        <v/>
      </c>
      <c r="P39" s="3" t="str">
        <f t="shared" si="7"/>
        <v/>
      </c>
      <c r="Q39" s="3" t="str">
        <f t="shared" si="8"/>
        <v/>
      </c>
      <c r="R39" s="3" t="str">
        <f>IF($B39="","",IF($Q39,($L38+$N38+$G39)&gt;Inputs!$B$16,FALSE))</f>
        <v/>
      </c>
      <c r="S39" s="3" t="str">
        <f>IF($B39="","",IF(OR($F39&gt;Inputs!$B$15,$G39&gt;Inputs!$B$16),"TOO BIG",IF($R39,"NEW SHEET",IF($Q39,"NEW ROW","OK"))))</f>
        <v/>
      </c>
    </row>
    <row r="40" spans="1:19" x14ac:dyDescent="0.2">
      <c r="A40" s="4">
        <v>34</v>
      </c>
      <c r="B40" s="3" t="str">
        <f>IF(SortedPieces!$B36="","",SortedPieces!$B36)</f>
        <v/>
      </c>
      <c r="C40" s="4" t="str">
        <f>IF(SortedPieces!$C36="","",SortedPieces!$C36)</f>
        <v/>
      </c>
      <c r="D40" s="4" t="str">
        <f>IF(SortedPieces!$D36="","",SortedPieces!$D36)</f>
        <v/>
      </c>
      <c r="E40" s="3" t="str">
        <f>IF(SortedPieces!$E36="","",SortedPieces!$E36)</f>
        <v/>
      </c>
      <c r="F40" s="4" t="str">
        <f>IF($B40="","",IF($C40&lt;=$O40,$C40,IF(AND($E40="Y",$D40&lt;=$O40),$D40,IF(AND($E40="Y",$D40&lt;=Inputs!$B$15,$C40&lt;=Inputs!$B$15),IF($C40&lt;$D40,$D40,$C40),IF(AND($E40="Y",$D40&lt;=Inputs!$B$15),$D40,$C40)))))</f>
        <v/>
      </c>
      <c r="G40" s="4" t="str">
        <f>IF($B40="","",IF($C40&lt;=$O40,$D40,IF(AND($E40="Y",$D40&lt;=$O40),$C40,IF(AND($E40="Y",$D40&lt;=Inputs!$B$15,$C40&lt;=Inputs!$B$15),IF($C40&lt;$D40,$C40,$D40),IF(AND($E40="Y",$D40&lt;=Inputs!$B$15),$C40,$D40)))))</f>
        <v/>
      </c>
      <c r="H40" s="3" t="str">
        <f t="shared" si="0"/>
        <v/>
      </c>
      <c r="I40" s="4" t="str">
        <f t="shared" si="2"/>
        <v/>
      </c>
      <c r="J40" s="4" t="str">
        <f t="shared" si="3"/>
        <v/>
      </c>
      <c r="K40" s="4" t="str">
        <f t="shared" si="4"/>
        <v/>
      </c>
      <c r="L40" s="4" t="str">
        <f t="shared" si="5"/>
        <v/>
      </c>
      <c r="M40" s="4" t="str">
        <f t="shared" si="1"/>
        <v/>
      </c>
      <c r="N40" s="4" t="str">
        <f t="shared" si="6"/>
        <v/>
      </c>
      <c r="O40" s="4" t="str">
        <f>IF($B40="","",Inputs!$B$15-$M39)</f>
        <v/>
      </c>
      <c r="P40" s="3" t="str">
        <f t="shared" si="7"/>
        <v/>
      </c>
      <c r="Q40" s="3" t="str">
        <f t="shared" si="8"/>
        <v/>
      </c>
      <c r="R40" s="3" t="str">
        <f>IF($B40="","",IF($Q40,($L39+$N39+$G40)&gt;Inputs!$B$16,FALSE))</f>
        <v/>
      </c>
      <c r="S40" s="3" t="str">
        <f>IF($B40="","",IF(OR($F40&gt;Inputs!$B$15,$G40&gt;Inputs!$B$16),"TOO BIG",IF($R40,"NEW SHEET",IF($Q40,"NEW ROW","OK"))))</f>
        <v/>
      </c>
    </row>
    <row r="41" spans="1:19" x14ac:dyDescent="0.2">
      <c r="A41" s="4">
        <v>35</v>
      </c>
      <c r="B41" s="3" t="str">
        <f>IF(SortedPieces!$B37="","",SortedPieces!$B37)</f>
        <v/>
      </c>
      <c r="C41" s="4" t="str">
        <f>IF(SortedPieces!$C37="","",SortedPieces!$C37)</f>
        <v/>
      </c>
      <c r="D41" s="4" t="str">
        <f>IF(SortedPieces!$D37="","",SortedPieces!$D37)</f>
        <v/>
      </c>
      <c r="E41" s="3" t="str">
        <f>IF(SortedPieces!$E37="","",SortedPieces!$E37)</f>
        <v/>
      </c>
      <c r="F41" s="4" t="str">
        <f>IF($B41="","",IF($C41&lt;=$O41,$C41,IF(AND($E41="Y",$D41&lt;=$O41),$D41,IF(AND($E41="Y",$D41&lt;=Inputs!$B$15,$C41&lt;=Inputs!$B$15),IF($C41&lt;$D41,$D41,$C41),IF(AND($E41="Y",$D41&lt;=Inputs!$B$15),$D41,$C41)))))</f>
        <v/>
      </c>
      <c r="G41" s="4" t="str">
        <f>IF($B41="","",IF($C41&lt;=$O41,$D41,IF(AND($E41="Y",$D41&lt;=$O41),$C41,IF(AND($E41="Y",$D41&lt;=Inputs!$B$15,$C41&lt;=Inputs!$B$15),IF($C41&lt;$D41,$C41,$D41),IF(AND($E41="Y",$D41&lt;=Inputs!$B$15),$C41,$D41)))))</f>
        <v/>
      </c>
      <c r="H41" s="3" t="str">
        <f t="shared" si="0"/>
        <v/>
      </c>
      <c r="I41" s="4" t="str">
        <f t="shared" si="2"/>
        <v/>
      </c>
      <c r="J41" s="4" t="str">
        <f t="shared" si="3"/>
        <v/>
      </c>
      <c r="K41" s="4" t="str">
        <f t="shared" si="4"/>
        <v/>
      </c>
      <c r="L41" s="4" t="str">
        <f t="shared" si="5"/>
        <v/>
      </c>
      <c r="M41" s="4" t="str">
        <f t="shared" si="1"/>
        <v/>
      </c>
      <c r="N41" s="4" t="str">
        <f t="shared" si="6"/>
        <v/>
      </c>
      <c r="O41" s="4" t="str">
        <f>IF($B41="","",Inputs!$B$15-$M40)</f>
        <v/>
      </c>
      <c r="P41" s="3" t="str">
        <f t="shared" si="7"/>
        <v/>
      </c>
      <c r="Q41" s="3" t="str">
        <f t="shared" si="8"/>
        <v/>
      </c>
      <c r="R41" s="3" t="str">
        <f>IF($B41="","",IF($Q41,($L40+$N40+$G41)&gt;Inputs!$B$16,FALSE))</f>
        <v/>
      </c>
      <c r="S41" s="3" t="str">
        <f>IF($B41="","",IF(OR($F41&gt;Inputs!$B$15,$G41&gt;Inputs!$B$16),"TOO BIG",IF($R41,"NEW SHEET",IF($Q41,"NEW ROW","OK"))))</f>
        <v/>
      </c>
    </row>
    <row r="42" spans="1:19" x14ac:dyDescent="0.2">
      <c r="A42" s="4">
        <v>36</v>
      </c>
      <c r="B42" s="3" t="str">
        <f>IF(SortedPieces!$B38="","",SortedPieces!$B38)</f>
        <v/>
      </c>
      <c r="C42" s="4" t="str">
        <f>IF(SortedPieces!$C38="","",SortedPieces!$C38)</f>
        <v/>
      </c>
      <c r="D42" s="4" t="str">
        <f>IF(SortedPieces!$D38="","",SortedPieces!$D38)</f>
        <v/>
      </c>
      <c r="E42" s="3" t="str">
        <f>IF(SortedPieces!$E38="","",SortedPieces!$E38)</f>
        <v/>
      </c>
      <c r="F42" s="4" t="str">
        <f>IF($B42="","",IF($C42&lt;=$O42,$C42,IF(AND($E42="Y",$D42&lt;=$O42),$D42,IF(AND($E42="Y",$D42&lt;=Inputs!$B$15,$C42&lt;=Inputs!$B$15),IF($C42&lt;$D42,$D42,$C42),IF(AND($E42="Y",$D42&lt;=Inputs!$B$15),$D42,$C42)))))</f>
        <v/>
      </c>
      <c r="G42" s="4" t="str">
        <f>IF($B42="","",IF($C42&lt;=$O42,$D42,IF(AND($E42="Y",$D42&lt;=$O42),$C42,IF(AND($E42="Y",$D42&lt;=Inputs!$B$15,$C42&lt;=Inputs!$B$15),IF($C42&lt;$D42,$C42,$D42),IF(AND($E42="Y",$D42&lt;=Inputs!$B$15),$C42,$D42)))))</f>
        <v/>
      </c>
      <c r="H42" s="3" t="str">
        <f t="shared" si="0"/>
        <v/>
      </c>
      <c r="I42" s="4" t="str">
        <f t="shared" si="2"/>
        <v/>
      </c>
      <c r="J42" s="4" t="str">
        <f t="shared" si="3"/>
        <v/>
      </c>
      <c r="K42" s="4" t="str">
        <f t="shared" si="4"/>
        <v/>
      </c>
      <c r="L42" s="4" t="str">
        <f t="shared" si="5"/>
        <v/>
      </c>
      <c r="M42" s="4" t="str">
        <f t="shared" si="1"/>
        <v/>
      </c>
      <c r="N42" s="4" t="str">
        <f t="shared" si="6"/>
        <v/>
      </c>
      <c r="O42" s="4" t="str">
        <f>IF($B42="","",Inputs!$B$15-$M41)</f>
        <v/>
      </c>
      <c r="P42" s="3" t="str">
        <f t="shared" si="7"/>
        <v/>
      </c>
      <c r="Q42" s="3" t="str">
        <f t="shared" si="8"/>
        <v/>
      </c>
      <c r="R42" s="3" t="str">
        <f>IF($B42="","",IF($Q42,($L41+$N41+$G42)&gt;Inputs!$B$16,FALSE))</f>
        <v/>
      </c>
      <c r="S42" s="3" t="str">
        <f>IF($B42="","",IF(OR($F42&gt;Inputs!$B$15,$G42&gt;Inputs!$B$16),"TOO BIG",IF($R42,"NEW SHEET",IF($Q42,"NEW ROW","OK"))))</f>
        <v/>
      </c>
    </row>
    <row r="43" spans="1:19" x14ac:dyDescent="0.2">
      <c r="A43" s="4">
        <v>37</v>
      </c>
      <c r="B43" s="3" t="str">
        <f>IF(SortedPieces!$B39="","",SortedPieces!$B39)</f>
        <v/>
      </c>
      <c r="C43" s="4" t="str">
        <f>IF(SortedPieces!$C39="","",SortedPieces!$C39)</f>
        <v/>
      </c>
      <c r="D43" s="4" t="str">
        <f>IF(SortedPieces!$D39="","",SortedPieces!$D39)</f>
        <v/>
      </c>
      <c r="E43" s="3" t="str">
        <f>IF(SortedPieces!$E39="","",SortedPieces!$E39)</f>
        <v/>
      </c>
      <c r="F43" s="4" t="str">
        <f>IF($B43="","",IF($C43&lt;=$O43,$C43,IF(AND($E43="Y",$D43&lt;=$O43),$D43,IF(AND($E43="Y",$D43&lt;=Inputs!$B$15,$C43&lt;=Inputs!$B$15),IF($C43&lt;$D43,$D43,$C43),IF(AND($E43="Y",$D43&lt;=Inputs!$B$15),$D43,$C43)))))</f>
        <v/>
      </c>
      <c r="G43" s="4" t="str">
        <f>IF($B43="","",IF($C43&lt;=$O43,$D43,IF(AND($E43="Y",$D43&lt;=$O43),$C43,IF(AND($E43="Y",$D43&lt;=Inputs!$B$15,$C43&lt;=Inputs!$B$15),IF($C43&lt;$D43,$C43,$D43),IF(AND($E43="Y",$D43&lt;=Inputs!$B$15),$C43,$D43)))))</f>
        <v/>
      </c>
      <c r="H43" s="3" t="str">
        <f t="shared" si="0"/>
        <v/>
      </c>
      <c r="I43" s="4" t="str">
        <f t="shared" si="2"/>
        <v/>
      </c>
      <c r="J43" s="4" t="str">
        <f t="shared" si="3"/>
        <v/>
      </c>
      <c r="K43" s="4" t="str">
        <f t="shared" si="4"/>
        <v/>
      </c>
      <c r="L43" s="4" t="str">
        <f t="shared" si="5"/>
        <v/>
      </c>
      <c r="M43" s="4" t="str">
        <f t="shared" si="1"/>
        <v/>
      </c>
      <c r="N43" s="4" t="str">
        <f t="shared" si="6"/>
        <v/>
      </c>
      <c r="O43" s="4" t="str">
        <f>IF($B43="","",Inputs!$B$15-$M42)</f>
        <v/>
      </c>
      <c r="P43" s="3" t="str">
        <f t="shared" si="7"/>
        <v/>
      </c>
      <c r="Q43" s="3" t="str">
        <f t="shared" si="8"/>
        <v/>
      </c>
      <c r="R43" s="3" t="str">
        <f>IF($B43="","",IF($Q43,($L42+$N42+$G43)&gt;Inputs!$B$16,FALSE))</f>
        <v/>
      </c>
      <c r="S43" s="3" t="str">
        <f>IF($B43="","",IF(OR($F43&gt;Inputs!$B$15,$G43&gt;Inputs!$B$16),"TOO BIG",IF($R43,"NEW SHEET",IF($Q43,"NEW ROW","OK"))))</f>
        <v/>
      </c>
    </row>
    <row r="44" spans="1:19" x14ac:dyDescent="0.2">
      <c r="A44" s="4">
        <v>38</v>
      </c>
      <c r="B44" s="3" t="str">
        <f>IF(SortedPieces!$B40="","",SortedPieces!$B40)</f>
        <v/>
      </c>
      <c r="C44" s="4" t="str">
        <f>IF(SortedPieces!$C40="","",SortedPieces!$C40)</f>
        <v/>
      </c>
      <c r="D44" s="4" t="str">
        <f>IF(SortedPieces!$D40="","",SortedPieces!$D40)</f>
        <v/>
      </c>
      <c r="E44" s="3" t="str">
        <f>IF(SortedPieces!$E40="","",SortedPieces!$E40)</f>
        <v/>
      </c>
      <c r="F44" s="4" t="str">
        <f>IF($B44="","",IF($C44&lt;=$O44,$C44,IF(AND($E44="Y",$D44&lt;=$O44),$D44,IF(AND($E44="Y",$D44&lt;=Inputs!$B$15,$C44&lt;=Inputs!$B$15),IF($C44&lt;$D44,$D44,$C44),IF(AND($E44="Y",$D44&lt;=Inputs!$B$15),$D44,$C44)))))</f>
        <v/>
      </c>
      <c r="G44" s="4" t="str">
        <f>IF($B44="","",IF($C44&lt;=$O44,$D44,IF(AND($E44="Y",$D44&lt;=$O44),$C44,IF(AND($E44="Y",$D44&lt;=Inputs!$B$15,$C44&lt;=Inputs!$B$15),IF($C44&lt;$D44,$C44,$D44),IF(AND($E44="Y",$D44&lt;=Inputs!$B$15),$C44,$D44)))))</f>
        <v/>
      </c>
      <c r="H44" s="3" t="str">
        <f t="shared" si="0"/>
        <v/>
      </c>
      <c r="I44" s="4" t="str">
        <f t="shared" si="2"/>
        <v/>
      </c>
      <c r="J44" s="4" t="str">
        <f t="shared" si="3"/>
        <v/>
      </c>
      <c r="K44" s="4" t="str">
        <f t="shared" si="4"/>
        <v/>
      </c>
      <c r="L44" s="4" t="str">
        <f t="shared" si="5"/>
        <v/>
      </c>
      <c r="M44" s="4" t="str">
        <f t="shared" si="1"/>
        <v/>
      </c>
      <c r="N44" s="4" t="str">
        <f t="shared" si="6"/>
        <v/>
      </c>
      <c r="O44" s="4" t="str">
        <f>IF($B44="","",Inputs!$B$15-$M43)</f>
        <v/>
      </c>
      <c r="P44" s="3" t="str">
        <f t="shared" si="7"/>
        <v/>
      </c>
      <c r="Q44" s="3" t="str">
        <f t="shared" si="8"/>
        <v/>
      </c>
      <c r="R44" s="3" t="str">
        <f>IF($B44="","",IF($Q44,($L43+$N43+$G44)&gt;Inputs!$B$16,FALSE))</f>
        <v/>
      </c>
      <c r="S44" s="3" t="str">
        <f>IF($B44="","",IF(OR($F44&gt;Inputs!$B$15,$G44&gt;Inputs!$B$16),"TOO BIG",IF($R44,"NEW SHEET",IF($Q44,"NEW ROW","OK"))))</f>
        <v/>
      </c>
    </row>
    <row r="45" spans="1:19" x14ac:dyDescent="0.2">
      <c r="A45" s="4">
        <v>39</v>
      </c>
      <c r="B45" s="3" t="str">
        <f>IF(SortedPieces!$B41="","",SortedPieces!$B41)</f>
        <v/>
      </c>
      <c r="C45" s="4" t="str">
        <f>IF(SortedPieces!$C41="","",SortedPieces!$C41)</f>
        <v/>
      </c>
      <c r="D45" s="4" t="str">
        <f>IF(SortedPieces!$D41="","",SortedPieces!$D41)</f>
        <v/>
      </c>
      <c r="E45" s="3" t="str">
        <f>IF(SortedPieces!$E41="","",SortedPieces!$E41)</f>
        <v/>
      </c>
      <c r="F45" s="4" t="str">
        <f>IF($B45="","",IF($C45&lt;=$O45,$C45,IF(AND($E45="Y",$D45&lt;=$O45),$D45,IF(AND($E45="Y",$D45&lt;=Inputs!$B$15,$C45&lt;=Inputs!$B$15),IF($C45&lt;$D45,$D45,$C45),IF(AND($E45="Y",$D45&lt;=Inputs!$B$15),$D45,$C45)))))</f>
        <v/>
      </c>
      <c r="G45" s="4" t="str">
        <f>IF($B45="","",IF($C45&lt;=$O45,$D45,IF(AND($E45="Y",$D45&lt;=$O45),$C45,IF(AND($E45="Y",$D45&lt;=Inputs!$B$15,$C45&lt;=Inputs!$B$15),IF($C45&lt;$D45,$C45,$D45),IF(AND($E45="Y",$D45&lt;=Inputs!$B$15),$C45,$D45)))))</f>
        <v/>
      </c>
      <c r="H45" s="3" t="str">
        <f t="shared" si="0"/>
        <v/>
      </c>
      <c r="I45" s="4" t="str">
        <f t="shared" si="2"/>
        <v/>
      </c>
      <c r="J45" s="4" t="str">
        <f t="shared" si="3"/>
        <v/>
      </c>
      <c r="K45" s="4" t="str">
        <f t="shared" si="4"/>
        <v/>
      </c>
      <c r="L45" s="4" t="str">
        <f t="shared" si="5"/>
        <v/>
      </c>
      <c r="M45" s="4" t="str">
        <f t="shared" si="1"/>
        <v/>
      </c>
      <c r="N45" s="4" t="str">
        <f t="shared" si="6"/>
        <v/>
      </c>
      <c r="O45" s="4" t="str">
        <f>IF($B45="","",Inputs!$B$15-$M44)</f>
        <v/>
      </c>
      <c r="P45" s="3" t="str">
        <f t="shared" si="7"/>
        <v/>
      </c>
      <c r="Q45" s="3" t="str">
        <f t="shared" si="8"/>
        <v/>
      </c>
      <c r="R45" s="3" t="str">
        <f>IF($B45="","",IF($Q45,($L44+$N44+$G45)&gt;Inputs!$B$16,FALSE))</f>
        <v/>
      </c>
      <c r="S45" s="3" t="str">
        <f>IF($B45="","",IF(OR($F45&gt;Inputs!$B$15,$G45&gt;Inputs!$B$16),"TOO BIG",IF($R45,"NEW SHEET",IF($Q45,"NEW ROW","OK"))))</f>
        <v/>
      </c>
    </row>
    <row r="46" spans="1:19" x14ac:dyDescent="0.2">
      <c r="A46" s="4">
        <v>40</v>
      </c>
      <c r="B46" s="3" t="str">
        <f>IF(SortedPieces!$B42="","",SortedPieces!$B42)</f>
        <v/>
      </c>
      <c r="C46" s="4" t="str">
        <f>IF(SortedPieces!$C42="","",SortedPieces!$C42)</f>
        <v/>
      </c>
      <c r="D46" s="4" t="str">
        <f>IF(SortedPieces!$D42="","",SortedPieces!$D42)</f>
        <v/>
      </c>
      <c r="E46" s="3" t="str">
        <f>IF(SortedPieces!$E42="","",SortedPieces!$E42)</f>
        <v/>
      </c>
      <c r="F46" s="4" t="str">
        <f>IF($B46="","",IF($C46&lt;=$O46,$C46,IF(AND($E46="Y",$D46&lt;=$O46),$D46,IF(AND($E46="Y",$D46&lt;=Inputs!$B$15,$C46&lt;=Inputs!$B$15),IF($C46&lt;$D46,$D46,$C46),IF(AND($E46="Y",$D46&lt;=Inputs!$B$15),$D46,$C46)))))</f>
        <v/>
      </c>
      <c r="G46" s="4" t="str">
        <f>IF($B46="","",IF($C46&lt;=$O46,$D46,IF(AND($E46="Y",$D46&lt;=$O46),$C46,IF(AND($E46="Y",$D46&lt;=Inputs!$B$15,$C46&lt;=Inputs!$B$15),IF($C46&lt;$D46,$C46,$D46),IF(AND($E46="Y",$D46&lt;=Inputs!$B$15),$C46,$D46)))))</f>
        <v/>
      </c>
      <c r="H46" s="3" t="str">
        <f t="shared" si="0"/>
        <v/>
      </c>
      <c r="I46" s="4" t="str">
        <f t="shared" si="2"/>
        <v/>
      </c>
      <c r="J46" s="4" t="str">
        <f t="shared" si="3"/>
        <v/>
      </c>
      <c r="K46" s="4" t="str">
        <f t="shared" si="4"/>
        <v/>
      </c>
      <c r="L46" s="4" t="str">
        <f t="shared" si="5"/>
        <v/>
      </c>
      <c r="M46" s="4" t="str">
        <f t="shared" si="1"/>
        <v/>
      </c>
      <c r="N46" s="4" t="str">
        <f t="shared" si="6"/>
        <v/>
      </c>
      <c r="O46" s="4" t="str">
        <f>IF($B46="","",Inputs!$B$15-$M45)</f>
        <v/>
      </c>
      <c r="P46" s="3" t="str">
        <f t="shared" si="7"/>
        <v/>
      </c>
      <c r="Q46" s="3" t="str">
        <f t="shared" si="8"/>
        <v/>
      </c>
      <c r="R46" s="3" t="str">
        <f>IF($B46="","",IF($Q46,($L45+$N45+$G46)&gt;Inputs!$B$16,FALSE))</f>
        <v/>
      </c>
      <c r="S46" s="3" t="str">
        <f>IF($B46="","",IF(OR($F46&gt;Inputs!$B$15,$G46&gt;Inputs!$B$16),"TOO BIG",IF($R46,"NEW SHEET",IF($Q46,"NEW ROW","OK"))))</f>
        <v/>
      </c>
    </row>
    <row r="47" spans="1:19" x14ac:dyDescent="0.2">
      <c r="A47" s="4">
        <v>41</v>
      </c>
      <c r="B47" s="3" t="str">
        <f>IF(SortedPieces!$B43="","",SortedPieces!$B43)</f>
        <v/>
      </c>
      <c r="C47" s="4" t="str">
        <f>IF(SortedPieces!$C43="","",SortedPieces!$C43)</f>
        <v/>
      </c>
      <c r="D47" s="4" t="str">
        <f>IF(SortedPieces!$D43="","",SortedPieces!$D43)</f>
        <v/>
      </c>
      <c r="E47" s="3" t="str">
        <f>IF(SortedPieces!$E43="","",SortedPieces!$E43)</f>
        <v/>
      </c>
      <c r="F47" s="4" t="str">
        <f>IF($B47="","",IF($C47&lt;=$O47,$C47,IF(AND($E47="Y",$D47&lt;=$O47),$D47,IF(AND($E47="Y",$D47&lt;=Inputs!$B$15,$C47&lt;=Inputs!$B$15),IF($C47&lt;$D47,$D47,$C47),IF(AND($E47="Y",$D47&lt;=Inputs!$B$15),$D47,$C47)))))</f>
        <v/>
      </c>
      <c r="G47" s="4" t="str">
        <f>IF($B47="","",IF($C47&lt;=$O47,$D47,IF(AND($E47="Y",$D47&lt;=$O47),$C47,IF(AND($E47="Y",$D47&lt;=Inputs!$B$15,$C47&lt;=Inputs!$B$15),IF($C47&lt;$D47,$C47,$D47),IF(AND($E47="Y",$D47&lt;=Inputs!$B$15),$C47,$D47)))))</f>
        <v/>
      </c>
      <c r="H47" s="3" t="str">
        <f t="shared" si="0"/>
        <v/>
      </c>
      <c r="I47" s="4" t="str">
        <f t="shared" si="2"/>
        <v/>
      </c>
      <c r="J47" s="4" t="str">
        <f t="shared" si="3"/>
        <v/>
      </c>
      <c r="K47" s="4" t="str">
        <f t="shared" si="4"/>
        <v/>
      </c>
      <c r="L47" s="4" t="str">
        <f t="shared" si="5"/>
        <v/>
      </c>
      <c r="M47" s="4" t="str">
        <f t="shared" si="1"/>
        <v/>
      </c>
      <c r="N47" s="4" t="str">
        <f t="shared" si="6"/>
        <v/>
      </c>
      <c r="O47" s="4" t="str">
        <f>IF($B47="","",Inputs!$B$15-$M46)</f>
        <v/>
      </c>
      <c r="P47" s="3" t="str">
        <f t="shared" si="7"/>
        <v/>
      </c>
      <c r="Q47" s="3" t="str">
        <f t="shared" si="8"/>
        <v/>
      </c>
      <c r="R47" s="3" t="str">
        <f>IF($B47="","",IF($Q47,($L46+$N46+$G47)&gt;Inputs!$B$16,FALSE))</f>
        <v/>
      </c>
      <c r="S47" s="3" t="str">
        <f>IF($B47="","",IF(OR($F47&gt;Inputs!$B$15,$G47&gt;Inputs!$B$16),"TOO BIG",IF($R47,"NEW SHEET",IF($Q47,"NEW ROW","OK"))))</f>
        <v/>
      </c>
    </row>
    <row r="48" spans="1:19" x14ac:dyDescent="0.2">
      <c r="A48" s="4">
        <v>42</v>
      </c>
      <c r="B48" s="3" t="str">
        <f>IF(SortedPieces!$B44="","",SortedPieces!$B44)</f>
        <v/>
      </c>
      <c r="C48" s="4" t="str">
        <f>IF(SortedPieces!$C44="","",SortedPieces!$C44)</f>
        <v/>
      </c>
      <c r="D48" s="4" t="str">
        <f>IF(SortedPieces!$D44="","",SortedPieces!$D44)</f>
        <v/>
      </c>
      <c r="E48" s="3" t="str">
        <f>IF(SortedPieces!$E44="","",SortedPieces!$E44)</f>
        <v/>
      </c>
      <c r="F48" s="4" t="str">
        <f>IF($B48="","",IF($C48&lt;=$O48,$C48,IF(AND($E48="Y",$D48&lt;=$O48),$D48,IF(AND($E48="Y",$D48&lt;=Inputs!$B$15,$C48&lt;=Inputs!$B$15),IF($C48&lt;$D48,$D48,$C48),IF(AND($E48="Y",$D48&lt;=Inputs!$B$15),$D48,$C48)))))</f>
        <v/>
      </c>
      <c r="G48" s="4" t="str">
        <f>IF($B48="","",IF($C48&lt;=$O48,$D48,IF(AND($E48="Y",$D48&lt;=$O48),$C48,IF(AND($E48="Y",$D48&lt;=Inputs!$B$15,$C48&lt;=Inputs!$B$15),IF($C48&lt;$D48,$C48,$D48),IF(AND($E48="Y",$D48&lt;=Inputs!$B$15),$C48,$D48)))))</f>
        <v/>
      </c>
      <c r="H48" s="3" t="str">
        <f t="shared" si="0"/>
        <v/>
      </c>
      <c r="I48" s="4" t="str">
        <f t="shared" si="2"/>
        <v/>
      </c>
      <c r="J48" s="4" t="str">
        <f t="shared" si="3"/>
        <v/>
      </c>
      <c r="K48" s="4" t="str">
        <f t="shared" si="4"/>
        <v/>
      </c>
      <c r="L48" s="4" t="str">
        <f t="shared" si="5"/>
        <v/>
      </c>
      <c r="M48" s="4" t="str">
        <f t="shared" si="1"/>
        <v/>
      </c>
      <c r="N48" s="4" t="str">
        <f t="shared" si="6"/>
        <v/>
      </c>
      <c r="O48" s="4" t="str">
        <f>IF($B48="","",Inputs!$B$15-$M47)</f>
        <v/>
      </c>
      <c r="P48" s="3" t="str">
        <f t="shared" si="7"/>
        <v/>
      </c>
      <c r="Q48" s="3" t="str">
        <f t="shared" si="8"/>
        <v/>
      </c>
      <c r="R48" s="3" t="str">
        <f>IF($B48="","",IF($Q48,($L47+$N47+$G48)&gt;Inputs!$B$16,FALSE))</f>
        <v/>
      </c>
      <c r="S48" s="3" t="str">
        <f>IF($B48="","",IF(OR($F48&gt;Inputs!$B$15,$G48&gt;Inputs!$B$16),"TOO BIG",IF($R48,"NEW SHEET",IF($Q48,"NEW ROW","OK"))))</f>
        <v/>
      </c>
    </row>
    <row r="49" spans="1:19" x14ac:dyDescent="0.2">
      <c r="A49" s="4">
        <v>43</v>
      </c>
      <c r="B49" s="3" t="str">
        <f>IF(SortedPieces!$B45="","",SortedPieces!$B45)</f>
        <v/>
      </c>
      <c r="C49" s="4" t="str">
        <f>IF(SortedPieces!$C45="","",SortedPieces!$C45)</f>
        <v/>
      </c>
      <c r="D49" s="4" t="str">
        <f>IF(SortedPieces!$D45="","",SortedPieces!$D45)</f>
        <v/>
      </c>
      <c r="E49" s="3" t="str">
        <f>IF(SortedPieces!$E45="","",SortedPieces!$E45)</f>
        <v/>
      </c>
      <c r="F49" s="4" t="str">
        <f>IF($B49="","",IF($C49&lt;=$O49,$C49,IF(AND($E49="Y",$D49&lt;=$O49),$D49,IF(AND($E49="Y",$D49&lt;=Inputs!$B$15,$C49&lt;=Inputs!$B$15),IF($C49&lt;$D49,$D49,$C49),IF(AND($E49="Y",$D49&lt;=Inputs!$B$15),$D49,$C49)))))</f>
        <v/>
      </c>
      <c r="G49" s="4" t="str">
        <f>IF($B49="","",IF($C49&lt;=$O49,$D49,IF(AND($E49="Y",$D49&lt;=$O49),$C49,IF(AND($E49="Y",$D49&lt;=Inputs!$B$15,$C49&lt;=Inputs!$B$15),IF($C49&lt;$D49,$C49,$D49),IF(AND($E49="Y",$D49&lt;=Inputs!$B$15),$C49,$D49)))))</f>
        <v/>
      </c>
      <c r="H49" s="3" t="str">
        <f t="shared" si="0"/>
        <v/>
      </c>
      <c r="I49" s="4" t="str">
        <f t="shared" si="2"/>
        <v/>
      </c>
      <c r="J49" s="4" t="str">
        <f t="shared" si="3"/>
        <v/>
      </c>
      <c r="K49" s="4" t="str">
        <f t="shared" si="4"/>
        <v/>
      </c>
      <c r="L49" s="4" t="str">
        <f t="shared" si="5"/>
        <v/>
      </c>
      <c r="M49" s="4" t="str">
        <f t="shared" si="1"/>
        <v/>
      </c>
      <c r="N49" s="4" t="str">
        <f t="shared" si="6"/>
        <v/>
      </c>
      <c r="O49" s="4" t="str">
        <f>IF($B49="","",Inputs!$B$15-$M48)</f>
        <v/>
      </c>
      <c r="P49" s="3" t="str">
        <f t="shared" si="7"/>
        <v/>
      </c>
      <c r="Q49" s="3" t="str">
        <f t="shared" si="8"/>
        <v/>
      </c>
      <c r="R49" s="3" t="str">
        <f>IF($B49="","",IF($Q49,($L48+$N48+$G49)&gt;Inputs!$B$16,FALSE))</f>
        <v/>
      </c>
      <c r="S49" s="3" t="str">
        <f>IF($B49="","",IF(OR($F49&gt;Inputs!$B$15,$G49&gt;Inputs!$B$16),"TOO BIG",IF($R49,"NEW SHEET",IF($Q49,"NEW ROW","OK"))))</f>
        <v/>
      </c>
    </row>
    <row r="50" spans="1:19" x14ac:dyDescent="0.2">
      <c r="A50" s="4">
        <v>44</v>
      </c>
      <c r="B50" s="3" t="str">
        <f>IF(SortedPieces!$B46="","",SortedPieces!$B46)</f>
        <v/>
      </c>
      <c r="C50" s="4" t="str">
        <f>IF(SortedPieces!$C46="","",SortedPieces!$C46)</f>
        <v/>
      </c>
      <c r="D50" s="4" t="str">
        <f>IF(SortedPieces!$D46="","",SortedPieces!$D46)</f>
        <v/>
      </c>
      <c r="E50" s="3" t="str">
        <f>IF(SortedPieces!$E46="","",SortedPieces!$E46)</f>
        <v/>
      </c>
      <c r="F50" s="4" t="str">
        <f>IF($B50="","",IF($C50&lt;=$O50,$C50,IF(AND($E50="Y",$D50&lt;=$O50),$D50,IF(AND($E50="Y",$D50&lt;=Inputs!$B$15,$C50&lt;=Inputs!$B$15),IF($C50&lt;$D50,$D50,$C50),IF(AND($E50="Y",$D50&lt;=Inputs!$B$15),$D50,$C50)))))</f>
        <v/>
      </c>
      <c r="G50" s="4" t="str">
        <f>IF($B50="","",IF($C50&lt;=$O50,$D50,IF(AND($E50="Y",$D50&lt;=$O50),$C50,IF(AND($E50="Y",$D50&lt;=Inputs!$B$15,$C50&lt;=Inputs!$B$15),IF($C50&lt;$D50,$C50,$D50),IF(AND($E50="Y",$D50&lt;=Inputs!$B$15),$C50,$D50)))))</f>
        <v/>
      </c>
      <c r="H50" s="3" t="str">
        <f t="shared" si="0"/>
        <v/>
      </c>
      <c r="I50" s="4" t="str">
        <f t="shared" si="2"/>
        <v/>
      </c>
      <c r="J50" s="4" t="str">
        <f t="shared" si="3"/>
        <v/>
      </c>
      <c r="K50" s="4" t="str">
        <f t="shared" si="4"/>
        <v/>
      </c>
      <c r="L50" s="4" t="str">
        <f t="shared" si="5"/>
        <v/>
      </c>
      <c r="M50" s="4" t="str">
        <f t="shared" si="1"/>
        <v/>
      </c>
      <c r="N50" s="4" t="str">
        <f t="shared" si="6"/>
        <v/>
      </c>
      <c r="O50" s="4" t="str">
        <f>IF($B50="","",Inputs!$B$15-$M49)</f>
        <v/>
      </c>
      <c r="P50" s="3" t="str">
        <f t="shared" si="7"/>
        <v/>
      </c>
      <c r="Q50" s="3" t="str">
        <f t="shared" si="8"/>
        <v/>
      </c>
      <c r="R50" s="3" t="str">
        <f>IF($B50="","",IF($Q50,($L49+$N49+$G50)&gt;Inputs!$B$16,FALSE))</f>
        <v/>
      </c>
      <c r="S50" s="3" t="str">
        <f>IF($B50="","",IF(OR($F50&gt;Inputs!$B$15,$G50&gt;Inputs!$B$16),"TOO BIG",IF($R50,"NEW SHEET",IF($Q50,"NEW ROW","OK"))))</f>
        <v/>
      </c>
    </row>
    <row r="51" spans="1:19" x14ac:dyDescent="0.2">
      <c r="A51" s="4">
        <v>45</v>
      </c>
      <c r="B51" s="3" t="str">
        <f>IF(SortedPieces!$B47="","",SortedPieces!$B47)</f>
        <v/>
      </c>
      <c r="C51" s="4" t="str">
        <f>IF(SortedPieces!$C47="","",SortedPieces!$C47)</f>
        <v/>
      </c>
      <c r="D51" s="4" t="str">
        <f>IF(SortedPieces!$D47="","",SortedPieces!$D47)</f>
        <v/>
      </c>
      <c r="E51" s="3" t="str">
        <f>IF(SortedPieces!$E47="","",SortedPieces!$E47)</f>
        <v/>
      </c>
      <c r="F51" s="4" t="str">
        <f>IF($B51="","",IF($C51&lt;=$O51,$C51,IF(AND($E51="Y",$D51&lt;=$O51),$D51,IF(AND($E51="Y",$D51&lt;=Inputs!$B$15,$C51&lt;=Inputs!$B$15),IF($C51&lt;$D51,$D51,$C51),IF(AND($E51="Y",$D51&lt;=Inputs!$B$15),$D51,$C51)))))</f>
        <v/>
      </c>
      <c r="G51" s="4" t="str">
        <f>IF($B51="","",IF($C51&lt;=$O51,$D51,IF(AND($E51="Y",$D51&lt;=$O51),$C51,IF(AND($E51="Y",$D51&lt;=Inputs!$B$15,$C51&lt;=Inputs!$B$15),IF($C51&lt;$D51,$C51,$D51),IF(AND($E51="Y",$D51&lt;=Inputs!$B$15),$C51,$D51)))))</f>
        <v/>
      </c>
      <c r="H51" s="3" t="str">
        <f t="shared" si="0"/>
        <v/>
      </c>
      <c r="I51" s="4" t="str">
        <f t="shared" si="2"/>
        <v/>
      </c>
      <c r="J51" s="4" t="str">
        <f t="shared" si="3"/>
        <v/>
      </c>
      <c r="K51" s="4" t="str">
        <f t="shared" si="4"/>
        <v/>
      </c>
      <c r="L51" s="4" t="str">
        <f t="shared" si="5"/>
        <v/>
      </c>
      <c r="M51" s="4" t="str">
        <f t="shared" si="1"/>
        <v/>
      </c>
      <c r="N51" s="4" t="str">
        <f t="shared" si="6"/>
        <v/>
      </c>
      <c r="O51" s="4" t="str">
        <f>IF($B51="","",Inputs!$B$15-$M50)</f>
        <v/>
      </c>
      <c r="P51" s="3" t="str">
        <f t="shared" si="7"/>
        <v/>
      </c>
      <c r="Q51" s="3" t="str">
        <f t="shared" si="8"/>
        <v/>
      </c>
      <c r="R51" s="3" t="str">
        <f>IF($B51="","",IF($Q51,($L50+$N50+$G51)&gt;Inputs!$B$16,FALSE))</f>
        <v/>
      </c>
      <c r="S51" s="3" t="str">
        <f>IF($B51="","",IF(OR($F51&gt;Inputs!$B$15,$G51&gt;Inputs!$B$16),"TOO BIG",IF($R51,"NEW SHEET",IF($Q51,"NEW ROW","OK"))))</f>
        <v/>
      </c>
    </row>
    <row r="52" spans="1:19" x14ac:dyDescent="0.2">
      <c r="A52" s="4">
        <v>46</v>
      </c>
      <c r="B52" s="3" t="str">
        <f>IF(SortedPieces!$B48="","",SortedPieces!$B48)</f>
        <v/>
      </c>
      <c r="C52" s="4" t="str">
        <f>IF(SortedPieces!$C48="","",SortedPieces!$C48)</f>
        <v/>
      </c>
      <c r="D52" s="4" t="str">
        <f>IF(SortedPieces!$D48="","",SortedPieces!$D48)</f>
        <v/>
      </c>
      <c r="E52" s="3" t="str">
        <f>IF(SortedPieces!$E48="","",SortedPieces!$E48)</f>
        <v/>
      </c>
      <c r="F52" s="4" t="str">
        <f>IF($B52="","",IF($C52&lt;=$O52,$C52,IF(AND($E52="Y",$D52&lt;=$O52),$D52,IF(AND($E52="Y",$D52&lt;=Inputs!$B$15,$C52&lt;=Inputs!$B$15),IF($C52&lt;$D52,$D52,$C52),IF(AND($E52="Y",$D52&lt;=Inputs!$B$15),$D52,$C52)))))</f>
        <v/>
      </c>
      <c r="G52" s="4" t="str">
        <f>IF($B52="","",IF($C52&lt;=$O52,$D52,IF(AND($E52="Y",$D52&lt;=$O52),$C52,IF(AND($E52="Y",$D52&lt;=Inputs!$B$15,$C52&lt;=Inputs!$B$15),IF($C52&lt;$D52,$C52,$D52),IF(AND($E52="Y",$D52&lt;=Inputs!$B$15),$C52,$D52)))))</f>
        <v/>
      </c>
      <c r="H52" s="3" t="str">
        <f t="shared" si="0"/>
        <v/>
      </c>
      <c r="I52" s="4" t="str">
        <f t="shared" si="2"/>
        <v/>
      </c>
      <c r="J52" s="4" t="str">
        <f t="shared" si="3"/>
        <v/>
      </c>
      <c r="K52" s="4" t="str">
        <f t="shared" si="4"/>
        <v/>
      </c>
      <c r="L52" s="4" t="str">
        <f t="shared" si="5"/>
        <v/>
      </c>
      <c r="M52" s="4" t="str">
        <f t="shared" si="1"/>
        <v/>
      </c>
      <c r="N52" s="4" t="str">
        <f t="shared" si="6"/>
        <v/>
      </c>
      <c r="O52" s="4" t="str">
        <f>IF($B52="","",Inputs!$B$15-$M51)</f>
        <v/>
      </c>
      <c r="P52" s="3" t="str">
        <f t="shared" si="7"/>
        <v/>
      </c>
      <c r="Q52" s="3" t="str">
        <f t="shared" si="8"/>
        <v/>
      </c>
      <c r="R52" s="3" t="str">
        <f>IF($B52="","",IF($Q52,($L51+$N51+$G52)&gt;Inputs!$B$16,FALSE))</f>
        <v/>
      </c>
      <c r="S52" s="3" t="str">
        <f>IF($B52="","",IF(OR($F52&gt;Inputs!$B$15,$G52&gt;Inputs!$B$16),"TOO BIG",IF($R52,"NEW SHEET",IF($Q52,"NEW ROW","OK"))))</f>
        <v/>
      </c>
    </row>
    <row r="53" spans="1:19" x14ac:dyDescent="0.2">
      <c r="A53" s="4">
        <v>47</v>
      </c>
      <c r="B53" s="3" t="str">
        <f>IF(SortedPieces!$B49="","",SortedPieces!$B49)</f>
        <v/>
      </c>
      <c r="C53" s="4" t="str">
        <f>IF(SortedPieces!$C49="","",SortedPieces!$C49)</f>
        <v/>
      </c>
      <c r="D53" s="4" t="str">
        <f>IF(SortedPieces!$D49="","",SortedPieces!$D49)</f>
        <v/>
      </c>
      <c r="E53" s="3" t="str">
        <f>IF(SortedPieces!$E49="","",SortedPieces!$E49)</f>
        <v/>
      </c>
      <c r="F53" s="4" t="str">
        <f>IF($B53="","",IF($C53&lt;=$O53,$C53,IF(AND($E53="Y",$D53&lt;=$O53),$D53,IF(AND($E53="Y",$D53&lt;=Inputs!$B$15,$C53&lt;=Inputs!$B$15),IF($C53&lt;$D53,$D53,$C53),IF(AND($E53="Y",$D53&lt;=Inputs!$B$15),$D53,$C53)))))</f>
        <v/>
      </c>
      <c r="G53" s="4" t="str">
        <f>IF($B53="","",IF($C53&lt;=$O53,$D53,IF(AND($E53="Y",$D53&lt;=$O53),$C53,IF(AND($E53="Y",$D53&lt;=Inputs!$B$15,$C53&lt;=Inputs!$B$15),IF($C53&lt;$D53,$C53,$D53),IF(AND($E53="Y",$D53&lt;=Inputs!$B$15),$C53,$D53)))))</f>
        <v/>
      </c>
      <c r="H53" s="3" t="str">
        <f t="shared" si="0"/>
        <v/>
      </c>
      <c r="I53" s="4" t="str">
        <f t="shared" si="2"/>
        <v/>
      </c>
      <c r="J53" s="4" t="str">
        <f t="shared" si="3"/>
        <v/>
      </c>
      <c r="K53" s="4" t="str">
        <f t="shared" si="4"/>
        <v/>
      </c>
      <c r="L53" s="4" t="str">
        <f t="shared" si="5"/>
        <v/>
      </c>
      <c r="M53" s="4" t="str">
        <f t="shared" si="1"/>
        <v/>
      </c>
      <c r="N53" s="4" t="str">
        <f t="shared" si="6"/>
        <v/>
      </c>
      <c r="O53" s="4" t="str">
        <f>IF($B53="","",Inputs!$B$15-$M52)</f>
        <v/>
      </c>
      <c r="P53" s="3" t="str">
        <f t="shared" si="7"/>
        <v/>
      </c>
      <c r="Q53" s="3" t="str">
        <f t="shared" si="8"/>
        <v/>
      </c>
      <c r="R53" s="3" t="str">
        <f>IF($B53="","",IF($Q53,($L52+$N52+$G53)&gt;Inputs!$B$16,FALSE))</f>
        <v/>
      </c>
      <c r="S53" s="3" t="str">
        <f>IF($B53="","",IF(OR($F53&gt;Inputs!$B$15,$G53&gt;Inputs!$B$16),"TOO BIG",IF($R53,"NEW SHEET",IF($Q53,"NEW ROW","OK"))))</f>
        <v/>
      </c>
    </row>
    <row r="54" spans="1:19" x14ac:dyDescent="0.2">
      <c r="A54" s="4">
        <v>48</v>
      </c>
      <c r="B54" s="3" t="str">
        <f>IF(SortedPieces!$B50="","",SortedPieces!$B50)</f>
        <v/>
      </c>
      <c r="C54" s="4" t="str">
        <f>IF(SortedPieces!$C50="","",SortedPieces!$C50)</f>
        <v/>
      </c>
      <c r="D54" s="4" t="str">
        <f>IF(SortedPieces!$D50="","",SortedPieces!$D50)</f>
        <v/>
      </c>
      <c r="E54" s="3" t="str">
        <f>IF(SortedPieces!$E50="","",SortedPieces!$E50)</f>
        <v/>
      </c>
      <c r="F54" s="4" t="str">
        <f>IF($B54="","",IF($C54&lt;=$O54,$C54,IF(AND($E54="Y",$D54&lt;=$O54),$D54,IF(AND($E54="Y",$D54&lt;=Inputs!$B$15,$C54&lt;=Inputs!$B$15),IF($C54&lt;$D54,$D54,$C54),IF(AND($E54="Y",$D54&lt;=Inputs!$B$15),$D54,$C54)))))</f>
        <v/>
      </c>
      <c r="G54" s="4" t="str">
        <f>IF($B54="","",IF($C54&lt;=$O54,$D54,IF(AND($E54="Y",$D54&lt;=$O54),$C54,IF(AND($E54="Y",$D54&lt;=Inputs!$B$15,$C54&lt;=Inputs!$B$15),IF($C54&lt;$D54,$C54,$D54),IF(AND($E54="Y",$D54&lt;=Inputs!$B$15),$C54,$D54)))))</f>
        <v/>
      </c>
      <c r="H54" s="3" t="str">
        <f t="shared" si="0"/>
        <v/>
      </c>
      <c r="I54" s="4" t="str">
        <f t="shared" si="2"/>
        <v/>
      </c>
      <c r="J54" s="4" t="str">
        <f t="shared" si="3"/>
        <v/>
      </c>
      <c r="K54" s="4" t="str">
        <f t="shared" si="4"/>
        <v/>
      </c>
      <c r="L54" s="4" t="str">
        <f t="shared" si="5"/>
        <v/>
      </c>
      <c r="M54" s="4" t="str">
        <f t="shared" si="1"/>
        <v/>
      </c>
      <c r="N54" s="4" t="str">
        <f t="shared" si="6"/>
        <v/>
      </c>
      <c r="O54" s="4" t="str">
        <f>IF($B54="","",Inputs!$B$15-$M53)</f>
        <v/>
      </c>
      <c r="P54" s="3" t="str">
        <f t="shared" si="7"/>
        <v/>
      </c>
      <c r="Q54" s="3" t="str">
        <f t="shared" si="8"/>
        <v/>
      </c>
      <c r="R54" s="3" t="str">
        <f>IF($B54="","",IF($Q54,($L53+$N53+$G54)&gt;Inputs!$B$16,FALSE))</f>
        <v/>
      </c>
      <c r="S54" s="3" t="str">
        <f>IF($B54="","",IF(OR($F54&gt;Inputs!$B$15,$G54&gt;Inputs!$B$16),"TOO BIG",IF($R54,"NEW SHEET",IF($Q54,"NEW ROW","OK"))))</f>
        <v/>
      </c>
    </row>
    <row r="55" spans="1:19" x14ac:dyDescent="0.2">
      <c r="A55" s="4">
        <v>49</v>
      </c>
      <c r="B55" s="3" t="str">
        <f>IF(SortedPieces!$B51="","",SortedPieces!$B51)</f>
        <v/>
      </c>
      <c r="C55" s="4" t="str">
        <f>IF(SortedPieces!$C51="","",SortedPieces!$C51)</f>
        <v/>
      </c>
      <c r="D55" s="4" t="str">
        <f>IF(SortedPieces!$D51="","",SortedPieces!$D51)</f>
        <v/>
      </c>
      <c r="E55" s="3" t="str">
        <f>IF(SortedPieces!$E51="","",SortedPieces!$E51)</f>
        <v/>
      </c>
      <c r="F55" s="4" t="str">
        <f>IF($B55="","",IF($C55&lt;=$O55,$C55,IF(AND($E55="Y",$D55&lt;=$O55),$D55,IF(AND($E55="Y",$D55&lt;=Inputs!$B$15,$C55&lt;=Inputs!$B$15),IF($C55&lt;$D55,$D55,$C55),IF(AND($E55="Y",$D55&lt;=Inputs!$B$15),$D55,$C55)))))</f>
        <v/>
      </c>
      <c r="G55" s="4" t="str">
        <f>IF($B55="","",IF($C55&lt;=$O55,$D55,IF(AND($E55="Y",$D55&lt;=$O55),$C55,IF(AND($E55="Y",$D55&lt;=Inputs!$B$15,$C55&lt;=Inputs!$B$15),IF($C55&lt;$D55,$C55,$D55),IF(AND($E55="Y",$D55&lt;=Inputs!$B$15),$C55,$D55)))))</f>
        <v/>
      </c>
      <c r="H55" s="3" t="str">
        <f t="shared" si="0"/>
        <v/>
      </c>
      <c r="I55" s="4" t="str">
        <f t="shared" si="2"/>
        <v/>
      </c>
      <c r="J55" s="4" t="str">
        <f t="shared" si="3"/>
        <v/>
      </c>
      <c r="K55" s="4" t="str">
        <f t="shared" si="4"/>
        <v/>
      </c>
      <c r="L55" s="4" t="str">
        <f t="shared" si="5"/>
        <v/>
      </c>
      <c r="M55" s="4" t="str">
        <f t="shared" si="1"/>
        <v/>
      </c>
      <c r="N55" s="4" t="str">
        <f t="shared" si="6"/>
        <v/>
      </c>
      <c r="O55" s="4" t="str">
        <f>IF($B55="","",Inputs!$B$15-$M54)</f>
        <v/>
      </c>
      <c r="P55" s="3" t="str">
        <f t="shared" si="7"/>
        <v/>
      </c>
      <c r="Q55" s="3" t="str">
        <f t="shared" si="8"/>
        <v/>
      </c>
      <c r="R55" s="3" t="str">
        <f>IF($B55="","",IF($Q55,($L54+$N54+$G55)&gt;Inputs!$B$16,FALSE))</f>
        <v/>
      </c>
      <c r="S55" s="3" t="str">
        <f>IF($B55="","",IF(OR($F55&gt;Inputs!$B$15,$G55&gt;Inputs!$B$16),"TOO BIG",IF($R55,"NEW SHEET",IF($Q55,"NEW ROW","OK"))))</f>
        <v/>
      </c>
    </row>
    <row r="56" spans="1:19" x14ac:dyDescent="0.2">
      <c r="A56" s="4">
        <v>50</v>
      </c>
      <c r="B56" s="3" t="str">
        <f>IF(SortedPieces!$B52="","",SortedPieces!$B52)</f>
        <v/>
      </c>
      <c r="C56" s="4" t="str">
        <f>IF(SortedPieces!$C52="","",SortedPieces!$C52)</f>
        <v/>
      </c>
      <c r="D56" s="4" t="str">
        <f>IF(SortedPieces!$D52="","",SortedPieces!$D52)</f>
        <v/>
      </c>
      <c r="E56" s="3" t="str">
        <f>IF(SortedPieces!$E52="","",SortedPieces!$E52)</f>
        <v/>
      </c>
      <c r="F56" s="4" t="str">
        <f>IF($B56="","",IF($C56&lt;=$O56,$C56,IF(AND($E56="Y",$D56&lt;=$O56),$D56,IF(AND($E56="Y",$D56&lt;=Inputs!$B$15,$C56&lt;=Inputs!$B$15),IF($C56&lt;$D56,$D56,$C56),IF(AND($E56="Y",$D56&lt;=Inputs!$B$15),$D56,$C56)))))</f>
        <v/>
      </c>
      <c r="G56" s="4" t="str">
        <f>IF($B56="","",IF($C56&lt;=$O56,$D56,IF(AND($E56="Y",$D56&lt;=$O56),$C56,IF(AND($E56="Y",$D56&lt;=Inputs!$B$15,$C56&lt;=Inputs!$B$15),IF($C56&lt;$D56,$C56,$D56),IF(AND($E56="Y",$D56&lt;=Inputs!$B$15),$C56,$D56)))))</f>
        <v/>
      </c>
      <c r="H56" s="3" t="str">
        <f t="shared" si="0"/>
        <v/>
      </c>
      <c r="I56" s="4" t="str">
        <f t="shared" si="2"/>
        <v/>
      </c>
      <c r="J56" s="4" t="str">
        <f t="shared" si="3"/>
        <v/>
      </c>
      <c r="K56" s="4" t="str">
        <f t="shared" si="4"/>
        <v/>
      </c>
      <c r="L56" s="4" t="str">
        <f t="shared" si="5"/>
        <v/>
      </c>
      <c r="M56" s="4" t="str">
        <f t="shared" si="1"/>
        <v/>
      </c>
      <c r="N56" s="4" t="str">
        <f t="shared" si="6"/>
        <v/>
      </c>
      <c r="O56" s="4" t="str">
        <f>IF($B56="","",Inputs!$B$15-$M55)</f>
        <v/>
      </c>
      <c r="P56" s="3" t="str">
        <f t="shared" si="7"/>
        <v/>
      </c>
      <c r="Q56" s="3" t="str">
        <f t="shared" si="8"/>
        <v/>
      </c>
      <c r="R56" s="3" t="str">
        <f>IF($B56="","",IF($Q56,($L55+$N55+$G56)&gt;Inputs!$B$16,FALSE))</f>
        <v/>
      </c>
      <c r="S56" s="3" t="str">
        <f>IF($B56="","",IF(OR($F56&gt;Inputs!$B$15,$G56&gt;Inputs!$B$16),"TOO BIG",IF($R56,"NEW SHEET",IF($Q56,"NEW ROW","OK"))))</f>
        <v/>
      </c>
    </row>
    <row r="57" spans="1:19" x14ac:dyDescent="0.2">
      <c r="A57" s="4">
        <v>51</v>
      </c>
      <c r="B57" s="3" t="str">
        <f>IF(SortedPieces!$B53="","",SortedPieces!$B53)</f>
        <v/>
      </c>
      <c r="C57" s="4" t="str">
        <f>IF(SortedPieces!$C53="","",SortedPieces!$C53)</f>
        <v/>
      </c>
      <c r="D57" s="4" t="str">
        <f>IF(SortedPieces!$D53="","",SortedPieces!$D53)</f>
        <v/>
      </c>
      <c r="E57" s="3" t="str">
        <f>IF(SortedPieces!$E53="","",SortedPieces!$E53)</f>
        <v/>
      </c>
      <c r="F57" s="4" t="str">
        <f>IF($B57="","",IF($C57&lt;=$O57,$C57,IF(AND($E57="Y",$D57&lt;=$O57),$D57,IF(AND($E57="Y",$D57&lt;=Inputs!$B$15,$C57&lt;=Inputs!$B$15),IF($C57&lt;$D57,$D57,$C57),IF(AND($E57="Y",$D57&lt;=Inputs!$B$15),$D57,$C57)))))</f>
        <v/>
      </c>
      <c r="G57" s="4" t="str">
        <f>IF($B57="","",IF($C57&lt;=$O57,$D57,IF(AND($E57="Y",$D57&lt;=$O57),$C57,IF(AND($E57="Y",$D57&lt;=Inputs!$B$15,$C57&lt;=Inputs!$B$15),IF($C57&lt;$D57,$C57,$D57),IF(AND($E57="Y",$D57&lt;=Inputs!$B$15),$C57,$D57)))))</f>
        <v/>
      </c>
      <c r="H57" s="3" t="str">
        <f t="shared" si="0"/>
        <v/>
      </c>
      <c r="I57" s="4" t="str">
        <f t="shared" si="2"/>
        <v/>
      </c>
      <c r="J57" s="4" t="str">
        <f t="shared" si="3"/>
        <v/>
      </c>
      <c r="K57" s="4" t="str">
        <f t="shared" si="4"/>
        <v/>
      </c>
      <c r="L57" s="4" t="str">
        <f t="shared" si="5"/>
        <v/>
      </c>
      <c r="M57" s="4" t="str">
        <f t="shared" si="1"/>
        <v/>
      </c>
      <c r="N57" s="4" t="str">
        <f t="shared" si="6"/>
        <v/>
      </c>
      <c r="O57" s="4" t="str">
        <f>IF($B57="","",Inputs!$B$15-$M56)</f>
        <v/>
      </c>
      <c r="P57" s="3" t="str">
        <f t="shared" si="7"/>
        <v/>
      </c>
      <c r="Q57" s="3" t="str">
        <f t="shared" si="8"/>
        <v/>
      </c>
      <c r="R57" s="3" t="str">
        <f>IF($B57="","",IF($Q57,($L56+$N56+$G57)&gt;Inputs!$B$16,FALSE))</f>
        <v/>
      </c>
      <c r="S57" s="3" t="str">
        <f>IF($B57="","",IF(OR($F57&gt;Inputs!$B$15,$G57&gt;Inputs!$B$16),"TOO BIG",IF($R57,"NEW SHEET",IF($Q57,"NEW ROW","OK"))))</f>
        <v/>
      </c>
    </row>
    <row r="58" spans="1:19" x14ac:dyDescent="0.2">
      <c r="A58" s="4">
        <v>52</v>
      </c>
      <c r="B58" s="3" t="str">
        <f>IF(SortedPieces!$B54="","",SortedPieces!$B54)</f>
        <v/>
      </c>
      <c r="C58" s="4" t="str">
        <f>IF(SortedPieces!$C54="","",SortedPieces!$C54)</f>
        <v/>
      </c>
      <c r="D58" s="4" t="str">
        <f>IF(SortedPieces!$D54="","",SortedPieces!$D54)</f>
        <v/>
      </c>
      <c r="E58" s="3" t="str">
        <f>IF(SortedPieces!$E54="","",SortedPieces!$E54)</f>
        <v/>
      </c>
      <c r="F58" s="4" t="str">
        <f>IF($B58="","",IF($C58&lt;=$O58,$C58,IF(AND($E58="Y",$D58&lt;=$O58),$D58,IF(AND($E58="Y",$D58&lt;=Inputs!$B$15,$C58&lt;=Inputs!$B$15),IF($C58&lt;$D58,$D58,$C58),IF(AND($E58="Y",$D58&lt;=Inputs!$B$15),$D58,$C58)))))</f>
        <v/>
      </c>
      <c r="G58" s="4" t="str">
        <f>IF($B58="","",IF($C58&lt;=$O58,$D58,IF(AND($E58="Y",$D58&lt;=$O58),$C58,IF(AND($E58="Y",$D58&lt;=Inputs!$B$15,$C58&lt;=Inputs!$B$15),IF($C58&lt;$D58,$C58,$D58),IF(AND($E58="Y",$D58&lt;=Inputs!$B$15),$C58,$D58)))))</f>
        <v/>
      </c>
      <c r="H58" s="3" t="str">
        <f t="shared" si="0"/>
        <v/>
      </c>
      <c r="I58" s="4" t="str">
        <f t="shared" si="2"/>
        <v/>
      </c>
      <c r="J58" s="4" t="str">
        <f t="shared" si="3"/>
        <v/>
      </c>
      <c r="K58" s="4" t="str">
        <f t="shared" si="4"/>
        <v/>
      </c>
      <c r="L58" s="4" t="str">
        <f t="shared" si="5"/>
        <v/>
      </c>
      <c r="M58" s="4" t="str">
        <f t="shared" si="1"/>
        <v/>
      </c>
      <c r="N58" s="4" t="str">
        <f t="shared" si="6"/>
        <v/>
      </c>
      <c r="O58" s="4" t="str">
        <f>IF($B58="","",Inputs!$B$15-$M57)</f>
        <v/>
      </c>
      <c r="P58" s="3" t="str">
        <f t="shared" si="7"/>
        <v/>
      </c>
      <c r="Q58" s="3" t="str">
        <f t="shared" si="8"/>
        <v/>
      </c>
      <c r="R58" s="3" t="str">
        <f>IF($B58="","",IF($Q58,($L57+$N57+$G58)&gt;Inputs!$B$16,FALSE))</f>
        <v/>
      </c>
      <c r="S58" s="3" t="str">
        <f>IF($B58="","",IF(OR($F58&gt;Inputs!$B$15,$G58&gt;Inputs!$B$16),"TOO BIG",IF($R58,"NEW SHEET",IF($Q58,"NEW ROW","OK"))))</f>
        <v/>
      </c>
    </row>
    <row r="59" spans="1:19" x14ac:dyDescent="0.2">
      <c r="A59" s="4">
        <v>53</v>
      </c>
      <c r="B59" s="3" t="str">
        <f>IF(SortedPieces!$B55="","",SortedPieces!$B55)</f>
        <v/>
      </c>
      <c r="C59" s="4" t="str">
        <f>IF(SortedPieces!$C55="","",SortedPieces!$C55)</f>
        <v/>
      </c>
      <c r="D59" s="4" t="str">
        <f>IF(SortedPieces!$D55="","",SortedPieces!$D55)</f>
        <v/>
      </c>
      <c r="E59" s="3" t="str">
        <f>IF(SortedPieces!$E55="","",SortedPieces!$E55)</f>
        <v/>
      </c>
      <c r="F59" s="4" t="str">
        <f>IF($B59="","",IF($C59&lt;=$O59,$C59,IF(AND($E59="Y",$D59&lt;=$O59),$D59,IF(AND($E59="Y",$D59&lt;=Inputs!$B$15,$C59&lt;=Inputs!$B$15),IF($C59&lt;$D59,$D59,$C59),IF(AND($E59="Y",$D59&lt;=Inputs!$B$15),$D59,$C59)))))</f>
        <v/>
      </c>
      <c r="G59" s="4" t="str">
        <f>IF($B59="","",IF($C59&lt;=$O59,$D59,IF(AND($E59="Y",$D59&lt;=$O59),$C59,IF(AND($E59="Y",$D59&lt;=Inputs!$B$15,$C59&lt;=Inputs!$B$15),IF($C59&lt;$D59,$C59,$D59),IF(AND($E59="Y",$D59&lt;=Inputs!$B$15),$C59,$D59)))))</f>
        <v/>
      </c>
      <c r="H59" s="3" t="str">
        <f t="shared" si="0"/>
        <v/>
      </c>
      <c r="I59" s="4" t="str">
        <f t="shared" si="2"/>
        <v/>
      </c>
      <c r="J59" s="4" t="str">
        <f t="shared" si="3"/>
        <v/>
      </c>
      <c r="K59" s="4" t="str">
        <f t="shared" si="4"/>
        <v/>
      </c>
      <c r="L59" s="4" t="str">
        <f t="shared" si="5"/>
        <v/>
      </c>
      <c r="M59" s="4" t="str">
        <f t="shared" si="1"/>
        <v/>
      </c>
      <c r="N59" s="4" t="str">
        <f t="shared" si="6"/>
        <v/>
      </c>
      <c r="O59" s="4" t="str">
        <f>IF($B59="","",Inputs!$B$15-$M58)</f>
        <v/>
      </c>
      <c r="P59" s="3" t="str">
        <f t="shared" si="7"/>
        <v/>
      </c>
      <c r="Q59" s="3" t="str">
        <f t="shared" si="8"/>
        <v/>
      </c>
      <c r="R59" s="3" t="str">
        <f>IF($B59="","",IF($Q59,($L58+$N58+$G59)&gt;Inputs!$B$16,FALSE))</f>
        <v/>
      </c>
      <c r="S59" s="3" t="str">
        <f>IF($B59="","",IF(OR($F59&gt;Inputs!$B$15,$G59&gt;Inputs!$B$16),"TOO BIG",IF($R59,"NEW SHEET",IF($Q59,"NEW ROW","OK"))))</f>
        <v/>
      </c>
    </row>
    <row r="60" spans="1:19" x14ac:dyDescent="0.2">
      <c r="A60" s="4">
        <v>54</v>
      </c>
      <c r="B60" s="3" t="str">
        <f>IF(SortedPieces!$B56="","",SortedPieces!$B56)</f>
        <v/>
      </c>
      <c r="C60" s="4" t="str">
        <f>IF(SortedPieces!$C56="","",SortedPieces!$C56)</f>
        <v/>
      </c>
      <c r="D60" s="4" t="str">
        <f>IF(SortedPieces!$D56="","",SortedPieces!$D56)</f>
        <v/>
      </c>
      <c r="E60" s="3" t="str">
        <f>IF(SortedPieces!$E56="","",SortedPieces!$E56)</f>
        <v/>
      </c>
      <c r="F60" s="4" t="str">
        <f>IF($B60="","",IF($C60&lt;=$O60,$C60,IF(AND($E60="Y",$D60&lt;=$O60),$D60,IF(AND($E60="Y",$D60&lt;=Inputs!$B$15,$C60&lt;=Inputs!$B$15),IF($C60&lt;$D60,$D60,$C60),IF(AND($E60="Y",$D60&lt;=Inputs!$B$15),$D60,$C60)))))</f>
        <v/>
      </c>
      <c r="G60" s="4" t="str">
        <f>IF($B60="","",IF($C60&lt;=$O60,$D60,IF(AND($E60="Y",$D60&lt;=$O60),$C60,IF(AND($E60="Y",$D60&lt;=Inputs!$B$15,$C60&lt;=Inputs!$B$15),IF($C60&lt;$D60,$C60,$D60),IF(AND($E60="Y",$D60&lt;=Inputs!$B$15),$C60,$D60)))))</f>
        <v/>
      </c>
      <c r="H60" s="3" t="str">
        <f t="shared" si="0"/>
        <v/>
      </c>
      <c r="I60" s="4" t="str">
        <f t="shared" si="2"/>
        <v/>
      </c>
      <c r="J60" s="4" t="str">
        <f t="shared" si="3"/>
        <v/>
      </c>
      <c r="K60" s="4" t="str">
        <f t="shared" si="4"/>
        <v/>
      </c>
      <c r="L60" s="4" t="str">
        <f t="shared" si="5"/>
        <v/>
      </c>
      <c r="M60" s="4" t="str">
        <f t="shared" si="1"/>
        <v/>
      </c>
      <c r="N60" s="4" t="str">
        <f t="shared" si="6"/>
        <v/>
      </c>
      <c r="O60" s="4" t="str">
        <f>IF($B60="","",Inputs!$B$15-$M59)</f>
        <v/>
      </c>
      <c r="P60" s="3" t="str">
        <f t="shared" si="7"/>
        <v/>
      </c>
      <c r="Q60" s="3" t="str">
        <f t="shared" si="8"/>
        <v/>
      </c>
      <c r="R60" s="3" t="str">
        <f>IF($B60="","",IF($Q60,($L59+$N59+$G60)&gt;Inputs!$B$16,FALSE))</f>
        <v/>
      </c>
      <c r="S60" s="3" t="str">
        <f>IF($B60="","",IF(OR($F60&gt;Inputs!$B$15,$G60&gt;Inputs!$B$16),"TOO BIG",IF($R60,"NEW SHEET",IF($Q60,"NEW ROW","OK"))))</f>
        <v/>
      </c>
    </row>
    <row r="61" spans="1:19" x14ac:dyDescent="0.2">
      <c r="A61" s="4">
        <v>55</v>
      </c>
      <c r="B61" s="3" t="str">
        <f>IF(SortedPieces!$B57="","",SortedPieces!$B57)</f>
        <v/>
      </c>
      <c r="C61" s="4" t="str">
        <f>IF(SortedPieces!$C57="","",SortedPieces!$C57)</f>
        <v/>
      </c>
      <c r="D61" s="4" t="str">
        <f>IF(SortedPieces!$D57="","",SortedPieces!$D57)</f>
        <v/>
      </c>
      <c r="E61" s="3" t="str">
        <f>IF(SortedPieces!$E57="","",SortedPieces!$E57)</f>
        <v/>
      </c>
      <c r="F61" s="4" t="str">
        <f>IF($B61="","",IF($C61&lt;=$O61,$C61,IF(AND($E61="Y",$D61&lt;=$O61),$D61,IF(AND($E61="Y",$D61&lt;=Inputs!$B$15,$C61&lt;=Inputs!$B$15),IF($C61&lt;$D61,$D61,$C61),IF(AND($E61="Y",$D61&lt;=Inputs!$B$15),$D61,$C61)))))</f>
        <v/>
      </c>
      <c r="G61" s="4" t="str">
        <f>IF($B61="","",IF($C61&lt;=$O61,$D61,IF(AND($E61="Y",$D61&lt;=$O61),$C61,IF(AND($E61="Y",$D61&lt;=Inputs!$B$15,$C61&lt;=Inputs!$B$15),IF($C61&lt;$D61,$C61,$D61),IF(AND($E61="Y",$D61&lt;=Inputs!$B$15),$C61,$D61)))))</f>
        <v/>
      </c>
      <c r="H61" s="3" t="str">
        <f t="shared" si="0"/>
        <v/>
      </c>
      <c r="I61" s="4" t="str">
        <f t="shared" si="2"/>
        <v/>
      </c>
      <c r="J61" s="4" t="str">
        <f t="shared" si="3"/>
        <v/>
      </c>
      <c r="K61" s="4" t="str">
        <f t="shared" si="4"/>
        <v/>
      </c>
      <c r="L61" s="4" t="str">
        <f t="shared" si="5"/>
        <v/>
      </c>
      <c r="M61" s="4" t="str">
        <f t="shared" si="1"/>
        <v/>
      </c>
      <c r="N61" s="4" t="str">
        <f t="shared" si="6"/>
        <v/>
      </c>
      <c r="O61" s="4" t="str">
        <f>IF($B61="","",Inputs!$B$15-$M60)</f>
        <v/>
      </c>
      <c r="P61" s="3" t="str">
        <f t="shared" si="7"/>
        <v/>
      </c>
      <c r="Q61" s="3" t="str">
        <f t="shared" si="8"/>
        <v/>
      </c>
      <c r="R61" s="3" t="str">
        <f>IF($B61="","",IF($Q61,($L60+$N60+$G61)&gt;Inputs!$B$16,FALSE))</f>
        <v/>
      </c>
      <c r="S61" s="3" t="str">
        <f>IF($B61="","",IF(OR($F61&gt;Inputs!$B$15,$G61&gt;Inputs!$B$16),"TOO BIG",IF($R61,"NEW SHEET",IF($Q61,"NEW ROW","OK"))))</f>
        <v/>
      </c>
    </row>
    <row r="62" spans="1:19" x14ac:dyDescent="0.2">
      <c r="A62" s="4">
        <v>56</v>
      </c>
      <c r="B62" s="3" t="str">
        <f>IF(SortedPieces!$B58="","",SortedPieces!$B58)</f>
        <v/>
      </c>
      <c r="C62" s="4" t="str">
        <f>IF(SortedPieces!$C58="","",SortedPieces!$C58)</f>
        <v/>
      </c>
      <c r="D62" s="4" t="str">
        <f>IF(SortedPieces!$D58="","",SortedPieces!$D58)</f>
        <v/>
      </c>
      <c r="E62" s="3" t="str">
        <f>IF(SortedPieces!$E58="","",SortedPieces!$E58)</f>
        <v/>
      </c>
      <c r="F62" s="4" t="str">
        <f>IF($B62="","",IF($C62&lt;=$O62,$C62,IF(AND($E62="Y",$D62&lt;=$O62),$D62,IF(AND($E62="Y",$D62&lt;=Inputs!$B$15,$C62&lt;=Inputs!$B$15),IF($C62&lt;$D62,$D62,$C62),IF(AND($E62="Y",$D62&lt;=Inputs!$B$15),$D62,$C62)))))</f>
        <v/>
      </c>
      <c r="G62" s="4" t="str">
        <f>IF($B62="","",IF($C62&lt;=$O62,$D62,IF(AND($E62="Y",$D62&lt;=$O62),$C62,IF(AND($E62="Y",$D62&lt;=Inputs!$B$15,$C62&lt;=Inputs!$B$15),IF($C62&lt;$D62,$C62,$D62),IF(AND($E62="Y",$D62&lt;=Inputs!$B$15),$C62,$D62)))))</f>
        <v/>
      </c>
      <c r="H62" s="3" t="str">
        <f t="shared" si="0"/>
        <v/>
      </c>
      <c r="I62" s="4" t="str">
        <f t="shared" si="2"/>
        <v/>
      </c>
      <c r="J62" s="4" t="str">
        <f t="shared" si="3"/>
        <v/>
      </c>
      <c r="K62" s="4" t="str">
        <f t="shared" si="4"/>
        <v/>
      </c>
      <c r="L62" s="4" t="str">
        <f t="shared" si="5"/>
        <v/>
      </c>
      <c r="M62" s="4" t="str">
        <f t="shared" si="1"/>
        <v/>
      </c>
      <c r="N62" s="4" t="str">
        <f t="shared" si="6"/>
        <v/>
      </c>
      <c r="O62" s="4" t="str">
        <f>IF($B62="","",Inputs!$B$15-$M61)</f>
        <v/>
      </c>
      <c r="P62" s="3" t="str">
        <f t="shared" si="7"/>
        <v/>
      </c>
      <c r="Q62" s="3" t="str">
        <f t="shared" si="8"/>
        <v/>
      </c>
      <c r="R62" s="3" t="str">
        <f>IF($B62="","",IF($Q62,($L61+$N61+$G62)&gt;Inputs!$B$16,FALSE))</f>
        <v/>
      </c>
      <c r="S62" s="3" t="str">
        <f>IF($B62="","",IF(OR($F62&gt;Inputs!$B$15,$G62&gt;Inputs!$B$16),"TOO BIG",IF($R62,"NEW SHEET",IF($Q62,"NEW ROW","OK"))))</f>
        <v/>
      </c>
    </row>
    <row r="63" spans="1:19" x14ac:dyDescent="0.2">
      <c r="A63" s="4">
        <v>57</v>
      </c>
      <c r="B63" s="3" t="str">
        <f>IF(SortedPieces!$B59="","",SortedPieces!$B59)</f>
        <v/>
      </c>
      <c r="C63" s="4" t="str">
        <f>IF(SortedPieces!$C59="","",SortedPieces!$C59)</f>
        <v/>
      </c>
      <c r="D63" s="4" t="str">
        <f>IF(SortedPieces!$D59="","",SortedPieces!$D59)</f>
        <v/>
      </c>
      <c r="E63" s="3" t="str">
        <f>IF(SortedPieces!$E59="","",SortedPieces!$E59)</f>
        <v/>
      </c>
      <c r="F63" s="4" t="str">
        <f>IF($B63="","",IF($C63&lt;=$O63,$C63,IF(AND($E63="Y",$D63&lt;=$O63),$D63,IF(AND($E63="Y",$D63&lt;=Inputs!$B$15,$C63&lt;=Inputs!$B$15),IF($C63&lt;$D63,$D63,$C63),IF(AND($E63="Y",$D63&lt;=Inputs!$B$15),$D63,$C63)))))</f>
        <v/>
      </c>
      <c r="G63" s="4" t="str">
        <f>IF($B63="","",IF($C63&lt;=$O63,$D63,IF(AND($E63="Y",$D63&lt;=$O63),$C63,IF(AND($E63="Y",$D63&lt;=Inputs!$B$15,$C63&lt;=Inputs!$B$15),IF($C63&lt;$D63,$C63,$D63),IF(AND($E63="Y",$D63&lt;=Inputs!$B$15),$C63,$D63)))))</f>
        <v/>
      </c>
      <c r="H63" s="3" t="str">
        <f t="shared" si="0"/>
        <v/>
      </c>
      <c r="I63" s="4" t="str">
        <f t="shared" si="2"/>
        <v/>
      </c>
      <c r="J63" s="4" t="str">
        <f t="shared" si="3"/>
        <v/>
      </c>
      <c r="K63" s="4" t="str">
        <f t="shared" si="4"/>
        <v/>
      </c>
      <c r="L63" s="4" t="str">
        <f t="shared" si="5"/>
        <v/>
      </c>
      <c r="M63" s="4" t="str">
        <f t="shared" si="1"/>
        <v/>
      </c>
      <c r="N63" s="4" t="str">
        <f t="shared" si="6"/>
        <v/>
      </c>
      <c r="O63" s="4" t="str">
        <f>IF($B63="","",Inputs!$B$15-$M62)</f>
        <v/>
      </c>
      <c r="P63" s="3" t="str">
        <f t="shared" si="7"/>
        <v/>
      </c>
      <c r="Q63" s="3" t="str">
        <f t="shared" si="8"/>
        <v/>
      </c>
      <c r="R63" s="3" t="str">
        <f>IF($B63="","",IF($Q63,($L62+$N62+$G63)&gt;Inputs!$B$16,FALSE))</f>
        <v/>
      </c>
      <c r="S63" s="3" t="str">
        <f>IF($B63="","",IF(OR($F63&gt;Inputs!$B$15,$G63&gt;Inputs!$B$16),"TOO BIG",IF($R63,"NEW SHEET",IF($Q63,"NEW ROW","OK"))))</f>
        <v/>
      </c>
    </row>
    <row r="64" spans="1:19" x14ac:dyDescent="0.2">
      <c r="A64" s="4">
        <v>58</v>
      </c>
      <c r="B64" s="3" t="str">
        <f>IF(SortedPieces!$B60="","",SortedPieces!$B60)</f>
        <v/>
      </c>
      <c r="C64" s="4" t="str">
        <f>IF(SortedPieces!$C60="","",SortedPieces!$C60)</f>
        <v/>
      </c>
      <c r="D64" s="4" t="str">
        <f>IF(SortedPieces!$D60="","",SortedPieces!$D60)</f>
        <v/>
      </c>
      <c r="E64" s="3" t="str">
        <f>IF(SortedPieces!$E60="","",SortedPieces!$E60)</f>
        <v/>
      </c>
      <c r="F64" s="4" t="str">
        <f>IF($B64="","",IF($C64&lt;=$O64,$C64,IF(AND($E64="Y",$D64&lt;=$O64),$D64,IF(AND($E64="Y",$D64&lt;=Inputs!$B$15,$C64&lt;=Inputs!$B$15),IF($C64&lt;$D64,$D64,$C64),IF(AND($E64="Y",$D64&lt;=Inputs!$B$15),$D64,$C64)))))</f>
        <v/>
      </c>
      <c r="G64" s="4" t="str">
        <f>IF($B64="","",IF($C64&lt;=$O64,$D64,IF(AND($E64="Y",$D64&lt;=$O64),$C64,IF(AND($E64="Y",$D64&lt;=Inputs!$B$15,$C64&lt;=Inputs!$B$15),IF($C64&lt;$D64,$C64,$D64),IF(AND($E64="Y",$D64&lt;=Inputs!$B$15),$C64,$D64)))))</f>
        <v/>
      </c>
      <c r="H64" s="3" t="str">
        <f t="shared" si="0"/>
        <v/>
      </c>
      <c r="I64" s="4" t="str">
        <f t="shared" si="2"/>
        <v/>
      </c>
      <c r="J64" s="4" t="str">
        <f t="shared" si="3"/>
        <v/>
      </c>
      <c r="K64" s="4" t="str">
        <f t="shared" si="4"/>
        <v/>
      </c>
      <c r="L64" s="4" t="str">
        <f t="shared" si="5"/>
        <v/>
      </c>
      <c r="M64" s="4" t="str">
        <f t="shared" si="1"/>
        <v/>
      </c>
      <c r="N64" s="4" t="str">
        <f t="shared" si="6"/>
        <v/>
      </c>
      <c r="O64" s="4" t="str">
        <f>IF($B64="","",Inputs!$B$15-$M63)</f>
        <v/>
      </c>
      <c r="P64" s="3" t="str">
        <f t="shared" si="7"/>
        <v/>
      </c>
      <c r="Q64" s="3" t="str">
        <f t="shared" si="8"/>
        <v/>
      </c>
      <c r="R64" s="3" t="str">
        <f>IF($B64="","",IF($Q64,($L63+$N63+$G64)&gt;Inputs!$B$16,FALSE))</f>
        <v/>
      </c>
      <c r="S64" s="3" t="str">
        <f>IF($B64="","",IF(OR($F64&gt;Inputs!$B$15,$G64&gt;Inputs!$B$16),"TOO BIG",IF($R64,"NEW SHEET",IF($Q64,"NEW ROW","OK"))))</f>
        <v/>
      </c>
    </row>
    <row r="65" spans="1:19" x14ac:dyDescent="0.2">
      <c r="A65" s="4">
        <v>59</v>
      </c>
      <c r="B65" s="3" t="str">
        <f>IF(SortedPieces!$B61="","",SortedPieces!$B61)</f>
        <v/>
      </c>
      <c r="C65" s="4" t="str">
        <f>IF(SortedPieces!$C61="","",SortedPieces!$C61)</f>
        <v/>
      </c>
      <c r="D65" s="4" t="str">
        <f>IF(SortedPieces!$D61="","",SortedPieces!$D61)</f>
        <v/>
      </c>
      <c r="E65" s="3" t="str">
        <f>IF(SortedPieces!$E61="","",SortedPieces!$E61)</f>
        <v/>
      </c>
      <c r="F65" s="4" t="str">
        <f>IF($B65="","",IF($C65&lt;=$O65,$C65,IF(AND($E65="Y",$D65&lt;=$O65),$D65,IF(AND($E65="Y",$D65&lt;=Inputs!$B$15,$C65&lt;=Inputs!$B$15),IF($C65&lt;$D65,$D65,$C65),IF(AND($E65="Y",$D65&lt;=Inputs!$B$15),$D65,$C65)))))</f>
        <v/>
      </c>
      <c r="G65" s="4" t="str">
        <f>IF($B65="","",IF($C65&lt;=$O65,$D65,IF(AND($E65="Y",$D65&lt;=$O65),$C65,IF(AND($E65="Y",$D65&lt;=Inputs!$B$15,$C65&lt;=Inputs!$B$15),IF($C65&lt;$D65,$C65,$D65),IF(AND($E65="Y",$D65&lt;=Inputs!$B$15),$C65,$D65)))))</f>
        <v/>
      </c>
      <c r="H65" s="3" t="str">
        <f t="shared" si="0"/>
        <v/>
      </c>
      <c r="I65" s="4" t="str">
        <f t="shared" si="2"/>
        <v/>
      </c>
      <c r="J65" s="4" t="str">
        <f t="shared" si="3"/>
        <v/>
      </c>
      <c r="K65" s="4" t="str">
        <f t="shared" si="4"/>
        <v/>
      </c>
      <c r="L65" s="4" t="str">
        <f t="shared" si="5"/>
        <v/>
      </c>
      <c r="M65" s="4" t="str">
        <f t="shared" si="1"/>
        <v/>
      </c>
      <c r="N65" s="4" t="str">
        <f t="shared" si="6"/>
        <v/>
      </c>
      <c r="O65" s="4" t="str">
        <f>IF($B65="","",Inputs!$B$15-$M64)</f>
        <v/>
      </c>
      <c r="P65" s="3" t="str">
        <f t="shared" si="7"/>
        <v/>
      </c>
      <c r="Q65" s="3" t="str">
        <f t="shared" si="8"/>
        <v/>
      </c>
      <c r="R65" s="3" t="str">
        <f>IF($B65="","",IF($Q65,($L64+$N64+$G65)&gt;Inputs!$B$16,FALSE))</f>
        <v/>
      </c>
      <c r="S65" s="3" t="str">
        <f>IF($B65="","",IF(OR($F65&gt;Inputs!$B$15,$G65&gt;Inputs!$B$16),"TOO BIG",IF($R65,"NEW SHEET",IF($Q65,"NEW ROW","OK"))))</f>
        <v/>
      </c>
    </row>
    <row r="66" spans="1:19" x14ac:dyDescent="0.2">
      <c r="A66" s="4">
        <v>60</v>
      </c>
      <c r="B66" s="3" t="str">
        <f>IF(SortedPieces!$B62="","",SortedPieces!$B62)</f>
        <v/>
      </c>
      <c r="C66" s="4" t="str">
        <f>IF(SortedPieces!$C62="","",SortedPieces!$C62)</f>
        <v/>
      </c>
      <c r="D66" s="4" t="str">
        <f>IF(SortedPieces!$D62="","",SortedPieces!$D62)</f>
        <v/>
      </c>
      <c r="E66" s="3" t="str">
        <f>IF(SortedPieces!$E62="","",SortedPieces!$E62)</f>
        <v/>
      </c>
      <c r="F66" s="4" t="str">
        <f>IF($B66="","",IF($C66&lt;=$O66,$C66,IF(AND($E66="Y",$D66&lt;=$O66),$D66,IF(AND($E66="Y",$D66&lt;=Inputs!$B$15,$C66&lt;=Inputs!$B$15),IF($C66&lt;$D66,$D66,$C66),IF(AND($E66="Y",$D66&lt;=Inputs!$B$15),$D66,$C66)))))</f>
        <v/>
      </c>
      <c r="G66" s="4" t="str">
        <f>IF($B66="","",IF($C66&lt;=$O66,$D66,IF(AND($E66="Y",$D66&lt;=$O66),$C66,IF(AND($E66="Y",$D66&lt;=Inputs!$B$15,$C66&lt;=Inputs!$B$15),IF($C66&lt;$D66,$C66,$D66),IF(AND($E66="Y",$D66&lt;=Inputs!$B$15),$C66,$D66)))))</f>
        <v/>
      </c>
      <c r="H66" s="3" t="str">
        <f t="shared" si="0"/>
        <v/>
      </c>
      <c r="I66" s="4" t="str">
        <f t="shared" si="2"/>
        <v/>
      </c>
      <c r="J66" s="4" t="str">
        <f t="shared" si="3"/>
        <v/>
      </c>
      <c r="K66" s="4" t="str">
        <f t="shared" si="4"/>
        <v/>
      </c>
      <c r="L66" s="4" t="str">
        <f t="shared" si="5"/>
        <v/>
      </c>
      <c r="M66" s="4" t="str">
        <f t="shared" si="1"/>
        <v/>
      </c>
      <c r="N66" s="4" t="str">
        <f t="shared" si="6"/>
        <v/>
      </c>
      <c r="O66" s="4" t="str">
        <f>IF($B66="","",Inputs!$B$15-$M65)</f>
        <v/>
      </c>
      <c r="P66" s="3" t="str">
        <f t="shared" si="7"/>
        <v/>
      </c>
      <c r="Q66" s="3" t="str">
        <f t="shared" si="8"/>
        <v/>
      </c>
      <c r="R66" s="3" t="str">
        <f>IF($B66="","",IF($Q66,($L65+$N65+$G66)&gt;Inputs!$B$16,FALSE))</f>
        <v/>
      </c>
      <c r="S66" s="3" t="str">
        <f>IF($B66="","",IF(OR($F66&gt;Inputs!$B$15,$G66&gt;Inputs!$B$16),"TOO BIG",IF($R66,"NEW SHEET",IF($Q66,"NEW ROW","OK"))))</f>
        <v/>
      </c>
    </row>
    <row r="67" spans="1:19" x14ac:dyDescent="0.2">
      <c r="A67" s="4">
        <v>61</v>
      </c>
      <c r="B67" s="3" t="str">
        <f>IF(SortedPieces!$B63="","",SortedPieces!$B63)</f>
        <v/>
      </c>
      <c r="C67" s="4" t="str">
        <f>IF(SortedPieces!$C63="","",SortedPieces!$C63)</f>
        <v/>
      </c>
      <c r="D67" s="4" t="str">
        <f>IF(SortedPieces!$D63="","",SortedPieces!$D63)</f>
        <v/>
      </c>
      <c r="E67" s="3" t="str">
        <f>IF(SortedPieces!$E63="","",SortedPieces!$E63)</f>
        <v/>
      </c>
      <c r="F67" s="4" t="str">
        <f>IF($B67="","",IF($C67&lt;=$O67,$C67,IF(AND($E67="Y",$D67&lt;=$O67),$D67,IF(AND($E67="Y",$D67&lt;=Inputs!$B$15,$C67&lt;=Inputs!$B$15),IF($C67&lt;$D67,$D67,$C67),IF(AND($E67="Y",$D67&lt;=Inputs!$B$15),$D67,$C67)))))</f>
        <v/>
      </c>
      <c r="G67" s="4" t="str">
        <f>IF($B67="","",IF($C67&lt;=$O67,$D67,IF(AND($E67="Y",$D67&lt;=$O67),$C67,IF(AND($E67="Y",$D67&lt;=Inputs!$B$15,$C67&lt;=Inputs!$B$15),IF($C67&lt;$D67,$C67,$D67),IF(AND($E67="Y",$D67&lt;=Inputs!$B$15),$C67,$D67)))))</f>
        <v/>
      </c>
      <c r="H67" s="3" t="str">
        <f t="shared" si="0"/>
        <v/>
      </c>
      <c r="I67" s="4" t="str">
        <f t="shared" si="2"/>
        <v/>
      </c>
      <c r="J67" s="4" t="str">
        <f t="shared" si="3"/>
        <v/>
      </c>
      <c r="K67" s="4" t="str">
        <f t="shared" si="4"/>
        <v/>
      </c>
      <c r="L67" s="4" t="str">
        <f t="shared" si="5"/>
        <v/>
      </c>
      <c r="M67" s="4" t="str">
        <f t="shared" si="1"/>
        <v/>
      </c>
      <c r="N67" s="4" t="str">
        <f t="shared" si="6"/>
        <v/>
      </c>
      <c r="O67" s="4" t="str">
        <f>IF($B67="","",Inputs!$B$15-$M66)</f>
        <v/>
      </c>
      <c r="P67" s="3" t="str">
        <f t="shared" si="7"/>
        <v/>
      </c>
      <c r="Q67" s="3" t="str">
        <f t="shared" si="8"/>
        <v/>
      </c>
      <c r="R67" s="3" t="str">
        <f>IF($B67="","",IF($Q67,($L66+$N66+$G67)&gt;Inputs!$B$16,FALSE))</f>
        <v/>
      </c>
      <c r="S67" s="3" t="str">
        <f>IF($B67="","",IF(OR($F67&gt;Inputs!$B$15,$G67&gt;Inputs!$B$16),"TOO BIG",IF($R67,"NEW SHEET",IF($Q67,"NEW ROW","OK"))))</f>
        <v/>
      </c>
    </row>
    <row r="68" spans="1:19" x14ac:dyDescent="0.2">
      <c r="A68" s="4">
        <v>62</v>
      </c>
      <c r="B68" s="3" t="str">
        <f>IF(SortedPieces!$B64="","",SortedPieces!$B64)</f>
        <v/>
      </c>
      <c r="C68" s="4" t="str">
        <f>IF(SortedPieces!$C64="","",SortedPieces!$C64)</f>
        <v/>
      </c>
      <c r="D68" s="4" t="str">
        <f>IF(SortedPieces!$D64="","",SortedPieces!$D64)</f>
        <v/>
      </c>
      <c r="E68" s="3" t="str">
        <f>IF(SortedPieces!$E64="","",SortedPieces!$E64)</f>
        <v/>
      </c>
      <c r="F68" s="4" t="str">
        <f>IF($B68="","",IF($C68&lt;=$O68,$C68,IF(AND($E68="Y",$D68&lt;=$O68),$D68,IF(AND($E68="Y",$D68&lt;=Inputs!$B$15,$C68&lt;=Inputs!$B$15),IF($C68&lt;$D68,$D68,$C68),IF(AND($E68="Y",$D68&lt;=Inputs!$B$15),$D68,$C68)))))</f>
        <v/>
      </c>
      <c r="G68" s="4" t="str">
        <f>IF($B68="","",IF($C68&lt;=$O68,$D68,IF(AND($E68="Y",$D68&lt;=$O68),$C68,IF(AND($E68="Y",$D68&lt;=Inputs!$B$15,$C68&lt;=Inputs!$B$15),IF($C68&lt;$D68,$C68,$D68),IF(AND($E68="Y",$D68&lt;=Inputs!$B$15),$C68,$D68)))))</f>
        <v/>
      </c>
      <c r="H68" s="3" t="str">
        <f t="shared" si="0"/>
        <v/>
      </c>
      <c r="I68" s="4" t="str">
        <f t="shared" si="2"/>
        <v/>
      </c>
      <c r="J68" s="4" t="str">
        <f t="shared" si="3"/>
        <v/>
      </c>
      <c r="K68" s="4" t="str">
        <f t="shared" si="4"/>
        <v/>
      </c>
      <c r="L68" s="4" t="str">
        <f t="shared" si="5"/>
        <v/>
      </c>
      <c r="M68" s="4" t="str">
        <f t="shared" si="1"/>
        <v/>
      </c>
      <c r="N68" s="4" t="str">
        <f t="shared" si="6"/>
        <v/>
      </c>
      <c r="O68" s="4" t="str">
        <f>IF($B68="","",Inputs!$B$15-$M67)</f>
        <v/>
      </c>
      <c r="P68" s="3" t="str">
        <f t="shared" si="7"/>
        <v/>
      </c>
      <c r="Q68" s="3" t="str">
        <f t="shared" si="8"/>
        <v/>
      </c>
      <c r="R68" s="3" t="str">
        <f>IF($B68="","",IF($Q68,($L67+$N67+$G68)&gt;Inputs!$B$16,FALSE))</f>
        <v/>
      </c>
      <c r="S68" s="3" t="str">
        <f>IF($B68="","",IF(OR($F68&gt;Inputs!$B$15,$G68&gt;Inputs!$B$16),"TOO BIG",IF($R68,"NEW SHEET",IF($Q68,"NEW ROW","OK"))))</f>
        <v/>
      </c>
    </row>
    <row r="69" spans="1:19" x14ac:dyDescent="0.2">
      <c r="A69" s="4">
        <v>63</v>
      </c>
      <c r="B69" s="3" t="str">
        <f>IF(SortedPieces!$B65="","",SortedPieces!$B65)</f>
        <v/>
      </c>
      <c r="C69" s="4" t="str">
        <f>IF(SortedPieces!$C65="","",SortedPieces!$C65)</f>
        <v/>
      </c>
      <c r="D69" s="4" t="str">
        <f>IF(SortedPieces!$D65="","",SortedPieces!$D65)</f>
        <v/>
      </c>
      <c r="E69" s="3" t="str">
        <f>IF(SortedPieces!$E65="","",SortedPieces!$E65)</f>
        <v/>
      </c>
      <c r="F69" s="4" t="str">
        <f>IF($B69="","",IF($C69&lt;=$O69,$C69,IF(AND($E69="Y",$D69&lt;=$O69),$D69,IF(AND($E69="Y",$D69&lt;=Inputs!$B$15,$C69&lt;=Inputs!$B$15),IF($C69&lt;$D69,$D69,$C69),IF(AND($E69="Y",$D69&lt;=Inputs!$B$15),$D69,$C69)))))</f>
        <v/>
      </c>
      <c r="G69" s="4" t="str">
        <f>IF($B69="","",IF($C69&lt;=$O69,$D69,IF(AND($E69="Y",$D69&lt;=$O69),$C69,IF(AND($E69="Y",$D69&lt;=Inputs!$B$15,$C69&lt;=Inputs!$B$15),IF($C69&lt;$D69,$C69,$D69),IF(AND($E69="Y",$D69&lt;=Inputs!$B$15),$C69,$D69)))))</f>
        <v/>
      </c>
      <c r="H69" s="3" t="str">
        <f t="shared" si="0"/>
        <v/>
      </c>
      <c r="I69" s="4" t="str">
        <f t="shared" si="2"/>
        <v/>
      </c>
      <c r="J69" s="4" t="str">
        <f t="shared" si="3"/>
        <v/>
      </c>
      <c r="K69" s="4" t="str">
        <f t="shared" si="4"/>
        <v/>
      </c>
      <c r="L69" s="4" t="str">
        <f t="shared" si="5"/>
        <v/>
      </c>
      <c r="M69" s="4" t="str">
        <f t="shared" si="1"/>
        <v/>
      </c>
      <c r="N69" s="4" t="str">
        <f t="shared" si="6"/>
        <v/>
      </c>
      <c r="O69" s="4" t="str">
        <f>IF($B69="","",Inputs!$B$15-$M68)</f>
        <v/>
      </c>
      <c r="P69" s="3" t="str">
        <f t="shared" si="7"/>
        <v/>
      </c>
      <c r="Q69" s="3" t="str">
        <f t="shared" si="8"/>
        <v/>
      </c>
      <c r="R69" s="3" t="str">
        <f>IF($B69="","",IF($Q69,($L68+$N68+$G69)&gt;Inputs!$B$16,FALSE))</f>
        <v/>
      </c>
      <c r="S69" s="3" t="str">
        <f>IF($B69="","",IF(OR($F69&gt;Inputs!$B$15,$G69&gt;Inputs!$B$16),"TOO BIG",IF($R69,"NEW SHEET",IF($Q69,"NEW ROW","OK"))))</f>
        <v/>
      </c>
    </row>
    <row r="70" spans="1:19" x14ac:dyDescent="0.2">
      <c r="A70" s="4">
        <v>64</v>
      </c>
      <c r="B70" s="3" t="str">
        <f>IF(SortedPieces!$B66="","",SortedPieces!$B66)</f>
        <v/>
      </c>
      <c r="C70" s="4" t="str">
        <f>IF(SortedPieces!$C66="","",SortedPieces!$C66)</f>
        <v/>
      </c>
      <c r="D70" s="4" t="str">
        <f>IF(SortedPieces!$D66="","",SortedPieces!$D66)</f>
        <v/>
      </c>
      <c r="E70" s="3" t="str">
        <f>IF(SortedPieces!$E66="","",SortedPieces!$E66)</f>
        <v/>
      </c>
      <c r="F70" s="4" t="str">
        <f>IF($B70="","",IF($C70&lt;=$O70,$C70,IF(AND($E70="Y",$D70&lt;=$O70),$D70,IF(AND($E70="Y",$D70&lt;=Inputs!$B$15,$C70&lt;=Inputs!$B$15),IF($C70&lt;$D70,$D70,$C70),IF(AND($E70="Y",$D70&lt;=Inputs!$B$15),$D70,$C70)))))</f>
        <v/>
      </c>
      <c r="G70" s="4" t="str">
        <f>IF($B70="","",IF($C70&lt;=$O70,$D70,IF(AND($E70="Y",$D70&lt;=$O70),$C70,IF(AND($E70="Y",$D70&lt;=Inputs!$B$15,$C70&lt;=Inputs!$B$15),IF($C70&lt;$D70,$C70,$D70),IF(AND($E70="Y",$D70&lt;=Inputs!$B$15),$C70,$D70)))))</f>
        <v/>
      </c>
      <c r="H70" s="3" t="str">
        <f t="shared" si="0"/>
        <v/>
      </c>
      <c r="I70" s="4" t="str">
        <f t="shared" si="2"/>
        <v/>
      </c>
      <c r="J70" s="4" t="str">
        <f t="shared" si="3"/>
        <v/>
      </c>
      <c r="K70" s="4" t="str">
        <f t="shared" si="4"/>
        <v/>
      </c>
      <c r="L70" s="4" t="str">
        <f t="shared" si="5"/>
        <v/>
      </c>
      <c r="M70" s="4" t="str">
        <f t="shared" si="1"/>
        <v/>
      </c>
      <c r="N70" s="4" t="str">
        <f t="shared" si="6"/>
        <v/>
      </c>
      <c r="O70" s="4" t="str">
        <f>IF($B70="","",Inputs!$B$15-$M69)</f>
        <v/>
      </c>
      <c r="P70" s="3" t="str">
        <f t="shared" si="7"/>
        <v/>
      </c>
      <c r="Q70" s="3" t="str">
        <f t="shared" si="8"/>
        <v/>
      </c>
      <c r="R70" s="3" t="str">
        <f>IF($B70="","",IF($Q70,($L69+$N69+$G70)&gt;Inputs!$B$16,FALSE))</f>
        <v/>
      </c>
      <c r="S70" s="3" t="str">
        <f>IF($B70="","",IF(OR($F70&gt;Inputs!$B$15,$G70&gt;Inputs!$B$16),"TOO BIG",IF($R70,"NEW SHEET",IF($Q70,"NEW ROW","OK"))))</f>
        <v/>
      </c>
    </row>
    <row r="71" spans="1:19" x14ac:dyDescent="0.2">
      <c r="A71" s="4">
        <v>65</v>
      </c>
      <c r="B71" s="3" t="str">
        <f>IF(SortedPieces!$B67="","",SortedPieces!$B67)</f>
        <v/>
      </c>
      <c r="C71" s="4" t="str">
        <f>IF(SortedPieces!$C67="","",SortedPieces!$C67)</f>
        <v/>
      </c>
      <c r="D71" s="4" t="str">
        <f>IF(SortedPieces!$D67="","",SortedPieces!$D67)</f>
        <v/>
      </c>
      <c r="E71" s="3" t="str">
        <f>IF(SortedPieces!$E67="","",SortedPieces!$E67)</f>
        <v/>
      </c>
      <c r="F71" s="4" t="str">
        <f>IF($B71="","",IF($C71&lt;=$O71,$C71,IF(AND($E71="Y",$D71&lt;=$O71),$D71,IF(AND($E71="Y",$D71&lt;=Inputs!$B$15,$C71&lt;=Inputs!$B$15),IF($C71&lt;$D71,$D71,$C71),IF(AND($E71="Y",$D71&lt;=Inputs!$B$15),$D71,$C71)))))</f>
        <v/>
      </c>
      <c r="G71" s="4" t="str">
        <f>IF($B71="","",IF($C71&lt;=$O71,$D71,IF(AND($E71="Y",$D71&lt;=$O71),$C71,IF(AND($E71="Y",$D71&lt;=Inputs!$B$15,$C71&lt;=Inputs!$B$15),IF($C71&lt;$D71,$C71,$D71),IF(AND($E71="Y",$D71&lt;=Inputs!$B$15),$C71,$D71)))))</f>
        <v/>
      </c>
      <c r="H71" s="3" t="str">
        <f t="shared" ref="H71:H134" si="9">IF($B71="","",IF(AND($E71="Y",$F71=$D71,$G71=$C71),"Y","N"))</f>
        <v/>
      </c>
      <c r="I71" s="4" t="str">
        <f t="shared" si="2"/>
        <v/>
      </c>
      <c r="J71" s="4" t="str">
        <f t="shared" si="3"/>
        <v/>
      </c>
      <c r="K71" s="4" t="str">
        <f t="shared" si="4"/>
        <v/>
      </c>
      <c r="L71" s="4" t="str">
        <f t="shared" si="5"/>
        <v/>
      </c>
      <c r="M71" s="4" t="str">
        <f t="shared" ref="M71:M134" si="10">IF($B71="","",$K71+$F71)</f>
        <v/>
      </c>
      <c r="N71" s="4" t="str">
        <f t="shared" si="6"/>
        <v/>
      </c>
      <c r="O71" s="4" t="str">
        <f>IF($B71="","",Inputs!$B$15-$M70)</f>
        <v/>
      </c>
      <c r="P71" s="3" t="str">
        <f t="shared" si="7"/>
        <v/>
      </c>
      <c r="Q71" s="3" t="str">
        <f t="shared" si="8"/>
        <v/>
      </c>
      <c r="R71" s="3" t="str">
        <f>IF($B71="","",IF($Q71,($L70+$N70+$G71)&gt;Inputs!$B$16,FALSE))</f>
        <v/>
      </c>
      <c r="S71" s="3" t="str">
        <f>IF($B71="","",IF(OR($F71&gt;Inputs!$B$15,$G71&gt;Inputs!$B$16),"TOO BIG",IF($R71,"NEW SHEET",IF($Q71,"NEW ROW","OK"))))</f>
        <v/>
      </c>
    </row>
    <row r="72" spans="1:19" x14ac:dyDescent="0.2">
      <c r="A72" s="4">
        <v>66</v>
      </c>
      <c r="B72" s="3" t="str">
        <f>IF(SortedPieces!$B68="","",SortedPieces!$B68)</f>
        <v/>
      </c>
      <c r="C72" s="4" t="str">
        <f>IF(SortedPieces!$C68="","",SortedPieces!$C68)</f>
        <v/>
      </c>
      <c r="D72" s="4" t="str">
        <f>IF(SortedPieces!$D68="","",SortedPieces!$D68)</f>
        <v/>
      </c>
      <c r="E72" s="3" t="str">
        <f>IF(SortedPieces!$E68="","",SortedPieces!$E68)</f>
        <v/>
      </c>
      <c r="F72" s="4" t="str">
        <f>IF($B72="","",IF($C72&lt;=$O72,$C72,IF(AND($E72="Y",$D72&lt;=$O72),$D72,IF(AND($E72="Y",$D72&lt;=Inputs!$B$15,$C72&lt;=Inputs!$B$15),IF($C72&lt;$D72,$D72,$C72),IF(AND($E72="Y",$D72&lt;=Inputs!$B$15),$D72,$C72)))))</f>
        <v/>
      </c>
      <c r="G72" s="4" t="str">
        <f>IF($B72="","",IF($C72&lt;=$O72,$D72,IF(AND($E72="Y",$D72&lt;=$O72),$C72,IF(AND($E72="Y",$D72&lt;=Inputs!$B$15,$C72&lt;=Inputs!$B$15),IF($C72&lt;$D72,$C72,$D72),IF(AND($E72="Y",$D72&lt;=Inputs!$B$15),$C72,$D72)))))</f>
        <v/>
      </c>
      <c r="H72" s="3" t="str">
        <f t="shared" si="9"/>
        <v/>
      </c>
      <c r="I72" s="4" t="str">
        <f t="shared" ref="I72:I135" si="11">IF($B72="","",IF($R72,$I71+1,$I71))</f>
        <v/>
      </c>
      <c r="J72" s="4" t="str">
        <f t="shared" ref="J72:J135" si="12">IF($B72="","",IF($R72,1,IF($Q72,$J71+1,$J71)))</f>
        <v/>
      </c>
      <c r="K72" s="4" t="str">
        <f t="shared" ref="K72:K135" si="13">IF($B72="","",IF($R72,0,IF($Q72,0,$M71)))</f>
        <v/>
      </c>
      <c r="L72" s="4" t="str">
        <f t="shared" ref="L72:L135" si="14">IF($B72="","",IF($R72,0,IF($Q72,$L71+$N71,$L71)))</f>
        <v/>
      </c>
      <c r="M72" s="4" t="str">
        <f t="shared" si="10"/>
        <v/>
      </c>
      <c r="N72" s="4" t="str">
        <f t="shared" ref="N72:N135" si="15">IF($B72="","",IF($R72,$G72,IF($Q72,$G72,MAX($N71,$G72))))</f>
        <v/>
      </c>
      <c r="O72" s="4" t="str">
        <f>IF($B72="","",Inputs!$B$15-$M71)</f>
        <v/>
      </c>
      <c r="P72" s="3" t="str">
        <f t="shared" ref="P72:P135" si="16">IF($B72="","",IF($F72&lt;=$O72,TRUE,FALSE))</f>
        <v/>
      </c>
      <c r="Q72" s="3" t="str">
        <f t="shared" ref="Q72:Q135" si="17">IF($B72="","",NOT($P72))</f>
        <v/>
      </c>
      <c r="R72" s="3" t="str">
        <f>IF($B72="","",IF($Q72,($L71+$N71+$G72)&gt;Inputs!$B$16,FALSE))</f>
        <v/>
      </c>
      <c r="S72" s="3" t="str">
        <f>IF($B72="","",IF(OR($F72&gt;Inputs!$B$15,$G72&gt;Inputs!$B$16),"TOO BIG",IF($R72,"NEW SHEET",IF($Q72,"NEW ROW","OK"))))</f>
        <v/>
      </c>
    </row>
    <row r="73" spans="1:19" x14ac:dyDescent="0.2">
      <c r="A73" s="4">
        <v>67</v>
      </c>
      <c r="B73" s="3" t="str">
        <f>IF(SortedPieces!$B69="","",SortedPieces!$B69)</f>
        <v/>
      </c>
      <c r="C73" s="4" t="str">
        <f>IF(SortedPieces!$C69="","",SortedPieces!$C69)</f>
        <v/>
      </c>
      <c r="D73" s="4" t="str">
        <f>IF(SortedPieces!$D69="","",SortedPieces!$D69)</f>
        <v/>
      </c>
      <c r="E73" s="3" t="str">
        <f>IF(SortedPieces!$E69="","",SortedPieces!$E69)</f>
        <v/>
      </c>
      <c r="F73" s="4" t="str">
        <f>IF($B73="","",IF($C73&lt;=$O73,$C73,IF(AND($E73="Y",$D73&lt;=$O73),$D73,IF(AND($E73="Y",$D73&lt;=Inputs!$B$15,$C73&lt;=Inputs!$B$15),IF($C73&lt;$D73,$D73,$C73),IF(AND($E73="Y",$D73&lt;=Inputs!$B$15),$D73,$C73)))))</f>
        <v/>
      </c>
      <c r="G73" s="4" t="str">
        <f>IF($B73="","",IF($C73&lt;=$O73,$D73,IF(AND($E73="Y",$D73&lt;=$O73),$C73,IF(AND($E73="Y",$D73&lt;=Inputs!$B$15,$C73&lt;=Inputs!$B$15),IF($C73&lt;$D73,$C73,$D73),IF(AND($E73="Y",$D73&lt;=Inputs!$B$15),$C73,$D73)))))</f>
        <v/>
      </c>
      <c r="H73" s="3" t="str">
        <f t="shared" si="9"/>
        <v/>
      </c>
      <c r="I73" s="4" t="str">
        <f t="shared" si="11"/>
        <v/>
      </c>
      <c r="J73" s="4" t="str">
        <f t="shared" si="12"/>
        <v/>
      </c>
      <c r="K73" s="4" t="str">
        <f t="shared" si="13"/>
        <v/>
      </c>
      <c r="L73" s="4" t="str">
        <f t="shared" si="14"/>
        <v/>
      </c>
      <c r="M73" s="4" t="str">
        <f t="shared" si="10"/>
        <v/>
      </c>
      <c r="N73" s="4" t="str">
        <f t="shared" si="15"/>
        <v/>
      </c>
      <c r="O73" s="4" t="str">
        <f>IF($B73="","",Inputs!$B$15-$M72)</f>
        <v/>
      </c>
      <c r="P73" s="3" t="str">
        <f t="shared" si="16"/>
        <v/>
      </c>
      <c r="Q73" s="3" t="str">
        <f t="shared" si="17"/>
        <v/>
      </c>
      <c r="R73" s="3" t="str">
        <f>IF($B73="","",IF($Q73,($L72+$N72+$G73)&gt;Inputs!$B$16,FALSE))</f>
        <v/>
      </c>
      <c r="S73" s="3" t="str">
        <f>IF($B73="","",IF(OR($F73&gt;Inputs!$B$15,$G73&gt;Inputs!$B$16),"TOO BIG",IF($R73,"NEW SHEET",IF($Q73,"NEW ROW","OK"))))</f>
        <v/>
      </c>
    </row>
    <row r="74" spans="1:19" x14ac:dyDescent="0.2">
      <c r="A74" s="4">
        <v>68</v>
      </c>
      <c r="B74" s="3" t="str">
        <f>IF(SortedPieces!$B70="","",SortedPieces!$B70)</f>
        <v/>
      </c>
      <c r="C74" s="4" t="str">
        <f>IF(SortedPieces!$C70="","",SortedPieces!$C70)</f>
        <v/>
      </c>
      <c r="D74" s="4" t="str">
        <f>IF(SortedPieces!$D70="","",SortedPieces!$D70)</f>
        <v/>
      </c>
      <c r="E74" s="3" t="str">
        <f>IF(SortedPieces!$E70="","",SortedPieces!$E70)</f>
        <v/>
      </c>
      <c r="F74" s="4" t="str">
        <f>IF($B74="","",IF($C74&lt;=$O74,$C74,IF(AND($E74="Y",$D74&lt;=$O74),$D74,IF(AND($E74="Y",$D74&lt;=Inputs!$B$15,$C74&lt;=Inputs!$B$15),IF($C74&lt;$D74,$D74,$C74),IF(AND($E74="Y",$D74&lt;=Inputs!$B$15),$D74,$C74)))))</f>
        <v/>
      </c>
      <c r="G74" s="4" t="str">
        <f>IF($B74="","",IF($C74&lt;=$O74,$D74,IF(AND($E74="Y",$D74&lt;=$O74),$C74,IF(AND($E74="Y",$D74&lt;=Inputs!$B$15,$C74&lt;=Inputs!$B$15),IF($C74&lt;$D74,$C74,$D74),IF(AND($E74="Y",$D74&lt;=Inputs!$B$15),$C74,$D74)))))</f>
        <v/>
      </c>
      <c r="H74" s="3" t="str">
        <f t="shared" si="9"/>
        <v/>
      </c>
      <c r="I74" s="4" t="str">
        <f t="shared" si="11"/>
        <v/>
      </c>
      <c r="J74" s="4" t="str">
        <f t="shared" si="12"/>
        <v/>
      </c>
      <c r="K74" s="4" t="str">
        <f t="shared" si="13"/>
        <v/>
      </c>
      <c r="L74" s="4" t="str">
        <f t="shared" si="14"/>
        <v/>
      </c>
      <c r="M74" s="4" t="str">
        <f t="shared" si="10"/>
        <v/>
      </c>
      <c r="N74" s="4" t="str">
        <f t="shared" si="15"/>
        <v/>
      </c>
      <c r="O74" s="4" t="str">
        <f>IF($B74="","",Inputs!$B$15-$M73)</f>
        <v/>
      </c>
      <c r="P74" s="3" t="str">
        <f t="shared" si="16"/>
        <v/>
      </c>
      <c r="Q74" s="3" t="str">
        <f t="shared" si="17"/>
        <v/>
      </c>
      <c r="R74" s="3" t="str">
        <f>IF($B74="","",IF($Q74,($L73+$N73+$G74)&gt;Inputs!$B$16,FALSE))</f>
        <v/>
      </c>
      <c r="S74" s="3" t="str">
        <f>IF($B74="","",IF(OR($F74&gt;Inputs!$B$15,$G74&gt;Inputs!$B$16),"TOO BIG",IF($R74,"NEW SHEET",IF($Q74,"NEW ROW","OK"))))</f>
        <v/>
      </c>
    </row>
    <row r="75" spans="1:19" x14ac:dyDescent="0.2">
      <c r="A75" s="4">
        <v>69</v>
      </c>
      <c r="B75" s="3" t="str">
        <f>IF(SortedPieces!$B71="","",SortedPieces!$B71)</f>
        <v/>
      </c>
      <c r="C75" s="4" t="str">
        <f>IF(SortedPieces!$C71="","",SortedPieces!$C71)</f>
        <v/>
      </c>
      <c r="D75" s="4" t="str">
        <f>IF(SortedPieces!$D71="","",SortedPieces!$D71)</f>
        <v/>
      </c>
      <c r="E75" s="3" t="str">
        <f>IF(SortedPieces!$E71="","",SortedPieces!$E71)</f>
        <v/>
      </c>
      <c r="F75" s="4" t="str">
        <f>IF($B75="","",IF($C75&lt;=$O75,$C75,IF(AND($E75="Y",$D75&lt;=$O75),$D75,IF(AND($E75="Y",$D75&lt;=Inputs!$B$15,$C75&lt;=Inputs!$B$15),IF($C75&lt;$D75,$D75,$C75),IF(AND($E75="Y",$D75&lt;=Inputs!$B$15),$D75,$C75)))))</f>
        <v/>
      </c>
      <c r="G75" s="4" t="str">
        <f>IF($B75="","",IF($C75&lt;=$O75,$D75,IF(AND($E75="Y",$D75&lt;=$O75),$C75,IF(AND($E75="Y",$D75&lt;=Inputs!$B$15,$C75&lt;=Inputs!$B$15),IF($C75&lt;$D75,$C75,$D75),IF(AND($E75="Y",$D75&lt;=Inputs!$B$15),$C75,$D75)))))</f>
        <v/>
      </c>
      <c r="H75" s="3" t="str">
        <f t="shared" si="9"/>
        <v/>
      </c>
      <c r="I75" s="4" t="str">
        <f t="shared" si="11"/>
        <v/>
      </c>
      <c r="J75" s="4" t="str">
        <f t="shared" si="12"/>
        <v/>
      </c>
      <c r="K75" s="4" t="str">
        <f t="shared" si="13"/>
        <v/>
      </c>
      <c r="L75" s="4" t="str">
        <f t="shared" si="14"/>
        <v/>
      </c>
      <c r="M75" s="4" t="str">
        <f t="shared" si="10"/>
        <v/>
      </c>
      <c r="N75" s="4" t="str">
        <f t="shared" si="15"/>
        <v/>
      </c>
      <c r="O75" s="4" t="str">
        <f>IF($B75="","",Inputs!$B$15-$M74)</f>
        <v/>
      </c>
      <c r="P75" s="3" t="str">
        <f t="shared" si="16"/>
        <v/>
      </c>
      <c r="Q75" s="3" t="str">
        <f t="shared" si="17"/>
        <v/>
      </c>
      <c r="R75" s="3" t="str">
        <f>IF($B75="","",IF($Q75,($L74+$N74+$G75)&gt;Inputs!$B$16,FALSE))</f>
        <v/>
      </c>
      <c r="S75" s="3" t="str">
        <f>IF($B75="","",IF(OR($F75&gt;Inputs!$B$15,$G75&gt;Inputs!$B$16),"TOO BIG",IF($R75,"NEW SHEET",IF($Q75,"NEW ROW","OK"))))</f>
        <v/>
      </c>
    </row>
    <row r="76" spans="1:19" x14ac:dyDescent="0.2">
      <c r="A76" s="4">
        <v>70</v>
      </c>
      <c r="B76" s="3" t="str">
        <f>IF(SortedPieces!$B72="","",SortedPieces!$B72)</f>
        <v/>
      </c>
      <c r="C76" s="4" t="str">
        <f>IF(SortedPieces!$C72="","",SortedPieces!$C72)</f>
        <v/>
      </c>
      <c r="D76" s="4" t="str">
        <f>IF(SortedPieces!$D72="","",SortedPieces!$D72)</f>
        <v/>
      </c>
      <c r="E76" s="3" t="str">
        <f>IF(SortedPieces!$E72="","",SortedPieces!$E72)</f>
        <v/>
      </c>
      <c r="F76" s="4" t="str">
        <f>IF($B76="","",IF($C76&lt;=$O76,$C76,IF(AND($E76="Y",$D76&lt;=$O76),$D76,IF(AND($E76="Y",$D76&lt;=Inputs!$B$15,$C76&lt;=Inputs!$B$15),IF($C76&lt;$D76,$D76,$C76),IF(AND($E76="Y",$D76&lt;=Inputs!$B$15),$D76,$C76)))))</f>
        <v/>
      </c>
      <c r="G76" s="4" t="str">
        <f>IF($B76="","",IF($C76&lt;=$O76,$D76,IF(AND($E76="Y",$D76&lt;=$O76),$C76,IF(AND($E76="Y",$D76&lt;=Inputs!$B$15,$C76&lt;=Inputs!$B$15),IF($C76&lt;$D76,$C76,$D76),IF(AND($E76="Y",$D76&lt;=Inputs!$B$15),$C76,$D76)))))</f>
        <v/>
      </c>
      <c r="H76" s="3" t="str">
        <f t="shared" si="9"/>
        <v/>
      </c>
      <c r="I76" s="4" t="str">
        <f t="shared" si="11"/>
        <v/>
      </c>
      <c r="J76" s="4" t="str">
        <f t="shared" si="12"/>
        <v/>
      </c>
      <c r="K76" s="4" t="str">
        <f t="shared" si="13"/>
        <v/>
      </c>
      <c r="L76" s="4" t="str">
        <f t="shared" si="14"/>
        <v/>
      </c>
      <c r="M76" s="4" t="str">
        <f t="shared" si="10"/>
        <v/>
      </c>
      <c r="N76" s="4" t="str">
        <f t="shared" si="15"/>
        <v/>
      </c>
      <c r="O76" s="4" t="str">
        <f>IF($B76="","",Inputs!$B$15-$M75)</f>
        <v/>
      </c>
      <c r="P76" s="3" t="str">
        <f t="shared" si="16"/>
        <v/>
      </c>
      <c r="Q76" s="3" t="str">
        <f t="shared" si="17"/>
        <v/>
      </c>
      <c r="R76" s="3" t="str">
        <f>IF($B76="","",IF($Q76,($L75+$N75+$G76)&gt;Inputs!$B$16,FALSE))</f>
        <v/>
      </c>
      <c r="S76" s="3" t="str">
        <f>IF($B76="","",IF(OR($F76&gt;Inputs!$B$15,$G76&gt;Inputs!$B$16),"TOO BIG",IF($R76,"NEW SHEET",IF($Q76,"NEW ROW","OK"))))</f>
        <v/>
      </c>
    </row>
    <row r="77" spans="1:19" x14ac:dyDescent="0.2">
      <c r="A77" s="4">
        <v>71</v>
      </c>
      <c r="B77" s="3" t="str">
        <f>IF(SortedPieces!$B73="","",SortedPieces!$B73)</f>
        <v/>
      </c>
      <c r="C77" s="4" t="str">
        <f>IF(SortedPieces!$C73="","",SortedPieces!$C73)</f>
        <v/>
      </c>
      <c r="D77" s="4" t="str">
        <f>IF(SortedPieces!$D73="","",SortedPieces!$D73)</f>
        <v/>
      </c>
      <c r="E77" s="3" t="str">
        <f>IF(SortedPieces!$E73="","",SortedPieces!$E73)</f>
        <v/>
      </c>
      <c r="F77" s="4" t="str">
        <f>IF($B77="","",IF($C77&lt;=$O77,$C77,IF(AND($E77="Y",$D77&lt;=$O77),$D77,IF(AND($E77="Y",$D77&lt;=Inputs!$B$15,$C77&lt;=Inputs!$B$15),IF($C77&lt;$D77,$D77,$C77),IF(AND($E77="Y",$D77&lt;=Inputs!$B$15),$D77,$C77)))))</f>
        <v/>
      </c>
      <c r="G77" s="4" t="str">
        <f>IF($B77="","",IF($C77&lt;=$O77,$D77,IF(AND($E77="Y",$D77&lt;=$O77),$C77,IF(AND($E77="Y",$D77&lt;=Inputs!$B$15,$C77&lt;=Inputs!$B$15),IF($C77&lt;$D77,$C77,$D77),IF(AND($E77="Y",$D77&lt;=Inputs!$B$15),$C77,$D77)))))</f>
        <v/>
      </c>
      <c r="H77" s="3" t="str">
        <f t="shared" si="9"/>
        <v/>
      </c>
      <c r="I77" s="4" t="str">
        <f t="shared" si="11"/>
        <v/>
      </c>
      <c r="J77" s="4" t="str">
        <f t="shared" si="12"/>
        <v/>
      </c>
      <c r="K77" s="4" t="str">
        <f t="shared" si="13"/>
        <v/>
      </c>
      <c r="L77" s="4" t="str">
        <f t="shared" si="14"/>
        <v/>
      </c>
      <c r="M77" s="4" t="str">
        <f t="shared" si="10"/>
        <v/>
      </c>
      <c r="N77" s="4" t="str">
        <f t="shared" si="15"/>
        <v/>
      </c>
      <c r="O77" s="4" t="str">
        <f>IF($B77="","",Inputs!$B$15-$M76)</f>
        <v/>
      </c>
      <c r="P77" s="3" t="str">
        <f t="shared" si="16"/>
        <v/>
      </c>
      <c r="Q77" s="3" t="str">
        <f t="shared" si="17"/>
        <v/>
      </c>
      <c r="R77" s="3" t="str">
        <f>IF($B77="","",IF($Q77,($L76+$N76+$G77)&gt;Inputs!$B$16,FALSE))</f>
        <v/>
      </c>
      <c r="S77" s="3" t="str">
        <f>IF($B77="","",IF(OR($F77&gt;Inputs!$B$15,$G77&gt;Inputs!$B$16),"TOO BIG",IF($R77,"NEW SHEET",IF($Q77,"NEW ROW","OK"))))</f>
        <v/>
      </c>
    </row>
    <row r="78" spans="1:19" x14ac:dyDescent="0.2">
      <c r="A78" s="4">
        <v>72</v>
      </c>
      <c r="B78" s="3" t="str">
        <f>IF(SortedPieces!$B74="","",SortedPieces!$B74)</f>
        <v/>
      </c>
      <c r="C78" s="4" t="str">
        <f>IF(SortedPieces!$C74="","",SortedPieces!$C74)</f>
        <v/>
      </c>
      <c r="D78" s="4" t="str">
        <f>IF(SortedPieces!$D74="","",SortedPieces!$D74)</f>
        <v/>
      </c>
      <c r="E78" s="3" t="str">
        <f>IF(SortedPieces!$E74="","",SortedPieces!$E74)</f>
        <v/>
      </c>
      <c r="F78" s="4" t="str">
        <f>IF($B78="","",IF($C78&lt;=$O78,$C78,IF(AND($E78="Y",$D78&lt;=$O78),$D78,IF(AND($E78="Y",$D78&lt;=Inputs!$B$15,$C78&lt;=Inputs!$B$15),IF($C78&lt;$D78,$D78,$C78),IF(AND($E78="Y",$D78&lt;=Inputs!$B$15),$D78,$C78)))))</f>
        <v/>
      </c>
      <c r="G78" s="4" t="str">
        <f>IF($B78="","",IF($C78&lt;=$O78,$D78,IF(AND($E78="Y",$D78&lt;=$O78),$C78,IF(AND($E78="Y",$D78&lt;=Inputs!$B$15,$C78&lt;=Inputs!$B$15),IF($C78&lt;$D78,$C78,$D78),IF(AND($E78="Y",$D78&lt;=Inputs!$B$15),$C78,$D78)))))</f>
        <v/>
      </c>
      <c r="H78" s="3" t="str">
        <f t="shared" si="9"/>
        <v/>
      </c>
      <c r="I78" s="4" t="str">
        <f t="shared" si="11"/>
        <v/>
      </c>
      <c r="J78" s="4" t="str">
        <f t="shared" si="12"/>
        <v/>
      </c>
      <c r="K78" s="4" t="str">
        <f t="shared" si="13"/>
        <v/>
      </c>
      <c r="L78" s="4" t="str">
        <f t="shared" si="14"/>
        <v/>
      </c>
      <c r="M78" s="4" t="str">
        <f t="shared" si="10"/>
        <v/>
      </c>
      <c r="N78" s="4" t="str">
        <f t="shared" si="15"/>
        <v/>
      </c>
      <c r="O78" s="4" t="str">
        <f>IF($B78="","",Inputs!$B$15-$M77)</f>
        <v/>
      </c>
      <c r="P78" s="3" t="str">
        <f t="shared" si="16"/>
        <v/>
      </c>
      <c r="Q78" s="3" t="str">
        <f t="shared" si="17"/>
        <v/>
      </c>
      <c r="R78" s="3" t="str">
        <f>IF($B78="","",IF($Q78,($L77+$N77+$G78)&gt;Inputs!$B$16,FALSE))</f>
        <v/>
      </c>
      <c r="S78" s="3" t="str">
        <f>IF($B78="","",IF(OR($F78&gt;Inputs!$B$15,$G78&gt;Inputs!$B$16),"TOO BIG",IF($R78,"NEW SHEET",IF($Q78,"NEW ROW","OK"))))</f>
        <v/>
      </c>
    </row>
    <row r="79" spans="1:19" x14ac:dyDescent="0.2">
      <c r="A79" s="4">
        <v>73</v>
      </c>
      <c r="B79" s="3" t="str">
        <f>IF(SortedPieces!$B75="","",SortedPieces!$B75)</f>
        <v/>
      </c>
      <c r="C79" s="4" t="str">
        <f>IF(SortedPieces!$C75="","",SortedPieces!$C75)</f>
        <v/>
      </c>
      <c r="D79" s="4" t="str">
        <f>IF(SortedPieces!$D75="","",SortedPieces!$D75)</f>
        <v/>
      </c>
      <c r="E79" s="3" t="str">
        <f>IF(SortedPieces!$E75="","",SortedPieces!$E75)</f>
        <v/>
      </c>
      <c r="F79" s="4" t="str">
        <f>IF($B79="","",IF($C79&lt;=$O79,$C79,IF(AND($E79="Y",$D79&lt;=$O79),$D79,IF(AND($E79="Y",$D79&lt;=Inputs!$B$15,$C79&lt;=Inputs!$B$15),IF($C79&lt;$D79,$D79,$C79),IF(AND($E79="Y",$D79&lt;=Inputs!$B$15),$D79,$C79)))))</f>
        <v/>
      </c>
      <c r="G79" s="4" t="str">
        <f>IF($B79="","",IF($C79&lt;=$O79,$D79,IF(AND($E79="Y",$D79&lt;=$O79),$C79,IF(AND($E79="Y",$D79&lt;=Inputs!$B$15,$C79&lt;=Inputs!$B$15),IF($C79&lt;$D79,$C79,$D79),IF(AND($E79="Y",$D79&lt;=Inputs!$B$15),$C79,$D79)))))</f>
        <v/>
      </c>
      <c r="H79" s="3" t="str">
        <f t="shared" si="9"/>
        <v/>
      </c>
      <c r="I79" s="4" t="str">
        <f t="shared" si="11"/>
        <v/>
      </c>
      <c r="J79" s="4" t="str">
        <f t="shared" si="12"/>
        <v/>
      </c>
      <c r="K79" s="4" t="str">
        <f t="shared" si="13"/>
        <v/>
      </c>
      <c r="L79" s="4" t="str">
        <f t="shared" si="14"/>
        <v/>
      </c>
      <c r="M79" s="4" t="str">
        <f t="shared" si="10"/>
        <v/>
      </c>
      <c r="N79" s="4" t="str">
        <f t="shared" si="15"/>
        <v/>
      </c>
      <c r="O79" s="4" t="str">
        <f>IF($B79="","",Inputs!$B$15-$M78)</f>
        <v/>
      </c>
      <c r="P79" s="3" t="str">
        <f t="shared" si="16"/>
        <v/>
      </c>
      <c r="Q79" s="3" t="str">
        <f t="shared" si="17"/>
        <v/>
      </c>
      <c r="R79" s="3" t="str">
        <f>IF($B79="","",IF($Q79,($L78+$N78+$G79)&gt;Inputs!$B$16,FALSE))</f>
        <v/>
      </c>
      <c r="S79" s="3" t="str">
        <f>IF($B79="","",IF(OR($F79&gt;Inputs!$B$15,$G79&gt;Inputs!$B$16),"TOO BIG",IF($R79,"NEW SHEET",IF($Q79,"NEW ROW","OK"))))</f>
        <v/>
      </c>
    </row>
    <row r="80" spans="1:19" x14ac:dyDescent="0.2">
      <c r="A80" s="4">
        <v>74</v>
      </c>
      <c r="B80" s="3" t="str">
        <f>IF(SortedPieces!$B76="","",SortedPieces!$B76)</f>
        <v/>
      </c>
      <c r="C80" s="4" t="str">
        <f>IF(SortedPieces!$C76="","",SortedPieces!$C76)</f>
        <v/>
      </c>
      <c r="D80" s="4" t="str">
        <f>IF(SortedPieces!$D76="","",SortedPieces!$D76)</f>
        <v/>
      </c>
      <c r="E80" s="3" t="str">
        <f>IF(SortedPieces!$E76="","",SortedPieces!$E76)</f>
        <v/>
      </c>
      <c r="F80" s="4" t="str">
        <f>IF($B80="","",IF($C80&lt;=$O80,$C80,IF(AND($E80="Y",$D80&lt;=$O80),$D80,IF(AND($E80="Y",$D80&lt;=Inputs!$B$15,$C80&lt;=Inputs!$B$15),IF($C80&lt;$D80,$D80,$C80),IF(AND($E80="Y",$D80&lt;=Inputs!$B$15),$D80,$C80)))))</f>
        <v/>
      </c>
      <c r="G80" s="4" t="str">
        <f>IF($B80="","",IF($C80&lt;=$O80,$D80,IF(AND($E80="Y",$D80&lt;=$O80),$C80,IF(AND($E80="Y",$D80&lt;=Inputs!$B$15,$C80&lt;=Inputs!$B$15),IF($C80&lt;$D80,$C80,$D80),IF(AND($E80="Y",$D80&lt;=Inputs!$B$15),$C80,$D80)))))</f>
        <v/>
      </c>
      <c r="H80" s="3" t="str">
        <f t="shared" si="9"/>
        <v/>
      </c>
      <c r="I80" s="4" t="str">
        <f t="shared" si="11"/>
        <v/>
      </c>
      <c r="J80" s="4" t="str">
        <f t="shared" si="12"/>
        <v/>
      </c>
      <c r="K80" s="4" t="str">
        <f t="shared" si="13"/>
        <v/>
      </c>
      <c r="L80" s="4" t="str">
        <f t="shared" si="14"/>
        <v/>
      </c>
      <c r="M80" s="4" t="str">
        <f t="shared" si="10"/>
        <v/>
      </c>
      <c r="N80" s="4" t="str">
        <f t="shared" si="15"/>
        <v/>
      </c>
      <c r="O80" s="4" t="str">
        <f>IF($B80="","",Inputs!$B$15-$M79)</f>
        <v/>
      </c>
      <c r="P80" s="3" t="str">
        <f t="shared" si="16"/>
        <v/>
      </c>
      <c r="Q80" s="3" t="str">
        <f t="shared" si="17"/>
        <v/>
      </c>
      <c r="R80" s="3" t="str">
        <f>IF($B80="","",IF($Q80,($L79+$N79+$G80)&gt;Inputs!$B$16,FALSE))</f>
        <v/>
      </c>
      <c r="S80" s="3" t="str">
        <f>IF($B80="","",IF(OR($F80&gt;Inputs!$B$15,$G80&gt;Inputs!$B$16),"TOO BIG",IF($R80,"NEW SHEET",IF($Q80,"NEW ROW","OK"))))</f>
        <v/>
      </c>
    </row>
    <row r="81" spans="1:19" x14ac:dyDescent="0.2">
      <c r="A81" s="4">
        <v>75</v>
      </c>
      <c r="B81" s="3" t="str">
        <f>IF(SortedPieces!$B77="","",SortedPieces!$B77)</f>
        <v/>
      </c>
      <c r="C81" s="4" t="str">
        <f>IF(SortedPieces!$C77="","",SortedPieces!$C77)</f>
        <v/>
      </c>
      <c r="D81" s="4" t="str">
        <f>IF(SortedPieces!$D77="","",SortedPieces!$D77)</f>
        <v/>
      </c>
      <c r="E81" s="3" t="str">
        <f>IF(SortedPieces!$E77="","",SortedPieces!$E77)</f>
        <v/>
      </c>
      <c r="F81" s="4" t="str">
        <f>IF($B81="","",IF($C81&lt;=$O81,$C81,IF(AND($E81="Y",$D81&lt;=$O81),$D81,IF(AND($E81="Y",$D81&lt;=Inputs!$B$15,$C81&lt;=Inputs!$B$15),IF($C81&lt;$D81,$D81,$C81),IF(AND($E81="Y",$D81&lt;=Inputs!$B$15),$D81,$C81)))))</f>
        <v/>
      </c>
      <c r="G81" s="4" t="str">
        <f>IF($B81="","",IF($C81&lt;=$O81,$D81,IF(AND($E81="Y",$D81&lt;=$O81),$C81,IF(AND($E81="Y",$D81&lt;=Inputs!$B$15,$C81&lt;=Inputs!$B$15),IF($C81&lt;$D81,$C81,$D81),IF(AND($E81="Y",$D81&lt;=Inputs!$B$15),$C81,$D81)))))</f>
        <v/>
      </c>
      <c r="H81" s="3" t="str">
        <f t="shared" si="9"/>
        <v/>
      </c>
      <c r="I81" s="4" t="str">
        <f t="shared" si="11"/>
        <v/>
      </c>
      <c r="J81" s="4" t="str">
        <f t="shared" si="12"/>
        <v/>
      </c>
      <c r="K81" s="4" t="str">
        <f t="shared" si="13"/>
        <v/>
      </c>
      <c r="L81" s="4" t="str">
        <f t="shared" si="14"/>
        <v/>
      </c>
      <c r="M81" s="4" t="str">
        <f t="shared" si="10"/>
        <v/>
      </c>
      <c r="N81" s="4" t="str">
        <f t="shared" si="15"/>
        <v/>
      </c>
      <c r="O81" s="4" t="str">
        <f>IF($B81="","",Inputs!$B$15-$M80)</f>
        <v/>
      </c>
      <c r="P81" s="3" t="str">
        <f t="shared" si="16"/>
        <v/>
      </c>
      <c r="Q81" s="3" t="str">
        <f t="shared" si="17"/>
        <v/>
      </c>
      <c r="R81" s="3" t="str">
        <f>IF($B81="","",IF($Q81,($L80+$N80+$G81)&gt;Inputs!$B$16,FALSE))</f>
        <v/>
      </c>
      <c r="S81" s="3" t="str">
        <f>IF($B81="","",IF(OR($F81&gt;Inputs!$B$15,$G81&gt;Inputs!$B$16),"TOO BIG",IF($R81,"NEW SHEET",IF($Q81,"NEW ROW","OK"))))</f>
        <v/>
      </c>
    </row>
    <row r="82" spans="1:19" x14ac:dyDescent="0.2">
      <c r="A82" s="4">
        <v>76</v>
      </c>
      <c r="B82" s="3" t="str">
        <f>IF(SortedPieces!$B78="","",SortedPieces!$B78)</f>
        <v/>
      </c>
      <c r="C82" s="4" t="str">
        <f>IF(SortedPieces!$C78="","",SortedPieces!$C78)</f>
        <v/>
      </c>
      <c r="D82" s="4" t="str">
        <f>IF(SortedPieces!$D78="","",SortedPieces!$D78)</f>
        <v/>
      </c>
      <c r="E82" s="3" t="str">
        <f>IF(SortedPieces!$E78="","",SortedPieces!$E78)</f>
        <v/>
      </c>
      <c r="F82" s="4" t="str">
        <f>IF($B82="","",IF($C82&lt;=$O82,$C82,IF(AND($E82="Y",$D82&lt;=$O82),$D82,IF(AND($E82="Y",$D82&lt;=Inputs!$B$15,$C82&lt;=Inputs!$B$15),IF($C82&lt;$D82,$D82,$C82),IF(AND($E82="Y",$D82&lt;=Inputs!$B$15),$D82,$C82)))))</f>
        <v/>
      </c>
      <c r="G82" s="4" t="str">
        <f>IF($B82="","",IF($C82&lt;=$O82,$D82,IF(AND($E82="Y",$D82&lt;=$O82),$C82,IF(AND($E82="Y",$D82&lt;=Inputs!$B$15,$C82&lt;=Inputs!$B$15),IF($C82&lt;$D82,$C82,$D82),IF(AND($E82="Y",$D82&lt;=Inputs!$B$15),$C82,$D82)))))</f>
        <v/>
      </c>
      <c r="H82" s="3" t="str">
        <f t="shared" si="9"/>
        <v/>
      </c>
      <c r="I82" s="4" t="str">
        <f t="shared" si="11"/>
        <v/>
      </c>
      <c r="J82" s="4" t="str">
        <f t="shared" si="12"/>
        <v/>
      </c>
      <c r="K82" s="4" t="str">
        <f t="shared" si="13"/>
        <v/>
      </c>
      <c r="L82" s="4" t="str">
        <f t="shared" si="14"/>
        <v/>
      </c>
      <c r="M82" s="4" t="str">
        <f t="shared" si="10"/>
        <v/>
      </c>
      <c r="N82" s="4" t="str">
        <f t="shared" si="15"/>
        <v/>
      </c>
      <c r="O82" s="4" t="str">
        <f>IF($B82="","",Inputs!$B$15-$M81)</f>
        <v/>
      </c>
      <c r="P82" s="3" t="str">
        <f t="shared" si="16"/>
        <v/>
      </c>
      <c r="Q82" s="3" t="str">
        <f t="shared" si="17"/>
        <v/>
      </c>
      <c r="R82" s="3" t="str">
        <f>IF($B82="","",IF($Q82,($L81+$N81+$G82)&gt;Inputs!$B$16,FALSE))</f>
        <v/>
      </c>
      <c r="S82" s="3" t="str">
        <f>IF($B82="","",IF(OR($F82&gt;Inputs!$B$15,$G82&gt;Inputs!$B$16),"TOO BIG",IF($R82,"NEW SHEET",IF($Q82,"NEW ROW","OK"))))</f>
        <v/>
      </c>
    </row>
    <row r="83" spans="1:19" x14ac:dyDescent="0.2">
      <c r="A83" s="4">
        <v>77</v>
      </c>
      <c r="B83" s="3" t="str">
        <f>IF(SortedPieces!$B79="","",SortedPieces!$B79)</f>
        <v/>
      </c>
      <c r="C83" s="4" t="str">
        <f>IF(SortedPieces!$C79="","",SortedPieces!$C79)</f>
        <v/>
      </c>
      <c r="D83" s="4" t="str">
        <f>IF(SortedPieces!$D79="","",SortedPieces!$D79)</f>
        <v/>
      </c>
      <c r="E83" s="3" t="str">
        <f>IF(SortedPieces!$E79="","",SortedPieces!$E79)</f>
        <v/>
      </c>
      <c r="F83" s="4" t="str">
        <f>IF($B83="","",IF($C83&lt;=$O83,$C83,IF(AND($E83="Y",$D83&lt;=$O83),$D83,IF(AND($E83="Y",$D83&lt;=Inputs!$B$15,$C83&lt;=Inputs!$B$15),IF($C83&lt;$D83,$D83,$C83),IF(AND($E83="Y",$D83&lt;=Inputs!$B$15),$D83,$C83)))))</f>
        <v/>
      </c>
      <c r="G83" s="4" t="str">
        <f>IF($B83="","",IF($C83&lt;=$O83,$D83,IF(AND($E83="Y",$D83&lt;=$O83),$C83,IF(AND($E83="Y",$D83&lt;=Inputs!$B$15,$C83&lt;=Inputs!$B$15),IF($C83&lt;$D83,$C83,$D83),IF(AND($E83="Y",$D83&lt;=Inputs!$B$15),$C83,$D83)))))</f>
        <v/>
      </c>
      <c r="H83" s="3" t="str">
        <f t="shared" si="9"/>
        <v/>
      </c>
      <c r="I83" s="4" t="str">
        <f t="shared" si="11"/>
        <v/>
      </c>
      <c r="J83" s="4" t="str">
        <f t="shared" si="12"/>
        <v/>
      </c>
      <c r="K83" s="4" t="str">
        <f t="shared" si="13"/>
        <v/>
      </c>
      <c r="L83" s="4" t="str">
        <f t="shared" si="14"/>
        <v/>
      </c>
      <c r="M83" s="4" t="str">
        <f t="shared" si="10"/>
        <v/>
      </c>
      <c r="N83" s="4" t="str">
        <f t="shared" si="15"/>
        <v/>
      </c>
      <c r="O83" s="4" t="str">
        <f>IF($B83="","",Inputs!$B$15-$M82)</f>
        <v/>
      </c>
      <c r="P83" s="3" t="str">
        <f t="shared" si="16"/>
        <v/>
      </c>
      <c r="Q83" s="3" t="str">
        <f t="shared" si="17"/>
        <v/>
      </c>
      <c r="R83" s="3" t="str">
        <f>IF($B83="","",IF($Q83,($L82+$N82+$G83)&gt;Inputs!$B$16,FALSE))</f>
        <v/>
      </c>
      <c r="S83" s="3" t="str">
        <f>IF($B83="","",IF(OR($F83&gt;Inputs!$B$15,$G83&gt;Inputs!$B$16),"TOO BIG",IF($R83,"NEW SHEET",IF($Q83,"NEW ROW","OK"))))</f>
        <v/>
      </c>
    </row>
    <row r="84" spans="1:19" x14ac:dyDescent="0.2">
      <c r="A84" s="4">
        <v>78</v>
      </c>
      <c r="B84" s="3" t="str">
        <f>IF(SortedPieces!$B80="","",SortedPieces!$B80)</f>
        <v/>
      </c>
      <c r="C84" s="4" t="str">
        <f>IF(SortedPieces!$C80="","",SortedPieces!$C80)</f>
        <v/>
      </c>
      <c r="D84" s="4" t="str">
        <f>IF(SortedPieces!$D80="","",SortedPieces!$D80)</f>
        <v/>
      </c>
      <c r="E84" s="3" t="str">
        <f>IF(SortedPieces!$E80="","",SortedPieces!$E80)</f>
        <v/>
      </c>
      <c r="F84" s="4" t="str">
        <f>IF($B84="","",IF($C84&lt;=$O84,$C84,IF(AND($E84="Y",$D84&lt;=$O84),$D84,IF(AND($E84="Y",$D84&lt;=Inputs!$B$15,$C84&lt;=Inputs!$B$15),IF($C84&lt;$D84,$D84,$C84),IF(AND($E84="Y",$D84&lt;=Inputs!$B$15),$D84,$C84)))))</f>
        <v/>
      </c>
      <c r="G84" s="4" t="str">
        <f>IF($B84="","",IF($C84&lt;=$O84,$D84,IF(AND($E84="Y",$D84&lt;=$O84),$C84,IF(AND($E84="Y",$D84&lt;=Inputs!$B$15,$C84&lt;=Inputs!$B$15),IF($C84&lt;$D84,$C84,$D84),IF(AND($E84="Y",$D84&lt;=Inputs!$B$15),$C84,$D84)))))</f>
        <v/>
      </c>
      <c r="H84" s="3" t="str">
        <f t="shared" si="9"/>
        <v/>
      </c>
      <c r="I84" s="4" t="str">
        <f t="shared" si="11"/>
        <v/>
      </c>
      <c r="J84" s="4" t="str">
        <f t="shared" si="12"/>
        <v/>
      </c>
      <c r="K84" s="4" t="str">
        <f t="shared" si="13"/>
        <v/>
      </c>
      <c r="L84" s="4" t="str">
        <f t="shared" si="14"/>
        <v/>
      </c>
      <c r="M84" s="4" t="str">
        <f t="shared" si="10"/>
        <v/>
      </c>
      <c r="N84" s="4" t="str">
        <f t="shared" si="15"/>
        <v/>
      </c>
      <c r="O84" s="4" t="str">
        <f>IF($B84="","",Inputs!$B$15-$M83)</f>
        <v/>
      </c>
      <c r="P84" s="3" t="str">
        <f t="shared" si="16"/>
        <v/>
      </c>
      <c r="Q84" s="3" t="str">
        <f t="shared" si="17"/>
        <v/>
      </c>
      <c r="R84" s="3" t="str">
        <f>IF($B84="","",IF($Q84,($L83+$N83+$G84)&gt;Inputs!$B$16,FALSE))</f>
        <v/>
      </c>
      <c r="S84" s="3" t="str">
        <f>IF($B84="","",IF(OR($F84&gt;Inputs!$B$15,$G84&gt;Inputs!$B$16),"TOO BIG",IF($R84,"NEW SHEET",IF($Q84,"NEW ROW","OK"))))</f>
        <v/>
      </c>
    </row>
    <row r="85" spans="1:19" x14ac:dyDescent="0.2">
      <c r="A85" s="4">
        <v>79</v>
      </c>
      <c r="B85" s="3" t="str">
        <f>IF(SortedPieces!$B81="","",SortedPieces!$B81)</f>
        <v/>
      </c>
      <c r="C85" s="4" t="str">
        <f>IF(SortedPieces!$C81="","",SortedPieces!$C81)</f>
        <v/>
      </c>
      <c r="D85" s="4" t="str">
        <f>IF(SortedPieces!$D81="","",SortedPieces!$D81)</f>
        <v/>
      </c>
      <c r="E85" s="3" t="str">
        <f>IF(SortedPieces!$E81="","",SortedPieces!$E81)</f>
        <v/>
      </c>
      <c r="F85" s="4" t="str">
        <f>IF($B85="","",IF($C85&lt;=$O85,$C85,IF(AND($E85="Y",$D85&lt;=$O85),$D85,IF(AND($E85="Y",$D85&lt;=Inputs!$B$15,$C85&lt;=Inputs!$B$15),IF($C85&lt;$D85,$D85,$C85),IF(AND($E85="Y",$D85&lt;=Inputs!$B$15),$D85,$C85)))))</f>
        <v/>
      </c>
      <c r="G85" s="4" t="str">
        <f>IF($B85="","",IF($C85&lt;=$O85,$D85,IF(AND($E85="Y",$D85&lt;=$O85),$C85,IF(AND($E85="Y",$D85&lt;=Inputs!$B$15,$C85&lt;=Inputs!$B$15),IF($C85&lt;$D85,$C85,$D85),IF(AND($E85="Y",$D85&lt;=Inputs!$B$15),$C85,$D85)))))</f>
        <v/>
      </c>
      <c r="H85" s="3" t="str">
        <f t="shared" si="9"/>
        <v/>
      </c>
      <c r="I85" s="4" t="str">
        <f t="shared" si="11"/>
        <v/>
      </c>
      <c r="J85" s="4" t="str">
        <f t="shared" si="12"/>
        <v/>
      </c>
      <c r="K85" s="4" t="str">
        <f t="shared" si="13"/>
        <v/>
      </c>
      <c r="L85" s="4" t="str">
        <f t="shared" si="14"/>
        <v/>
      </c>
      <c r="M85" s="4" t="str">
        <f t="shared" si="10"/>
        <v/>
      </c>
      <c r="N85" s="4" t="str">
        <f t="shared" si="15"/>
        <v/>
      </c>
      <c r="O85" s="4" t="str">
        <f>IF($B85="","",Inputs!$B$15-$M84)</f>
        <v/>
      </c>
      <c r="P85" s="3" t="str">
        <f t="shared" si="16"/>
        <v/>
      </c>
      <c r="Q85" s="3" t="str">
        <f t="shared" si="17"/>
        <v/>
      </c>
      <c r="R85" s="3" t="str">
        <f>IF($B85="","",IF($Q85,($L84+$N84+$G85)&gt;Inputs!$B$16,FALSE))</f>
        <v/>
      </c>
      <c r="S85" s="3" t="str">
        <f>IF($B85="","",IF(OR($F85&gt;Inputs!$B$15,$G85&gt;Inputs!$B$16),"TOO BIG",IF($R85,"NEW SHEET",IF($Q85,"NEW ROW","OK"))))</f>
        <v/>
      </c>
    </row>
    <row r="86" spans="1:19" x14ac:dyDescent="0.2">
      <c r="A86" s="4">
        <v>80</v>
      </c>
      <c r="B86" s="3" t="str">
        <f>IF(SortedPieces!$B82="","",SortedPieces!$B82)</f>
        <v/>
      </c>
      <c r="C86" s="4" t="str">
        <f>IF(SortedPieces!$C82="","",SortedPieces!$C82)</f>
        <v/>
      </c>
      <c r="D86" s="4" t="str">
        <f>IF(SortedPieces!$D82="","",SortedPieces!$D82)</f>
        <v/>
      </c>
      <c r="E86" s="3" t="str">
        <f>IF(SortedPieces!$E82="","",SortedPieces!$E82)</f>
        <v/>
      </c>
      <c r="F86" s="4" t="str">
        <f>IF($B86="","",IF($C86&lt;=$O86,$C86,IF(AND($E86="Y",$D86&lt;=$O86),$D86,IF(AND($E86="Y",$D86&lt;=Inputs!$B$15,$C86&lt;=Inputs!$B$15),IF($C86&lt;$D86,$D86,$C86),IF(AND($E86="Y",$D86&lt;=Inputs!$B$15),$D86,$C86)))))</f>
        <v/>
      </c>
      <c r="G86" s="4" t="str">
        <f>IF($B86="","",IF($C86&lt;=$O86,$D86,IF(AND($E86="Y",$D86&lt;=$O86),$C86,IF(AND($E86="Y",$D86&lt;=Inputs!$B$15,$C86&lt;=Inputs!$B$15),IF($C86&lt;$D86,$C86,$D86),IF(AND($E86="Y",$D86&lt;=Inputs!$B$15),$C86,$D86)))))</f>
        <v/>
      </c>
      <c r="H86" s="3" t="str">
        <f t="shared" si="9"/>
        <v/>
      </c>
      <c r="I86" s="4" t="str">
        <f t="shared" si="11"/>
        <v/>
      </c>
      <c r="J86" s="4" t="str">
        <f t="shared" si="12"/>
        <v/>
      </c>
      <c r="K86" s="4" t="str">
        <f t="shared" si="13"/>
        <v/>
      </c>
      <c r="L86" s="4" t="str">
        <f t="shared" si="14"/>
        <v/>
      </c>
      <c r="M86" s="4" t="str">
        <f t="shared" si="10"/>
        <v/>
      </c>
      <c r="N86" s="4" t="str">
        <f t="shared" si="15"/>
        <v/>
      </c>
      <c r="O86" s="4" t="str">
        <f>IF($B86="","",Inputs!$B$15-$M85)</f>
        <v/>
      </c>
      <c r="P86" s="3" t="str">
        <f t="shared" si="16"/>
        <v/>
      </c>
      <c r="Q86" s="3" t="str">
        <f t="shared" si="17"/>
        <v/>
      </c>
      <c r="R86" s="3" t="str">
        <f>IF($B86="","",IF($Q86,($L85+$N85+$G86)&gt;Inputs!$B$16,FALSE))</f>
        <v/>
      </c>
      <c r="S86" s="3" t="str">
        <f>IF($B86="","",IF(OR($F86&gt;Inputs!$B$15,$G86&gt;Inputs!$B$16),"TOO BIG",IF($R86,"NEW SHEET",IF($Q86,"NEW ROW","OK"))))</f>
        <v/>
      </c>
    </row>
    <row r="87" spans="1:19" x14ac:dyDescent="0.2">
      <c r="A87" s="4">
        <v>81</v>
      </c>
      <c r="B87" s="3" t="str">
        <f>IF(SortedPieces!$B83="","",SortedPieces!$B83)</f>
        <v/>
      </c>
      <c r="C87" s="4" t="str">
        <f>IF(SortedPieces!$C83="","",SortedPieces!$C83)</f>
        <v/>
      </c>
      <c r="D87" s="4" t="str">
        <f>IF(SortedPieces!$D83="","",SortedPieces!$D83)</f>
        <v/>
      </c>
      <c r="E87" s="3" t="str">
        <f>IF(SortedPieces!$E83="","",SortedPieces!$E83)</f>
        <v/>
      </c>
      <c r="F87" s="4" t="str">
        <f>IF($B87="","",IF($C87&lt;=$O87,$C87,IF(AND($E87="Y",$D87&lt;=$O87),$D87,IF(AND($E87="Y",$D87&lt;=Inputs!$B$15,$C87&lt;=Inputs!$B$15),IF($C87&lt;$D87,$D87,$C87),IF(AND($E87="Y",$D87&lt;=Inputs!$B$15),$D87,$C87)))))</f>
        <v/>
      </c>
      <c r="G87" s="4" t="str">
        <f>IF($B87="","",IF($C87&lt;=$O87,$D87,IF(AND($E87="Y",$D87&lt;=$O87),$C87,IF(AND($E87="Y",$D87&lt;=Inputs!$B$15,$C87&lt;=Inputs!$B$15),IF($C87&lt;$D87,$C87,$D87),IF(AND($E87="Y",$D87&lt;=Inputs!$B$15),$C87,$D87)))))</f>
        <v/>
      </c>
      <c r="H87" s="3" t="str">
        <f t="shared" si="9"/>
        <v/>
      </c>
      <c r="I87" s="4" t="str">
        <f t="shared" si="11"/>
        <v/>
      </c>
      <c r="J87" s="4" t="str">
        <f t="shared" si="12"/>
        <v/>
      </c>
      <c r="K87" s="4" t="str">
        <f t="shared" si="13"/>
        <v/>
      </c>
      <c r="L87" s="4" t="str">
        <f t="shared" si="14"/>
        <v/>
      </c>
      <c r="M87" s="4" t="str">
        <f t="shared" si="10"/>
        <v/>
      </c>
      <c r="N87" s="4" t="str">
        <f t="shared" si="15"/>
        <v/>
      </c>
      <c r="O87" s="4" t="str">
        <f>IF($B87="","",Inputs!$B$15-$M86)</f>
        <v/>
      </c>
      <c r="P87" s="3" t="str">
        <f t="shared" si="16"/>
        <v/>
      </c>
      <c r="Q87" s="3" t="str">
        <f t="shared" si="17"/>
        <v/>
      </c>
      <c r="R87" s="3" t="str">
        <f>IF($B87="","",IF($Q87,($L86+$N86+$G87)&gt;Inputs!$B$16,FALSE))</f>
        <v/>
      </c>
      <c r="S87" s="3" t="str">
        <f>IF($B87="","",IF(OR($F87&gt;Inputs!$B$15,$G87&gt;Inputs!$B$16),"TOO BIG",IF($R87,"NEW SHEET",IF($Q87,"NEW ROW","OK"))))</f>
        <v/>
      </c>
    </row>
    <row r="88" spans="1:19" x14ac:dyDescent="0.2">
      <c r="A88" s="4">
        <v>82</v>
      </c>
      <c r="B88" s="3" t="str">
        <f>IF(SortedPieces!$B84="","",SortedPieces!$B84)</f>
        <v/>
      </c>
      <c r="C88" s="4" t="str">
        <f>IF(SortedPieces!$C84="","",SortedPieces!$C84)</f>
        <v/>
      </c>
      <c r="D88" s="4" t="str">
        <f>IF(SortedPieces!$D84="","",SortedPieces!$D84)</f>
        <v/>
      </c>
      <c r="E88" s="3" t="str">
        <f>IF(SortedPieces!$E84="","",SortedPieces!$E84)</f>
        <v/>
      </c>
      <c r="F88" s="4" t="str">
        <f>IF($B88="","",IF($C88&lt;=$O88,$C88,IF(AND($E88="Y",$D88&lt;=$O88),$D88,IF(AND($E88="Y",$D88&lt;=Inputs!$B$15,$C88&lt;=Inputs!$B$15),IF($C88&lt;$D88,$D88,$C88),IF(AND($E88="Y",$D88&lt;=Inputs!$B$15),$D88,$C88)))))</f>
        <v/>
      </c>
      <c r="G88" s="4" t="str">
        <f>IF($B88="","",IF($C88&lt;=$O88,$D88,IF(AND($E88="Y",$D88&lt;=$O88),$C88,IF(AND($E88="Y",$D88&lt;=Inputs!$B$15,$C88&lt;=Inputs!$B$15),IF($C88&lt;$D88,$C88,$D88),IF(AND($E88="Y",$D88&lt;=Inputs!$B$15),$C88,$D88)))))</f>
        <v/>
      </c>
      <c r="H88" s="3" t="str">
        <f t="shared" si="9"/>
        <v/>
      </c>
      <c r="I88" s="4" t="str">
        <f t="shared" si="11"/>
        <v/>
      </c>
      <c r="J88" s="4" t="str">
        <f t="shared" si="12"/>
        <v/>
      </c>
      <c r="K88" s="4" t="str">
        <f t="shared" si="13"/>
        <v/>
      </c>
      <c r="L88" s="4" t="str">
        <f t="shared" si="14"/>
        <v/>
      </c>
      <c r="M88" s="4" t="str">
        <f t="shared" si="10"/>
        <v/>
      </c>
      <c r="N88" s="4" t="str">
        <f t="shared" si="15"/>
        <v/>
      </c>
      <c r="O88" s="4" t="str">
        <f>IF($B88="","",Inputs!$B$15-$M87)</f>
        <v/>
      </c>
      <c r="P88" s="3" t="str">
        <f t="shared" si="16"/>
        <v/>
      </c>
      <c r="Q88" s="3" t="str">
        <f t="shared" si="17"/>
        <v/>
      </c>
      <c r="R88" s="3" t="str">
        <f>IF($B88="","",IF($Q88,($L87+$N87+$G88)&gt;Inputs!$B$16,FALSE))</f>
        <v/>
      </c>
      <c r="S88" s="3" t="str">
        <f>IF($B88="","",IF(OR($F88&gt;Inputs!$B$15,$G88&gt;Inputs!$B$16),"TOO BIG",IF($R88,"NEW SHEET",IF($Q88,"NEW ROW","OK"))))</f>
        <v/>
      </c>
    </row>
    <row r="89" spans="1:19" x14ac:dyDescent="0.2">
      <c r="A89" s="4">
        <v>83</v>
      </c>
      <c r="B89" s="3" t="str">
        <f>IF(SortedPieces!$B85="","",SortedPieces!$B85)</f>
        <v/>
      </c>
      <c r="C89" s="4" t="str">
        <f>IF(SortedPieces!$C85="","",SortedPieces!$C85)</f>
        <v/>
      </c>
      <c r="D89" s="4" t="str">
        <f>IF(SortedPieces!$D85="","",SortedPieces!$D85)</f>
        <v/>
      </c>
      <c r="E89" s="3" t="str">
        <f>IF(SortedPieces!$E85="","",SortedPieces!$E85)</f>
        <v/>
      </c>
      <c r="F89" s="4" t="str">
        <f>IF($B89="","",IF($C89&lt;=$O89,$C89,IF(AND($E89="Y",$D89&lt;=$O89),$D89,IF(AND($E89="Y",$D89&lt;=Inputs!$B$15,$C89&lt;=Inputs!$B$15),IF($C89&lt;$D89,$D89,$C89),IF(AND($E89="Y",$D89&lt;=Inputs!$B$15),$D89,$C89)))))</f>
        <v/>
      </c>
      <c r="G89" s="4" t="str">
        <f>IF($B89="","",IF($C89&lt;=$O89,$D89,IF(AND($E89="Y",$D89&lt;=$O89),$C89,IF(AND($E89="Y",$D89&lt;=Inputs!$B$15,$C89&lt;=Inputs!$B$15),IF($C89&lt;$D89,$C89,$D89),IF(AND($E89="Y",$D89&lt;=Inputs!$B$15),$C89,$D89)))))</f>
        <v/>
      </c>
      <c r="H89" s="3" t="str">
        <f t="shared" si="9"/>
        <v/>
      </c>
      <c r="I89" s="4" t="str">
        <f t="shared" si="11"/>
        <v/>
      </c>
      <c r="J89" s="4" t="str">
        <f t="shared" si="12"/>
        <v/>
      </c>
      <c r="K89" s="4" t="str">
        <f t="shared" si="13"/>
        <v/>
      </c>
      <c r="L89" s="4" t="str">
        <f t="shared" si="14"/>
        <v/>
      </c>
      <c r="M89" s="4" t="str">
        <f t="shared" si="10"/>
        <v/>
      </c>
      <c r="N89" s="4" t="str">
        <f t="shared" si="15"/>
        <v/>
      </c>
      <c r="O89" s="4" t="str">
        <f>IF($B89="","",Inputs!$B$15-$M88)</f>
        <v/>
      </c>
      <c r="P89" s="3" t="str">
        <f t="shared" si="16"/>
        <v/>
      </c>
      <c r="Q89" s="3" t="str">
        <f t="shared" si="17"/>
        <v/>
      </c>
      <c r="R89" s="3" t="str">
        <f>IF($B89="","",IF($Q89,($L88+$N88+$G89)&gt;Inputs!$B$16,FALSE))</f>
        <v/>
      </c>
      <c r="S89" s="3" t="str">
        <f>IF($B89="","",IF(OR($F89&gt;Inputs!$B$15,$G89&gt;Inputs!$B$16),"TOO BIG",IF($R89,"NEW SHEET",IF($Q89,"NEW ROW","OK"))))</f>
        <v/>
      </c>
    </row>
    <row r="90" spans="1:19" x14ac:dyDescent="0.2">
      <c r="A90" s="4">
        <v>84</v>
      </c>
      <c r="B90" s="3" t="str">
        <f>IF(SortedPieces!$B86="","",SortedPieces!$B86)</f>
        <v/>
      </c>
      <c r="C90" s="4" t="str">
        <f>IF(SortedPieces!$C86="","",SortedPieces!$C86)</f>
        <v/>
      </c>
      <c r="D90" s="4" t="str">
        <f>IF(SortedPieces!$D86="","",SortedPieces!$D86)</f>
        <v/>
      </c>
      <c r="E90" s="3" t="str">
        <f>IF(SortedPieces!$E86="","",SortedPieces!$E86)</f>
        <v/>
      </c>
      <c r="F90" s="4" t="str">
        <f>IF($B90="","",IF($C90&lt;=$O90,$C90,IF(AND($E90="Y",$D90&lt;=$O90),$D90,IF(AND($E90="Y",$D90&lt;=Inputs!$B$15,$C90&lt;=Inputs!$B$15),IF($C90&lt;$D90,$D90,$C90),IF(AND($E90="Y",$D90&lt;=Inputs!$B$15),$D90,$C90)))))</f>
        <v/>
      </c>
      <c r="G90" s="4" t="str">
        <f>IF($B90="","",IF($C90&lt;=$O90,$D90,IF(AND($E90="Y",$D90&lt;=$O90),$C90,IF(AND($E90="Y",$D90&lt;=Inputs!$B$15,$C90&lt;=Inputs!$B$15),IF($C90&lt;$D90,$C90,$D90),IF(AND($E90="Y",$D90&lt;=Inputs!$B$15),$C90,$D90)))))</f>
        <v/>
      </c>
      <c r="H90" s="3" t="str">
        <f t="shared" si="9"/>
        <v/>
      </c>
      <c r="I90" s="4" t="str">
        <f t="shared" si="11"/>
        <v/>
      </c>
      <c r="J90" s="4" t="str">
        <f t="shared" si="12"/>
        <v/>
      </c>
      <c r="K90" s="4" t="str">
        <f t="shared" si="13"/>
        <v/>
      </c>
      <c r="L90" s="4" t="str">
        <f t="shared" si="14"/>
        <v/>
      </c>
      <c r="M90" s="4" t="str">
        <f t="shared" si="10"/>
        <v/>
      </c>
      <c r="N90" s="4" t="str">
        <f t="shared" si="15"/>
        <v/>
      </c>
      <c r="O90" s="4" t="str">
        <f>IF($B90="","",Inputs!$B$15-$M89)</f>
        <v/>
      </c>
      <c r="P90" s="3" t="str">
        <f t="shared" si="16"/>
        <v/>
      </c>
      <c r="Q90" s="3" t="str">
        <f t="shared" si="17"/>
        <v/>
      </c>
      <c r="R90" s="3" t="str">
        <f>IF($B90="","",IF($Q90,($L89+$N89+$G90)&gt;Inputs!$B$16,FALSE))</f>
        <v/>
      </c>
      <c r="S90" s="3" t="str">
        <f>IF($B90="","",IF(OR($F90&gt;Inputs!$B$15,$G90&gt;Inputs!$B$16),"TOO BIG",IF($R90,"NEW SHEET",IF($Q90,"NEW ROW","OK"))))</f>
        <v/>
      </c>
    </row>
    <row r="91" spans="1:19" x14ac:dyDescent="0.2">
      <c r="A91" s="4">
        <v>85</v>
      </c>
      <c r="B91" s="3" t="str">
        <f>IF(SortedPieces!$B87="","",SortedPieces!$B87)</f>
        <v/>
      </c>
      <c r="C91" s="4" t="str">
        <f>IF(SortedPieces!$C87="","",SortedPieces!$C87)</f>
        <v/>
      </c>
      <c r="D91" s="4" t="str">
        <f>IF(SortedPieces!$D87="","",SortedPieces!$D87)</f>
        <v/>
      </c>
      <c r="E91" s="3" t="str">
        <f>IF(SortedPieces!$E87="","",SortedPieces!$E87)</f>
        <v/>
      </c>
      <c r="F91" s="4" t="str">
        <f>IF($B91="","",IF($C91&lt;=$O91,$C91,IF(AND($E91="Y",$D91&lt;=$O91),$D91,IF(AND($E91="Y",$D91&lt;=Inputs!$B$15,$C91&lt;=Inputs!$B$15),IF($C91&lt;$D91,$D91,$C91),IF(AND($E91="Y",$D91&lt;=Inputs!$B$15),$D91,$C91)))))</f>
        <v/>
      </c>
      <c r="G91" s="4" t="str">
        <f>IF($B91="","",IF($C91&lt;=$O91,$D91,IF(AND($E91="Y",$D91&lt;=$O91),$C91,IF(AND($E91="Y",$D91&lt;=Inputs!$B$15,$C91&lt;=Inputs!$B$15),IF($C91&lt;$D91,$C91,$D91),IF(AND($E91="Y",$D91&lt;=Inputs!$B$15),$C91,$D91)))))</f>
        <v/>
      </c>
      <c r="H91" s="3" t="str">
        <f t="shared" si="9"/>
        <v/>
      </c>
      <c r="I91" s="4" t="str">
        <f t="shared" si="11"/>
        <v/>
      </c>
      <c r="J91" s="4" t="str">
        <f t="shared" si="12"/>
        <v/>
      </c>
      <c r="K91" s="4" t="str">
        <f t="shared" si="13"/>
        <v/>
      </c>
      <c r="L91" s="4" t="str">
        <f t="shared" si="14"/>
        <v/>
      </c>
      <c r="M91" s="4" t="str">
        <f t="shared" si="10"/>
        <v/>
      </c>
      <c r="N91" s="4" t="str">
        <f t="shared" si="15"/>
        <v/>
      </c>
      <c r="O91" s="4" t="str">
        <f>IF($B91="","",Inputs!$B$15-$M90)</f>
        <v/>
      </c>
      <c r="P91" s="3" t="str">
        <f t="shared" si="16"/>
        <v/>
      </c>
      <c r="Q91" s="3" t="str">
        <f t="shared" si="17"/>
        <v/>
      </c>
      <c r="R91" s="3" t="str">
        <f>IF($B91="","",IF($Q91,($L90+$N90+$G91)&gt;Inputs!$B$16,FALSE))</f>
        <v/>
      </c>
      <c r="S91" s="3" t="str">
        <f>IF($B91="","",IF(OR($F91&gt;Inputs!$B$15,$G91&gt;Inputs!$B$16),"TOO BIG",IF($R91,"NEW SHEET",IF($Q91,"NEW ROW","OK"))))</f>
        <v/>
      </c>
    </row>
    <row r="92" spans="1:19" x14ac:dyDescent="0.2">
      <c r="A92" s="4">
        <v>86</v>
      </c>
      <c r="B92" s="3" t="str">
        <f>IF(SortedPieces!$B88="","",SortedPieces!$B88)</f>
        <v/>
      </c>
      <c r="C92" s="4" t="str">
        <f>IF(SortedPieces!$C88="","",SortedPieces!$C88)</f>
        <v/>
      </c>
      <c r="D92" s="4" t="str">
        <f>IF(SortedPieces!$D88="","",SortedPieces!$D88)</f>
        <v/>
      </c>
      <c r="E92" s="3" t="str">
        <f>IF(SortedPieces!$E88="","",SortedPieces!$E88)</f>
        <v/>
      </c>
      <c r="F92" s="4" t="str">
        <f>IF($B92="","",IF($C92&lt;=$O92,$C92,IF(AND($E92="Y",$D92&lt;=$O92),$D92,IF(AND($E92="Y",$D92&lt;=Inputs!$B$15,$C92&lt;=Inputs!$B$15),IF($C92&lt;$D92,$D92,$C92),IF(AND($E92="Y",$D92&lt;=Inputs!$B$15),$D92,$C92)))))</f>
        <v/>
      </c>
      <c r="G92" s="4" t="str">
        <f>IF($B92="","",IF($C92&lt;=$O92,$D92,IF(AND($E92="Y",$D92&lt;=$O92),$C92,IF(AND($E92="Y",$D92&lt;=Inputs!$B$15,$C92&lt;=Inputs!$B$15),IF($C92&lt;$D92,$C92,$D92),IF(AND($E92="Y",$D92&lt;=Inputs!$B$15),$C92,$D92)))))</f>
        <v/>
      </c>
      <c r="H92" s="3" t="str">
        <f t="shared" si="9"/>
        <v/>
      </c>
      <c r="I92" s="4" t="str">
        <f t="shared" si="11"/>
        <v/>
      </c>
      <c r="J92" s="4" t="str">
        <f t="shared" si="12"/>
        <v/>
      </c>
      <c r="K92" s="4" t="str">
        <f t="shared" si="13"/>
        <v/>
      </c>
      <c r="L92" s="4" t="str">
        <f t="shared" si="14"/>
        <v/>
      </c>
      <c r="M92" s="4" t="str">
        <f t="shared" si="10"/>
        <v/>
      </c>
      <c r="N92" s="4" t="str">
        <f t="shared" si="15"/>
        <v/>
      </c>
      <c r="O92" s="4" t="str">
        <f>IF($B92="","",Inputs!$B$15-$M91)</f>
        <v/>
      </c>
      <c r="P92" s="3" t="str">
        <f t="shared" si="16"/>
        <v/>
      </c>
      <c r="Q92" s="3" t="str">
        <f t="shared" si="17"/>
        <v/>
      </c>
      <c r="R92" s="3" t="str">
        <f>IF($B92="","",IF($Q92,($L91+$N91+$G92)&gt;Inputs!$B$16,FALSE))</f>
        <v/>
      </c>
      <c r="S92" s="3" t="str">
        <f>IF($B92="","",IF(OR($F92&gt;Inputs!$B$15,$G92&gt;Inputs!$B$16),"TOO BIG",IF($R92,"NEW SHEET",IF($Q92,"NEW ROW","OK"))))</f>
        <v/>
      </c>
    </row>
    <row r="93" spans="1:19" x14ac:dyDescent="0.2">
      <c r="A93" s="4">
        <v>87</v>
      </c>
      <c r="B93" s="3" t="str">
        <f>IF(SortedPieces!$B89="","",SortedPieces!$B89)</f>
        <v/>
      </c>
      <c r="C93" s="4" t="str">
        <f>IF(SortedPieces!$C89="","",SortedPieces!$C89)</f>
        <v/>
      </c>
      <c r="D93" s="4" t="str">
        <f>IF(SortedPieces!$D89="","",SortedPieces!$D89)</f>
        <v/>
      </c>
      <c r="E93" s="3" t="str">
        <f>IF(SortedPieces!$E89="","",SortedPieces!$E89)</f>
        <v/>
      </c>
      <c r="F93" s="4" t="str">
        <f>IF($B93="","",IF($C93&lt;=$O93,$C93,IF(AND($E93="Y",$D93&lt;=$O93),$D93,IF(AND($E93="Y",$D93&lt;=Inputs!$B$15,$C93&lt;=Inputs!$B$15),IF($C93&lt;$D93,$D93,$C93),IF(AND($E93="Y",$D93&lt;=Inputs!$B$15),$D93,$C93)))))</f>
        <v/>
      </c>
      <c r="G93" s="4" t="str">
        <f>IF($B93="","",IF($C93&lt;=$O93,$D93,IF(AND($E93="Y",$D93&lt;=$O93),$C93,IF(AND($E93="Y",$D93&lt;=Inputs!$B$15,$C93&lt;=Inputs!$B$15),IF($C93&lt;$D93,$C93,$D93),IF(AND($E93="Y",$D93&lt;=Inputs!$B$15),$C93,$D93)))))</f>
        <v/>
      </c>
      <c r="H93" s="3" t="str">
        <f t="shared" si="9"/>
        <v/>
      </c>
      <c r="I93" s="4" t="str">
        <f t="shared" si="11"/>
        <v/>
      </c>
      <c r="J93" s="4" t="str">
        <f t="shared" si="12"/>
        <v/>
      </c>
      <c r="K93" s="4" t="str">
        <f t="shared" si="13"/>
        <v/>
      </c>
      <c r="L93" s="4" t="str">
        <f t="shared" si="14"/>
        <v/>
      </c>
      <c r="M93" s="4" t="str">
        <f t="shared" si="10"/>
        <v/>
      </c>
      <c r="N93" s="4" t="str">
        <f t="shared" si="15"/>
        <v/>
      </c>
      <c r="O93" s="4" t="str">
        <f>IF($B93="","",Inputs!$B$15-$M92)</f>
        <v/>
      </c>
      <c r="P93" s="3" t="str">
        <f t="shared" si="16"/>
        <v/>
      </c>
      <c r="Q93" s="3" t="str">
        <f t="shared" si="17"/>
        <v/>
      </c>
      <c r="R93" s="3" t="str">
        <f>IF($B93="","",IF($Q93,($L92+$N92+$G93)&gt;Inputs!$B$16,FALSE))</f>
        <v/>
      </c>
      <c r="S93" s="3" t="str">
        <f>IF($B93="","",IF(OR($F93&gt;Inputs!$B$15,$G93&gt;Inputs!$B$16),"TOO BIG",IF($R93,"NEW SHEET",IF($Q93,"NEW ROW","OK"))))</f>
        <v/>
      </c>
    </row>
    <row r="94" spans="1:19" x14ac:dyDescent="0.2">
      <c r="A94" s="4">
        <v>88</v>
      </c>
      <c r="B94" s="3" t="str">
        <f>IF(SortedPieces!$B90="","",SortedPieces!$B90)</f>
        <v/>
      </c>
      <c r="C94" s="4" t="str">
        <f>IF(SortedPieces!$C90="","",SortedPieces!$C90)</f>
        <v/>
      </c>
      <c r="D94" s="4" t="str">
        <f>IF(SortedPieces!$D90="","",SortedPieces!$D90)</f>
        <v/>
      </c>
      <c r="E94" s="3" t="str">
        <f>IF(SortedPieces!$E90="","",SortedPieces!$E90)</f>
        <v/>
      </c>
      <c r="F94" s="4" t="str">
        <f>IF($B94="","",IF($C94&lt;=$O94,$C94,IF(AND($E94="Y",$D94&lt;=$O94),$D94,IF(AND($E94="Y",$D94&lt;=Inputs!$B$15,$C94&lt;=Inputs!$B$15),IF($C94&lt;$D94,$D94,$C94),IF(AND($E94="Y",$D94&lt;=Inputs!$B$15),$D94,$C94)))))</f>
        <v/>
      </c>
      <c r="G94" s="4" t="str">
        <f>IF($B94="","",IF($C94&lt;=$O94,$D94,IF(AND($E94="Y",$D94&lt;=$O94),$C94,IF(AND($E94="Y",$D94&lt;=Inputs!$B$15,$C94&lt;=Inputs!$B$15),IF($C94&lt;$D94,$C94,$D94),IF(AND($E94="Y",$D94&lt;=Inputs!$B$15),$C94,$D94)))))</f>
        <v/>
      </c>
      <c r="H94" s="3" t="str">
        <f t="shared" si="9"/>
        <v/>
      </c>
      <c r="I94" s="4" t="str">
        <f t="shared" si="11"/>
        <v/>
      </c>
      <c r="J94" s="4" t="str">
        <f t="shared" si="12"/>
        <v/>
      </c>
      <c r="K94" s="4" t="str">
        <f t="shared" si="13"/>
        <v/>
      </c>
      <c r="L94" s="4" t="str">
        <f t="shared" si="14"/>
        <v/>
      </c>
      <c r="M94" s="4" t="str">
        <f t="shared" si="10"/>
        <v/>
      </c>
      <c r="N94" s="4" t="str">
        <f t="shared" si="15"/>
        <v/>
      </c>
      <c r="O94" s="4" t="str">
        <f>IF($B94="","",Inputs!$B$15-$M93)</f>
        <v/>
      </c>
      <c r="P94" s="3" t="str">
        <f t="shared" si="16"/>
        <v/>
      </c>
      <c r="Q94" s="3" t="str">
        <f t="shared" si="17"/>
        <v/>
      </c>
      <c r="R94" s="3" t="str">
        <f>IF($B94="","",IF($Q94,($L93+$N93+$G94)&gt;Inputs!$B$16,FALSE))</f>
        <v/>
      </c>
      <c r="S94" s="3" t="str">
        <f>IF($B94="","",IF(OR($F94&gt;Inputs!$B$15,$G94&gt;Inputs!$B$16),"TOO BIG",IF($R94,"NEW SHEET",IF($Q94,"NEW ROW","OK"))))</f>
        <v/>
      </c>
    </row>
    <row r="95" spans="1:19" x14ac:dyDescent="0.2">
      <c r="A95" s="4">
        <v>89</v>
      </c>
      <c r="B95" s="3" t="str">
        <f>IF(SortedPieces!$B91="","",SortedPieces!$B91)</f>
        <v/>
      </c>
      <c r="C95" s="4" t="str">
        <f>IF(SortedPieces!$C91="","",SortedPieces!$C91)</f>
        <v/>
      </c>
      <c r="D95" s="4" t="str">
        <f>IF(SortedPieces!$D91="","",SortedPieces!$D91)</f>
        <v/>
      </c>
      <c r="E95" s="3" t="str">
        <f>IF(SortedPieces!$E91="","",SortedPieces!$E91)</f>
        <v/>
      </c>
      <c r="F95" s="4" t="str">
        <f>IF($B95="","",IF($C95&lt;=$O95,$C95,IF(AND($E95="Y",$D95&lt;=$O95),$D95,IF(AND($E95="Y",$D95&lt;=Inputs!$B$15,$C95&lt;=Inputs!$B$15),IF($C95&lt;$D95,$D95,$C95),IF(AND($E95="Y",$D95&lt;=Inputs!$B$15),$D95,$C95)))))</f>
        <v/>
      </c>
      <c r="G95" s="4" t="str">
        <f>IF($B95="","",IF($C95&lt;=$O95,$D95,IF(AND($E95="Y",$D95&lt;=$O95),$C95,IF(AND($E95="Y",$D95&lt;=Inputs!$B$15,$C95&lt;=Inputs!$B$15),IF($C95&lt;$D95,$C95,$D95),IF(AND($E95="Y",$D95&lt;=Inputs!$B$15),$C95,$D95)))))</f>
        <v/>
      </c>
      <c r="H95" s="3" t="str">
        <f t="shared" si="9"/>
        <v/>
      </c>
      <c r="I95" s="4" t="str">
        <f t="shared" si="11"/>
        <v/>
      </c>
      <c r="J95" s="4" t="str">
        <f t="shared" si="12"/>
        <v/>
      </c>
      <c r="K95" s="4" t="str">
        <f t="shared" si="13"/>
        <v/>
      </c>
      <c r="L95" s="4" t="str">
        <f t="shared" si="14"/>
        <v/>
      </c>
      <c r="M95" s="4" t="str">
        <f t="shared" si="10"/>
        <v/>
      </c>
      <c r="N95" s="4" t="str">
        <f t="shared" si="15"/>
        <v/>
      </c>
      <c r="O95" s="4" t="str">
        <f>IF($B95="","",Inputs!$B$15-$M94)</f>
        <v/>
      </c>
      <c r="P95" s="3" t="str">
        <f t="shared" si="16"/>
        <v/>
      </c>
      <c r="Q95" s="3" t="str">
        <f t="shared" si="17"/>
        <v/>
      </c>
      <c r="R95" s="3" t="str">
        <f>IF($B95="","",IF($Q95,($L94+$N94+$G95)&gt;Inputs!$B$16,FALSE))</f>
        <v/>
      </c>
      <c r="S95" s="3" t="str">
        <f>IF($B95="","",IF(OR($F95&gt;Inputs!$B$15,$G95&gt;Inputs!$B$16),"TOO BIG",IF($R95,"NEW SHEET",IF($Q95,"NEW ROW","OK"))))</f>
        <v/>
      </c>
    </row>
    <row r="96" spans="1:19" x14ac:dyDescent="0.2">
      <c r="A96" s="4">
        <v>90</v>
      </c>
      <c r="B96" s="3" t="str">
        <f>IF(SortedPieces!$B92="","",SortedPieces!$B92)</f>
        <v/>
      </c>
      <c r="C96" s="4" t="str">
        <f>IF(SortedPieces!$C92="","",SortedPieces!$C92)</f>
        <v/>
      </c>
      <c r="D96" s="4" t="str">
        <f>IF(SortedPieces!$D92="","",SortedPieces!$D92)</f>
        <v/>
      </c>
      <c r="E96" s="3" t="str">
        <f>IF(SortedPieces!$E92="","",SortedPieces!$E92)</f>
        <v/>
      </c>
      <c r="F96" s="4" t="str">
        <f>IF($B96="","",IF($C96&lt;=$O96,$C96,IF(AND($E96="Y",$D96&lt;=$O96),$D96,IF(AND($E96="Y",$D96&lt;=Inputs!$B$15,$C96&lt;=Inputs!$B$15),IF($C96&lt;$D96,$D96,$C96),IF(AND($E96="Y",$D96&lt;=Inputs!$B$15),$D96,$C96)))))</f>
        <v/>
      </c>
      <c r="G96" s="4" t="str">
        <f>IF($B96="","",IF($C96&lt;=$O96,$D96,IF(AND($E96="Y",$D96&lt;=$O96),$C96,IF(AND($E96="Y",$D96&lt;=Inputs!$B$15,$C96&lt;=Inputs!$B$15),IF($C96&lt;$D96,$C96,$D96),IF(AND($E96="Y",$D96&lt;=Inputs!$B$15),$C96,$D96)))))</f>
        <v/>
      </c>
      <c r="H96" s="3" t="str">
        <f t="shared" si="9"/>
        <v/>
      </c>
      <c r="I96" s="4" t="str">
        <f t="shared" si="11"/>
        <v/>
      </c>
      <c r="J96" s="4" t="str">
        <f t="shared" si="12"/>
        <v/>
      </c>
      <c r="K96" s="4" t="str">
        <f t="shared" si="13"/>
        <v/>
      </c>
      <c r="L96" s="4" t="str">
        <f t="shared" si="14"/>
        <v/>
      </c>
      <c r="M96" s="4" t="str">
        <f t="shared" si="10"/>
        <v/>
      </c>
      <c r="N96" s="4" t="str">
        <f t="shared" si="15"/>
        <v/>
      </c>
      <c r="O96" s="4" t="str">
        <f>IF($B96="","",Inputs!$B$15-$M95)</f>
        <v/>
      </c>
      <c r="P96" s="3" t="str">
        <f t="shared" si="16"/>
        <v/>
      </c>
      <c r="Q96" s="3" t="str">
        <f t="shared" si="17"/>
        <v/>
      </c>
      <c r="R96" s="3" t="str">
        <f>IF($B96="","",IF($Q96,($L95+$N95+$G96)&gt;Inputs!$B$16,FALSE))</f>
        <v/>
      </c>
      <c r="S96" s="3" t="str">
        <f>IF($B96="","",IF(OR($F96&gt;Inputs!$B$15,$G96&gt;Inputs!$B$16),"TOO BIG",IF($R96,"NEW SHEET",IF($Q96,"NEW ROW","OK"))))</f>
        <v/>
      </c>
    </row>
    <row r="97" spans="1:19" x14ac:dyDescent="0.2">
      <c r="A97" s="4">
        <v>91</v>
      </c>
      <c r="B97" s="3" t="str">
        <f>IF(SortedPieces!$B93="","",SortedPieces!$B93)</f>
        <v/>
      </c>
      <c r="C97" s="4" t="str">
        <f>IF(SortedPieces!$C93="","",SortedPieces!$C93)</f>
        <v/>
      </c>
      <c r="D97" s="4" t="str">
        <f>IF(SortedPieces!$D93="","",SortedPieces!$D93)</f>
        <v/>
      </c>
      <c r="E97" s="3" t="str">
        <f>IF(SortedPieces!$E93="","",SortedPieces!$E93)</f>
        <v/>
      </c>
      <c r="F97" s="4" t="str">
        <f>IF($B97="","",IF($C97&lt;=$O97,$C97,IF(AND($E97="Y",$D97&lt;=$O97),$D97,IF(AND($E97="Y",$D97&lt;=Inputs!$B$15,$C97&lt;=Inputs!$B$15),IF($C97&lt;$D97,$D97,$C97),IF(AND($E97="Y",$D97&lt;=Inputs!$B$15),$D97,$C97)))))</f>
        <v/>
      </c>
      <c r="G97" s="4" t="str">
        <f>IF($B97="","",IF($C97&lt;=$O97,$D97,IF(AND($E97="Y",$D97&lt;=$O97),$C97,IF(AND($E97="Y",$D97&lt;=Inputs!$B$15,$C97&lt;=Inputs!$B$15),IF($C97&lt;$D97,$C97,$D97),IF(AND($E97="Y",$D97&lt;=Inputs!$B$15),$C97,$D97)))))</f>
        <v/>
      </c>
      <c r="H97" s="3" t="str">
        <f t="shared" si="9"/>
        <v/>
      </c>
      <c r="I97" s="4" t="str">
        <f t="shared" si="11"/>
        <v/>
      </c>
      <c r="J97" s="4" t="str">
        <f t="shared" si="12"/>
        <v/>
      </c>
      <c r="K97" s="4" t="str">
        <f t="shared" si="13"/>
        <v/>
      </c>
      <c r="L97" s="4" t="str">
        <f t="shared" si="14"/>
        <v/>
      </c>
      <c r="M97" s="4" t="str">
        <f t="shared" si="10"/>
        <v/>
      </c>
      <c r="N97" s="4" t="str">
        <f t="shared" si="15"/>
        <v/>
      </c>
      <c r="O97" s="4" t="str">
        <f>IF($B97="","",Inputs!$B$15-$M96)</f>
        <v/>
      </c>
      <c r="P97" s="3" t="str">
        <f t="shared" si="16"/>
        <v/>
      </c>
      <c r="Q97" s="3" t="str">
        <f t="shared" si="17"/>
        <v/>
      </c>
      <c r="R97" s="3" t="str">
        <f>IF($B97="","",IF($Q97,($L96+$N96+$G97)&gt;Inputs!$B$16,FALSE))</f>
        <v/>
      </c>
      <c r="S97" s="3" t="str">
        <f>IF($B97="","",IF(OR($F97&gt;Inputs!$B$15,$G97&gt;Inputs!$B$16),"TOO BIG",IF($R97,"NEW SHEET",IF($Q97,"NEW ROW","OK"))))</f>
        <v/>
      </c>
    </row>
    <row r="98" spans="1:19" x14ac:dyDescent="0.2">
      <c r="A98" s="4">
        <v>92</v>
      </c>
      <c r="B98" s="3" t="str">
        <f>IF(SortedPieces!$B94="","",SortedPieces!$B94)</f>
        <v/>
      </c>
      <c r="C98" s="4" t="str">
        <f>IF(SortedPieces!$C94="","",SortedPieces!$C94)</f>
        <v/>
      </c>
      <c r="D98" s="4" t="str">
        <f>IF(SortedPieces!$D94="","",SortedPieces!$D94)</f>
        <v/>
      </c>
      <c r="E98" s="3" t="str">
        <f>IF(SortedPieces!$E94="","",SortedPieces!$E94)</f>
        <v/>
      </c>
      <c r="F98" s="4" t="str">
        <f>IF($B98="","",IF($C98&lt;=$O98,$C98,IF(AND($E98="Y",$D98&lt;=$O98),$D98,IF(AND($E98="Y",$D98&lt;=Inputs!$B$15,$C98&lt;=Inputs!$B$15),IF($C98&lt;$D98,$D98,$C98),IF(AND($E98="Y",$D98&lt;=Inputs!$B$15),$D98,$C98)))))</f>
        <v/>
      </c>
      <c r="G98" s="4" t="str">
        <f>IF($B98="","",IF($C98&lt;=$O98,$D98,IF(AND($E98="Y",$D98&lt;=$O98),$C98,IF(AND($E98="Y",$D98&lt;=Inputs!$B$15,$C98&lt;=Inputs!$B$15),IF($C98&lt;$D98,$C98,$D98),IF(AND($E98="Y",$D98&lt;=Inputs!$B$15),$C98,$D98)))))</f>
        <v/>
      </c>
      <c r="H98" s="3" t="str">
        <f t="shared" si="9"/>
        <v/>
      </c>
      <c r="I98" s="4" t="str">
        <f t="shared" si="11"/>
        <v/>
      </c>
      <c r="J98" s="4" t="str">
        <f t="shared" si="12"/>
        <v/>
      </c>
      <c r="K98" s="4" t="str">
        <f t="shared" si="13"/>
        <v/>
      </c>
      <c r="L98" s="4" t="str">
        <f t="shared" si="14"/>
        <v/>
      </c>
      <c r="M98" s="4" t="str">
        <f t="shared" si="10"/>
        <v/>
      </c>
      <c r="N98" s="4" t="str">
        <f t="shared" si="15"/>
        <v/>
      </c>
      <c r="O98" s="4" t="str">
        <f>IF($B98="","",Inputs!$B$15-$M97)</f>
        <v/>
      </c>
      <c r="P98" s="3" t="str">
        <f t="shared" si="16"/>
        <v/>
      </c>
      <c r="Q98" s="3" t="str">
        <f t="shared" si="17"/>
        <v/>
      </c>
      <c r="R98" s="3" t="str">
        <f>IF($B98="","",IF($Q98,($L97+$N97+$G98)&gt;Inputs!$B$16,FALSE))</f>
        <v/>
      </c>
      <c r="S98" s="3" t="str">
        <f>IF($B98="","",IF(OR($F98&gt;Inputs!$B$15,$G98&gt;Inputs!$B$16),"TOO BIG",IF($R98,"NEW SHEET",IF($Q98,"NEW ROW","OK"))))</f>
        <v/>
      </c>
    </row>
    <row r="99" spans="1:19" x14ac:dyDescent="0.2">
      <c r="A99" s="4">
        <v>93</v>
      </c>
      <c r="B99" s="3" t="str">
        <f>IF(SortedPieces!$B95="","",SortedPieces!$B95)</f>
        <v/>
      </c>
      <c r="C99" s="4" t="str">
        <f>IF(SortedPieces!$C95="","",SortedPieces!$C95)</f>
        <v/>
      </c>
      <c r="D99" s="4" t="str">
        <f>IF(SortedPieces!$D95="","",SortedPieces!$D95)</f>
        <v/>
      </c>
      <c r="E99" s="3" t="str">
        <f>IF(SortedPieces!$E95="","",SortedPieces!$E95)</f>
        <v/>
      </c>
      <c r="F99" s="4" t="str">
        <f>IF($B99="","",IF($C99&lt;=$O99,$C99,IF(AND($E99="Y",$D99&lt;=$O99),$D99,IF(AND($E99="Y",$D99&lt;=Inputs!$B$15,$C99&lt;=Inputs!$B$15),IF($C99&lt;$D99,$D99,$C99),IF(AND($E99="Y",$D99&lt;=Inputs!$B$15),$D99,$C99)))))</f>
        <v/>
      </c>
      <c r="G99" s="4" t="str">
        <f>IF($B99="","",IF($C99&lt;=$O99,$D99,IF(AND($E99="Y",$D99&lt;=$O99),$C99,IF(AND($E99="Y",$D99&lt;=Inputs!$B$15,$C99&lt;=Inputs!$B$15),IF($C99&lt;$D99,$C99,$D99),IF(AND($E99="Y",$D99&lt;=Inputs!$B$15),$C99,$D99)))))</f>
        <v/>
      </c>
      <c r="H99" s="3" t="str">
        <f t="shared" si="9"/>
        <v/>
      </c>
      <c r="I99" s="4" t="str">
        <f t="shared" si="11"/>
        <v/>
      </c>
      <c r="J99" s="4" t="str">
        <f t="shared" si="12"/>
        <v/>
      </c>
      <c r="K99" s="4" t="str">
        <f t="shared" si="13"/>
        <v/>
      </c>
      <c r="L99" s="4" t="str">
        <f t="shared" si="14"/>
        <v/>
      </c>
      <c r="M99" s="4" t="str">
        <f t="shared" si="10"/>
        <v/>
      </c>
      <c r="N99" s="4" t="str">
        <f t="shared" si="15"/>
        <v/>
      </c>
      <c r="O99" s="4" t="str">
        <f>IF($B99="","",Inputs!$B$15-$M98)</f>
        <v/>
      </c>
      <c r="P99" s="3" t="str">
        <f t="shared" si="16"/>
        <v/>
      </c>
      <c r="Q99" s="3" t="str">
        <f t="shared" si="17"/>
        <v/>
      </c>
      <c r="R99" s="3" t="str">
        <f>IF($B99="","",IF($Q99,($L98+$N98+$G99)&gt;Inputs!$B$16,FALSE))</f>
        <v/>
      </c>
      <c r="S99" s="3" t="str">
        <f>IF($B99="","",IF(OR($F99&gt;Inputs!$B$15,$G99&gt;Inputs!$B$16),"TOO BIG",IF($R99,"NEW SHEET",IF($Q99,"NEW ROW","OK"))))</f>
        <v/>
      </c>
    </row>
    <row r="100" spans="1:19" x14ac:dyDescent="0.2">
      <c r="A100" s="4">
        <v>94</v>
      </c>
      <c r="B100" s="3" t="str">
        <f>IF(SortedPieces!$B96="","",SortedPieces!$B96)</f>
        <v/>
      </c>
      <c r="C100" s="4" t="str">
        <f>IF(SortedPieces!$C96="","",SortedPieces!$C96)</f>
        <v/>
      </c>
      <c r="D100" s="4" t="str">
        <f>IF(SortedPieces!$D96="","",SortedPieces!$D96)</f>
        <v/>
      </c>
      <c r="E100" s="3" t="str">
        <f>IF(SortedPieces!$E96="","",SortedPieces!$E96)</f>
        <v/>
      </c>
      <c r="F100" s="4" t="str">
        <f>IF($B100="","",IF($C100&lt;=$O100,$C100,IF(AND($E100="Y",$D100&lt;=$O100),$D100,IF(AND($E100="Y",$D100&lt;=Inputs!$B$15,$C100&lt;=Inputs!$B$15),IF($C100&lt;$D100,$D100,$C100),IF(AND($E100="Y",$D100&lt;=Inputs!$B$15),$D100,$C100)))))</f>
        <v/>
      </c>
      <c r="G100" s="4" t="str">
        <f>IF($B100="","",IF($C100&lt;=$O100,$D100,IF(AND($E100="Y",$D100&lt;=$O100),$C100,IF(AND($E100="Y",$D100&lt;=Inputs!$B$15,$C100&lt;=Inputs!$B$15),IF($C100&lt;$D100,$C100,$D100),IF(AND($E100="Y",$D100&lt;=Inputs!$B$15),$C100,$D100)))))</f>
        <v/>
      </c>
      <c r="H100" s="3" t="str">
        <f t="shared" si="9"/>
        <v/>
      </c>
      <c r="I100" s="4" t="str">
        <f t="shared" si="11"/>
        <v/>
      </c>
      <c r="J100" s="4" t="str">
        <f t="shared" si="12"/>
        <v/>
      </c>
      <c r="K100" s="4" t="str">
        <f t="shared" si="13"/>
        <v/>
      </c>
      <c r="L100" s="4" t="str">
        <f t="shared" si="14"/>
        <v/>
      </c>
      <c r="M100" s="4" t="str">
        <f t="shared" si="10"/>
        <v/>
      </c>
      <c r="N100" s="4" t="str">
        <f t="shared" si="15"/>
        <v/>
      </c>
      <c r="O100" s="4" t="str">
        <f>IF($B100="","",Inputs!$B$15-$M99)</f>
        <v/>
      </c>
      <c r="P100" s="3" t="str">
        <f t="shared" si="16"/>
        <v/>
      </c>
      <c r="Q100" s="3" t="str">
        <f t="shared" si="17"/>
        <v/>
      </c>
      <c r="R100" s="3" t="str">
        <f>IF($B100="","",IF($Q100,($L99+$N99+$G100)&gt;Inputs!$B$16,FALSE))</f>
        <v/>
      </c>
      <c r="S100" s="3" t="str">
        <f>IF($B100="","",IF(OR($F100&gt;Inputs!$B$15,$G100&gt;Inputs!$B$16),"TOO BIG",IF($R100,"NEW SHEET",IF($Q100,"NEW ROW","OK"))))</f>
        <v/>
      </c>
    </row>
    <row r="101" spans="1:19" x14ac:dyDescent="0.2">
      <c r="A101" s="4">
        <v>95</v>
      </c>
      <c r="B101" s="3" t="str">
        <f>IF(SortedPieces!$B97="","",SortedPieces!$B97)</f>
        <v/>
      </c>
      <c r="C101" s="4" t="str">
        <f>IF(SortedPieces!$C97="","",SortedPieces!$C97)</f>
        <v/>
      </c>
      <c r="D101" s="4" t="str">
        <f>IF(SortedPieces!$D97="","",SortedPieces!$D97)</f>
        <v/>
      </c>
      <c r="E101" s="3" t="str">
        <f>IF(SortedPieces!$E97="","",SortedPieces!$E97)</f>
        <v/>
      </c>
      <c r="F101" s="4" t="str">
        <f>IF($B101="","",IF($C101&lt;=$O101,$C101,IF(AND($E101="Y",$D101&lt;=$O101),$D101,IF(AND($E101="Y",$D101&lt;=Inputs!$B$15,$C101&lt;=Inputs!$B$15),IF($C101&lt;$D101,$D101,$C101),IF(AND($E101="Y",$D101&lt;=Inputs!$B$15),$D101,$C101)))))</f>
        <v/>
      </c>
      <c r="G101" s="4" t="str">
        <f>IF($B101="","",IF($C101&lt;=$O101,$D101,IF(AND($E101="Y",$D101&lt;=$O101),$C101,IF(AND($E101="Y",$D101&lt;=Inputs!$B$15,$C101&lt;=Inputs!$B$15),IF($C101&lt;$D101,$C101,$D101),IF(AND($E101="Y",$D101&lt;=Inputs!$B$15),$C101,$D101)))))</f>
        <v/>
      </c>
      <c r="H101" s="3" t="str">
        <f t="shared" si="9"/>
        <v/>
      </c>
      <c r="I101" s="4" t="str">
        <f t="shared" si="11"/>
        <v/>
      </c>
      <c r="J101" s="4" t="str">
        <f t="shared" si="12"/>
        <v/>
      </c>
      <c r="K101" s="4" t="str">
        <f t="shared" si="13"/>
        <v/>
      </c>
      <c r="L101" s="4" t="str">
        <f t="shared" si="14"/>
        <v/>
      </c>
      <c r="M101" s="4" t="str">
        <f t="shared" si="10"/>
        <v/>
      </c>
      <c r="N101" s="4" t="str">
        <f t="shared" si="15"/>
        <v/>
      </c>
      <c r="O101" s="4" t="str">
        <f>IF($B101="","",Inputs!$B$15-$M100)</f>
        <v/>
      </c>
      <c r="P101" s="3" t="str">
        <f t="shared" si="16"/>
        <v/>
      </c>
      <c r="Q101" s="3" t="str">
        <f t="shared" si="17"/>
        <v/>
      </c>
      <c r="R101" s="3" t="str">
        <f>IF($B101="","",IF($Q101,($L100+$N100+$G101)&gt;Inputs!$B$16,FALSE))</f>
        <v/>
      </c>
      <c r="S101" s="3" t="str">
        <f>IF($B101="","",IF(OR($F101&gt;Inputs!$B$15,$G101&gt;Inputs!$B$16),"TOO BIG",IF($R101,"NEW SHEET",IF($Q101,"NEW ROW","OK"))))</f>
        <v/>
      </c>
    </row>
    <row r="102" spans="1:19" x14ac:dyDescent="0.2">
      <c r="A102" s="4">
        <v>96</v>
      </c>
      <c r="B102" s="3" t="str">
        <f>IF(SortedPieces!$B98="","",SortedPieces!$B98)</f>
        <v/>
      </c>
      <c r="C102" s="4" t="str">
        <f>IF(SortedPieces!$C98="","",SortedPieces!$C98)</f>
        <v/>
      </c>
      <c r="D102" s="4" t="str">
        <f>IF(SortedPieces!$D98="","",SortedPieces!$D98)</f>
        <v/>
      </c>
      <c r="E102" s="3" t="str">
        <f>IF(SortedPieces!$E98="","",SortedPieces!$E98)</f>
        <v/>
      </c>
      <c r="F102" s="4" t="str">
        <f>IF($B102="","",IF($C102&lt;=$O102,$C102,IF(AND($E102="Y",$D102&lt;=$O102),$D102,IF(AND($E102="Y",$D102&lt;=Inputs!$B$15,$C102&lt;=Inputs!$B$15),IF($C102&lt;$D102,$D102,$C102),IF(AND($E102="Y",$D102&lt;=Inputs!$B$15),$D102,$C102)))))</f>
        <v/>
      </c>
      <c r="G102" s="4" t="str">
        <f>IF($B102="","",IF($C102&lt;=$O102,$D102,IF(AND($E102="Y",$D102&lt;=$O102),$C102,IF(AND($E102="Y",$D102&lt;=Inputs!$B$15,$C102&lt;=Inputs!$B$15),IF($C102&lt;$D102,$C102,$D102),IF(AND($E102="Y",$D102&lt;=Inputs!$B$15),$C102,$D102)))))</f>
        <v/>
      </c>
      <c r="H102" s="3" t="str">
        <f t="shared" si="9"/>
        <v/>
      </c>
      <c r="I102" s="4" t="str">
        <f t="shared" si="11"/>
        <v/>
      </c>
      <c r="J102" s="4" t="str">
        <f t="shared" si="12"/>
        <v/>
      </c>
      <c r="K102" s="4" t="str">
        <f t="shared" si="13"/>
        <v/>
      </c>
      <c r="L102" s="4" t="str">
        <f t="shared" si="14"/>
        <v/>
      </c>
      <c r="M102" s="4" t="str">
        <f t="shared" si="10"/>
        <v/>
      </c>
      <c r="N102" s="4" t="str">
        <f t="shared" si="15"/>
        <v/>
      </c>
      <c r="O102" s="4" t="str">
        <f>IF($B102="","",Inputs!$B$15-$M101)</f>
        <v/>
      </c>
      <c r="P102" s="3" t="str">
        <f t="shared" si="16"/>
        <v/>
      </c>
      <c r="Q102" s="3" t="str">
        <f t="shared" si="17"/>
        <v/>
      </c>
      <c r="R102" s="3" t="str">
        <f>IF($B102="","",IF($Q102,($L101+$N101+$G102)&gt;Inputs!$B$16,FALSE))</f>
        <v/>
      </c>
      <c r="S102" s="3" t="str">
        <f>IF($B102="","",IF(OR($F102&gt;Inputs!$B$15,$G102&gt;Inputs!$B$16),"TOO BIG",IF($R102,"NEW SHEET",IF($Q102,"NEW ROW","OK"))))</f>
        <v/>
      </c>
    </row>
    <row r="103" spans="1:19" x14ac:dyDescent="0.2">
      <c r="A103" s="4">
        <v>97</v>
      </c>
      <c r="B103" s="3" t="str">
        <f>IF(SortedPieces!$B99="","",SortedPieces!$B99)</f>
        <v/>
      </c>
      <c r="C103" s="4" t="str">
        <f>IF(SortedPieces!$C99="","",SortedPieces!$C99)</f>
        <v/>
      </c>
      <c r="D103" s="4" t="str">
        <f>IF(SortedPieces!$D99="","",SortedPieces!$D99)</f>
        <v/>
      </c>
      <c r="E103" s="3" t="str">
        <f>IF(SortedPieces!$E99="","",SortedPieces!$E99)</f>
        <v/>
      </c>
      <c r="F103" s="4" t="str">
        <f>IF($B103="","",IF($C103&lt;=$O103,$C103,IF(AND($E103="Y",$D103&lt;=$O103),$D103,IF(AND($E103="Y",$D103&lt;=Inputs!$B$15,$C103&lt;=Inputs!$B$15),IF($C103&lt;$D103,$D103,$C103),IF(AND($E103="Y",$D103&lt;=Inputs!$B$15),$D103,$C103)))))</f>
        <v/>
      </c>
      <c r="G103" s="4" t="str">
        <f>IF($B103="","",IF($C103&lt;=$O103,$D103,IF(AND($E103="Y",$D103&lt;=$O103),$C103,IF(AND($E103="Y",$D103&lt;=Inputs!$B$15,$C103&lt;=Inputs!$B$15),IF($C103&lt;$D103,$C103,$D103),IF(AND($E103="Y",$D103&lt;=Inputs!$B$15),$C103,$D103)))))</f>
        <v/>
      </c>
      <c r="H103" s="3" t="str">
        <f t="shared" si="9"/>
        <v/>
      </c>
      <c r="I103" s="4" t="str">
        <f t="shared" si="11"/>
        <v/>
      </c>
      <c r="J103" s="4" t="str">
        <f t="shared" si="12"/>
        <v/>
      </c>
      <c r="K103" s="4" t="str">
        <f t="shared" si="13"/>
        <v/>
      </c>
      <c r="L103" s="4" t="str">
        <f t="shared" si="14"/>
        <v/>
      </c>
      <c r="M103" s="4" t="str">
        <f t="shared" si="10"/>
        <v/>
      </c>
      <c r="N103" s="4" t="str">
        <f t="shared" si="15"/>
        <v/>
      </c>
      <c r="O103" s="4" t="str">
        <f>IF($B103="","",Inputs!$B$15-$M102)</f>
        <v/>
      </c>
      <c r="P103" s="3" t="str">
        <f t="shared" si="16"/>
        <v/>
      </c>
      <c r="Q103" s="3" t="str">
        <f t="shared" si="17"/>
        <v/>
      </c>
      <c r="R103" s="3" t="str">
        <f>IF($B103="","",IF($Q103,($L102+$N102+$G103)&gt;Inputs!$B$16,FALSE))</f>
        <v/>
      </c>
      <c r="S103" s="3" t="str">
        <f>IF($B103="","",IF(OR($F103&gt;Inputs!$B$15,$G103&gt;Inputs!$B$16),"TOO BIG",IF($R103,"NEW SHEET",IF($Q103,"NEW ROW","OK"))))</f>
        <v/>
      </c>
    </row>
    <row r="104" spans="1:19" x14ac:dyDescent="0.2">
      <c r="A104" s="4">
        <v>98</v>
      </c>
      <c r="B104" s="3" t="str">
        <f>IF(SortedPieces!$B100="","",SortedPieces!$B100)</f>
        <v/>
      </c>
      <c r="C104" s="4" t="str">
        <f>IF(SortedPieces!$C100="","",SortedPieces!$C100)</f>
        <v/>
      </c>
      <c r="D104" s="4" t="str">
        <f>IF(SortedPieces!$D100="","",SortedPieces!$D100)</f>
        <v/>
      </c>
      <c r="E104" s="3" t="str">
        <f>IF(SortedPieces!$E100="","",SortedPieces!$E100)</f>
        <v/>
      </c>
      <c r="F104" s="4" t="str">
        <f>IF($B104="","",IF($C104&lt;=$O104,$C104,IF(AND($E104="Y",$D104&lt;=$O104),$D104,IF(AND($E104="Y",$D104&lt;=Inputs!$B$15,$C104&lt;=Inputs!$B$15),IF($C104&lt;$D104,$D104,$C104),IF(AND($E104="Y",$D104&lt;=Inputs!$B$15),$D104,$C104)))))</f>
        <v/>
      </c>
      <c r="G104" s="4" t="str">
        <f>IF($B104="","",IF($C104&lt;=$O104,$D104,IF(AND($E104="Y",$D104&lt;=$O104),$C104,IF(AND($E104="Y",$D104&lt;=Inputs!$B$15,$C104&lt;=Inputs!$B$15),IF($C104&lt;$D104,$C104,$D104),IF(AND($E104="Y",$D104&lt;=Inputs!$B$15),$C104,$D104)))))</f>
        <v/>
      </c>
      <c r="H104" s="3" t="str">
        <f t="shared" si="9"/>
        <v/>
      </c>
      <c r="I104" s="4" t="str">
        <f t="shared" si="11"/>
        <v/>
      </c>
      <c r="J104" s="4" t="str">
        <f t="shared" si="12"/>
        <v/>
      </c>
      <c r="K104" s="4" t="str">
        <f t="shared" si="13"/>
        <v/>
      </c>
      <c r="L104" s="4" t="str">
        <f t="shared" si="14"/>
        <v/>
      </c>
      <c r="M104" s="4" t="str">
        <f t="shared" si="10"/>
        <v/>
      </c>
      <c r="N104" s="4" t="str">
        <f t="shared" si="15"/>
        <v/>
      </c>
      <c r="O104" s="4" t="str">
        <f>IF($B104="","",Inputs!$B$15-$M103)</f>
        <v/>
      </c>
      <c r="P104" s="3" t="str">
        <f t="shared" si="16"/>
        <v/>
      </c>
      <c r="Q104" s="3" t="str">
        <f t="shared" si="17"/>
        <v/>
      </c>
      <c r="R104" s="3" t="str">
        <f>IF($B104="","",IF($Q104,($L103+$N103+$G104)&gt;Inputs!$B$16,FALSE))</f>
        <v/>
      </c>
      <c r="S104" s="3" t="str">
        <f>IF($B104="","",IF(OR($F104&gt;Inputs!$B$15,$G104&gt;Inputs!$B$16),"TOO BIG",IF($R104,"NEW SHEET",IF($Q104,"NEW ROW","OK"))))</f>
        <v/>
      </c>
    </row>
    <row r="105" spans="1:19" x14ac:dyDescent="0.2">
      <c r="A105" s="4">
        <v>99</v>
      </c>
      <c r="B105" s="3" t="str">
        <f>IF(SortedPieces!$B101="","",SortedPieces!$B101)</f>
        <v/>
      </c>
      <c r="C105" s="4" t="str">
        <f>IF(SortedPieces!$C101="","",SortedPieces!$C101)</f>
        <v/>
      </c>
      <c r="D105" s="4" t="str">
        <f>IF(SortedPieces!$D101="","",SortedPieces!$D101)</f>
        <v/>
      </c>
      <c r="E105" s="3" t="str">
        <f>IF(SortedPieces!$E101="","",SortedPieces!$E101)</f>
        <v/>
      </c>
      <c r="F105" s="4" t="str">
        <f>IF($B105="","",IF($C105&lt;=$O105,$C105,IF(AND($E105="Y",$D105&lt;=$O105),$D105,IF(AND($E105="Y",$D105&lt;=Inputs!$B$15,$C105&lt;=Inputs!$B$15),IF($C105&lt;$D105,$D105,$C105),IF(AND($E105="Y",$D105&lt;=Inputs!$B$15),$D105,$C105)))))</f>
        <v/>
      </c>
      <c r="G105" s="4" t="str">
        <f>IF($B105="","",IF($C105&lt;=$O105,$D105,IF(AND($E105="Y",$D105&lt;=$O105),$C105,IF(AND($E105="Y",$D105&lt;=Inputs!$B$15,$C105&lt;=Inputs!$B$15),IF($C105&lt;$D105,$C105,$D105),IF(AND($E105="Y",$D105&lt;=Inputs!$B$15),$C105,$D105)))))</f>
        <v/>
      </c>
      <c r="H105" s="3" t="str">
        <f t="shared" si="9"/>
        <v/>
      </c>
      <c r="I105" s="4" t="str">
        <f t="shared" si="11"/>
        <v/>
      </c>
      <c r="J105" s="4" t="str">
        <f t="shared" si="12"/>
        <v/>
      </c>
      <c r="K105" s="4" t="str">
        <f t="shared" si="13"/>
        <v/>
      </c>
      <c r="L105" s="4" t="str">
        <f t="shared" si="14"/>
        <v/>
      </c>
      <c r="M105" s="4" t="str">
        <f t="shared" si="10"/>
        <v/>
      </c>
      <c r="N105" s="4" t="str">
        <f t="shared" si="15"/>
        <v/>
      </c>
      <c r="O105" s="4" t="str">
        <f>IF($B105="","",Inputs!$B$15-$M104)</f>
        <v/>
      </c>
      <c r="P105" s="3" t="str">
        <f t="shared" si="16"/>
        <v/>
      </c>
      <c r="Q105" s="3" t="str">
        <f t="shared" si="17"/>
        <v/>
      </c>
      <c r="R105" s="3" t="str">
        <f>IF($B105="","",IF($Q105,($L104+$N104+$G105)&gt;Inputs!$B$16,FALSE))</f>
        <v/>
      </c>
      <c r="S105" s="3" t="str">
        <f>IF($B105="","",IF(OR($F105&gt;Inputs!$B$15,$G105&gt;Inputs!$B$16),"TOO BIG",IF($R105,"NEW SHEET",IF($Q105,"NEW ROW","OK"))))</f>
        <v/>
      </c>
    </row>
    <row r="106" spans="1:19" x14ac:dyDescent="0.2">
      <c r="A106" s="4">
        <v>100</v>
      </c>
      <c r="B106" s="3" t="str">
        <f>IF(SortedPieces!$B102="","",SortedPieces!$B102)</f>
        <v/>
      </c>
      <c r="C106" s="4" t="str">
        <f>IF(SortedPieces!$C102="","",SortedPieces!$C102)</f>
        <v/>
      </c>
      <c r="D106" s="4" t="str">
        <f>IF(SortedPieces!$D102="","",SortedPieces!$D102)</f>
        <v/>
      </c>
      <c r="E106" s="3" t="str">
        <f>IF(SortedPieces!$E102="","",SortedPieces!$E102)</f>
        <v/>
      </c>
      <c r="F106" s="4" t="str">
        <f>IF($B106="","",IF($C106&lt;=$O106,$C106,IF(AND($E106="Y",$D106&lt;=$O106),$D106,IF(AND($E106="Y",$D106&lt;=Inputs!$B$15,$C106&lt;=Inputs!$B$15),IF($C106&lt;$D106,$D106,$C106),IF(AND($E106="Y",$D106&lt;=Inputs!$B$15),$D106,$C106)))))</f>
        <v/>
      </c>
      <c r="G106" s="4" t="str">
        <f>IF($B106="","",IF($C106&lt;=$O106,$D106,IF(AND($E106="Y",$D106&lt;=$O106),$C106,IF(AND($E106="Y",$D106&lt;=Inputs!$B$15,$C106&lt;=Inputs!$B$15),IF($C106&lt;$D106,$C106,$D106),IF(AND($E106="Y",$D106&lt;=Inputs!$B$15),$C106,$D106)))))</f>
        <v/>
      </c>
      <c r="H106" s="3" t="str">
        <f t="shared" si="9"/>
        <v/>
      </c>
      <c r="I106" s="4" t="str">
        <f t="shared" si="11"/>
        <v/>
      </c>
      <c r="J106" s="4" t="str">
        <f t="shared" si="12"/>
        <v/>
      </c>
      <c r="K106" s="4" t="str">
        <f t="shared" si="13"/>
        <v/>
      </c>
      <c r="L106" s="4" t="str">
        <f t="shared" si="14"/>
        <v/>
      </c>
      <c r="M106" s="4" t="str">
        <f t="shared" si="10"/>
        <v/>
      </c>
      <c r="N106" s="4" t="str">
        <f t="shared" si="15"/>
        <v/>
      </c>
      <c r="O106" s="4" t="str">
        <f>IF($B106="","",Inputs!$B$15-$M105)</f>
        <v/>
      </c>
      <c r="P106" s="3" t="str">
        <f t="shared" si="16"/>
        <v/>
      </c>
      <c r="Q106" s="3" t="str">
        <f t="shared" si="17"/>
        <v/>
      </c>
      <c r="R106" s="3" t="str">
        <f>IF($B106="","",IF($Q106,($L105+$N105+$G106)&gt;Inputs!$B$16,FALSE))</f>
        <v/>
      </c>
      <c r="S106" s="3" t="str">
        <f>IF($B106="","",IF(OR($F106&gt;Inputs!$B$15,$G106&gt;Inputs!$B$16),"TOO BIG",IF($R106,"NEW SHEET",IF($Q106,"NEW ROW","OK"))))</f>
        <v/>
      </c>
    </row>
    <row r="107" spans="1:19" x14ac:dyDescent="0.2">
      <c r="A107" s="4">
        <v>101</v>
      </c>
      <c r="B107" s="3" t="str">
        <f>IF(SortedPieces!$B103="","",SortedPieces!$B103)</f>
        <v/>
      </c>
      <c r="C107" s="4" t="str">
        <f>IF(SortedPieces!$C103="","",SortedPieces!$C103)</f>
        <v/>
      </c>
      <c r="D107" s="4" t="str">
        <f>IF(SortedPieces!$D103="","",SortedPieces!$D103)</f>
        <v/>
      </c>
      <c r="E107" s="3" t="str">
        <f>IF(SortedPieces!$E103="","",SortedPieces!$E103)</f>
        <v/>
      </c>
      <c r="F107" s="4" t="str">
        <f>IF($B107="","",IF($C107&lt;=$O107,$C107,IF(AND($E107="Y",$D107&lt;=$O107),$D107,IF(AND($E107="Y",$D107&lt;=Inputs!$B$15,$C107&lt;=Inputs!$B$15),IF($C107&lt;$D107,$D107,$C107),IF(AND($E107="Y",$D107&lt;=Inputs!$B$15),$D107,$C107)))))</f>
        <v/>
      </c>
      <c r="G107" s="4" t="str">
        <f>IF($B107="","",IF($C107&lt;=$O107,$D107,IF(AND($E107="Y",$D107&lt;=$O107),$C107,IF(AND($E107="Y",$D107&lt;=Inputs!$B$15,$C107&lt;=Inputs!$B$15),IF($C107&lt;$D107,$C107,$D107),IF(AND($E107="Y",$D107&lt;=Inputs!$B$15),$C107,$D107)))))</f>
        <v/>
      </c>
      <c r="H107" s="3" t="str">
        <f t="shared" si="9"/>
        <v/>
      </c>
      <c r="I107" s="4" t="str">
        <f t="shared" si="11"/>
        <v/>
      </c>
      <c r="J107" s="4" t="str">
        <f t="shared" si="12"/>
        <v/>
      </c>
      <c r="K107" s="4" t="str">
        <f t="shared" si="13"/>
        <v/>
      </c>
      <c r="L107" s="4" t="str">
        <f t="shared" si="14"/>
        <v/>
      </c>
      <c r="M107" s="4" t="str">
        <f t="shared" si="10"/>
        <v/>
      </c>
      <c r="N107" s="4" t="str">
        <f t="shared" si="15"/>
        <v/>
      </c>
      <c r="O107" s="4" t="str">
        <f>IF($B107="","",Inputs!$B$15-$M106)</f>
        <v/>
      </c>
      <c r="P107" s="3" t="str">
        <f t="shared" si="16"/>
        <v/>
      </c>
      <c r="Q107" s="3" t="str">
        <f t="shared" si="17"/>
        <v/>
      </c>
      <c r="R107" s="3" t="str">
        <f>IF($B107="","",IF($Q107,($L106+$N106+$G107)&gt;Inputs!$B$16,FALSE))</f>
        <v/>
      </c>
      <c r="S107" s="3" t="str">
        <f>IF($B107="","",IF(OR($F107&gt;Inputs!$B$15,$G107&gt;Inputs!$B$16),"TOO BIG",IF($R107,"NEW SHEET",IF($Q107,"NEW ROW","OK"))))</f>
        <v/>
      </c>
    </row>
    <row r="108" spans="1:19" x14ac:dyDescent="0.2">
      <c r="A108" s="4">
        <v>102</v>
      </c>
      <c r="B108" s="3" t="str">
        <f>IF(SortedPieces!$B104="","",SortedPieces!$B104)</f>
        <v/>
      </c>
      <c r="C108" s="4" t="str">
        <f>IF(SortedPieces!$C104="","",SortedPieces!$C104)</f>
        <v/>
      </c>
      <c r="D108" s="4" t="str">
        <f>IF(SortedPieces!$D104="","",SortedPieces!$D104)</f>
        <v/>
      </c>
      <c r="E108" s="3" t="str">
        <f>IF(SortedPieces!$E104="","",SortedPieces!$E104)</f>
        <v/>
      </c>
      <c r="F108" s="4" t="str">
        <f>IF($B108="","",IF($C108&lt;=$O108,$C108,IF(AND($E108="Y",$D108&lt;=$O108),$D108,IF(AND($E108="Y",$D108&lt;=Inputs!$B$15,$C108&lt;=Inputs!$B$15),IF($C108&lt;$D108,$D108,$C108),IF(AND($E108="Y",$D108&lt;=Inputs!$B$15),$D108,$C108)))))</f>
        <v/>
      </c>
      <c r="G108" s="4" t="str">
        <f>IF($B108="","",IF($C108&lt;=$O108,$D108,IF(AND($E108="Y",$D108&lt;=$O108),$C108,IF(AND($E108="Y",$D108&lt;=Inputs!$B$15,$C108&lt;=Inputs!$B$15),IF($C108&lt;$D108,$C108,$D108),IF(AND($E108="Y",$D108&lt;=Inputs!$B$15),$C108,$D108)))))</f>
        <v/>
      </c>
      <c r="H108" s="3" t="str">
        <f t="shared" si="9"/>
        <v/>
      </c>
      <c r="I108" s="4" t="str">
        <f t="shared" si="11"/>
        <v/>
      </c>
      <c r="J108" s="4" t="str">
        <f t="shared" si="12"/>
        <v/>
      </c>
      <c r="K108" s="4" t="str">
        <f t="shared" si="13"/>
        <v/>
      </c>
      <c r="L108" s="4" t="str">
        <f t="shared" si="14"/>
        <v/>
      </c>
      <c r="M108" s="4" t="str">
        <f t="shared" si="10"/>
        <v/>
      </c>
      <c r="N108" s="4" t="str">
        <f t="shared" si="15"/>
        <v/>
      </c>
      <c r="O108" s="4" t="str">
        <f>IF($B108="","",Inputs!$B$15-$M107)</f>
        <v/>
      </c>
      <c r="P108" s="3" t="str">
        <f t="shared" si="16"/>
        <v/>
      </c>
      <c r="Q108" s="3" t="str">
        <f t="shared" si="17"/>
        <v/>
      </c>
      <c r="R108" s="3" t="str">
        <f>IF($B108="","",IF($Q108,($L107+$N107+$G108)&gt;Inputs!$B$16,FALSE))</f>
        <v/>
      </c>
      <c r="S108" s="3" t="str">
        <f>IF($B108="","",IF(OR($F108&gt;Inputs!$B$15,$G108&gt;Inputs!$B$16),"TOO BIG",IF($R108,"NEW SHEET",IF($Q108,"NEW ROW","OK"))))</f>
        <v/>
      </c>
    </row>
    <row r="109" spans="1:19" x14ac:dyDescent="0.2">
      <c r="A109" s="4">
        <v>103</v>
      </c>
      <c r="B109" s="3" t="str">
        <f>IF(SortedPieces!$B105="","",SortedPieces!$B105)</f>
        <v/>
      </c>
      <c r="C109" s="4" t="str">
        <f>IF(SortedPieces!$C105="","",SortedPieces!$C105)</f>
        <v/>
      </c>
      <c r="D109" s="4" t="str">
        <f>IF(SortedPieces!$D105="","",SortedPieces!$D105)</f>
        <v/>
      </c>
      <c r="E109" s="3" t="str">
        <f>IF(SortedPieces!$E105="","",SortedPieces!$E105)</f>
        <v/>
      </c>
      <c r="F109" s="4" t="str">
        <f>IF($B109="","",IF($C109&lt;=$O109,$C109,IF(AND($E109="Y",$D109&lt;=$O109),$D109,IF(AND($E109="Y",$D109&lt;=Inputs!$B$15,$C109&lt;=Inputs!$B$15),IF($C109&lt;$D109,$D109,$C109),IF(AND($E109="Y",$D109&lt;=Inputs!$B$15),$D109,$C109)))))</f>
        <v/>
      </c>
      <c r="G109" s="4" t="str">
        <f>IF($B109="","",IF($C109&lt;=$O109,$D109,IF(AND($E109="Y",$D109&lt;=$O109),$C109,IF(AND($E109="Y",$D109&lt;=Inputs!$B$15,$C109&lt;=Inputs!$B$15),IF($C109&lt;$D109,$C109,$D109),IF(AND($E109="Y",$D109&lt;=Inputs!$B$15),$C109,$D109)))))</f>
        <v/>
      </c>
      <c r="H109" s="3" t="str">
        <f t="shared" si="9"/>
        <v/>
      </c>
      <c r="I109" s="4" t="str">
        <f t="shared" si="11"/>
        <v/>
      </c>
      <c r="J109" s="4" t="str">
        <f t="shared" si="12"/>
        <v/>
      </c>
      <c r="K109" s="4" t="str">
        <f t="shared" si="13"/>
        <v/>
      </c>
      <c r="L109" s="4" t="str">
        <f t="shared" si="14"/>
        <v/>
      </c>
      <c r="M109" s="4" t="str">
        <f t="shared" si="10"/>
        <v/>
      </c>
      <c r="N109" s="4" t="str">
        <f t="shared" si="15"/>
        <v/>
      </c>
      <c r="O109" s="4" t="str">
        <f>IF($B109="","",Inputs!$B$15-$M108)</f>
        <v/>
      </c>
      <c r="P109" s="3" t="str">
        <f t="shared" si="16"/>
        <v/>
      </c>
      <c r="Q109" s="3" t="str">
        <f t="shared" si="17"/>
        <v/>
      </c>
      <c r="R109" s="3" t="str">
        <f>IF($B109="","",IF($Q109,($L108+$N108+$G109)&gt;Inputs!$B$16,FALSE))</f>
        <v/>
      </c>
      <c r="S109" s="3" t="str">
        <f>IF($B109="","",IF(OR($F109&gt;Inputs!$B$15,$G109&gt;Inputs!$B$16),"TOO BIG",IF($R109,"NEW SHEET",IF($Q109,"NEW ROW","OK"))))</f>
        <v/>
      </c>
    </row>
    <row r="110" spans="1:19" x14ac:dyDescent="0.2">
      <c r="A110" s="4">
        <v>104</v>
      </c>
      <c r="B110" s="3" t="str">
        <f>IF(SortedPieces!$B106="","",SortedPieces!$B106)</f>
        <v/>
      </c>
      <c r="C110" s="4" t="str">
        <f>IF(SortedPieces!$C106="","",SortedPieces!$C106)</f>
        <v/>
      </c>
      <c r="D110" s="4" t="str">
        <f>IF(SortedPieces!$D106="","",SortedPieces!$D106)</f>
        <v/>
      </c>
      <c r="E110" s="3" t="str">
        <f>IF(SortedPieces!$E106="","",SortedPieces!$E106)</f>
        <v/>
      </c>
      <c r="F110" s="4" t="str">
        <f>IF($B110="","",IF($C110&lt;=$O110,$C110,IF(AND($E110="Y",$D110&lt;=$O110),$D110,IF(AND($E110="Y",$D110&lt;=Inputs!$B$15,$C110&lt;=Inputs!$B$15),IF($C110&lt;$D110,$D110,$C110),IF(AND($E110="Y",$D110&lt;=Inputs!$B$15),$D110,$C110)))))</f>
        <v/>
      </c>
      <c r="G110" s="4" t="str">
        <f>IF($B110="","",IF($C110&lt;=$O110,$D110,IF(AND($E110="Y",$D110&lt;=$O110),$C110,IF(AND($E110="Y",$D110&lt;=Inputs!$B$15,$C110&lt;=Inputs!$B$15),IF($C110&lt;$D110,$C110,$D110),IF(AND($E110="Y",$D110&lt;=Inputs!$B$15),$C110,$D110)))))</f>
        <v/>
      </c>
      <c r="H110" s="3" t="str">
        <f t="shared" si="9"/>
        <v/>
      </c>
      <c r="I110" s="4" t="str">
        <f t="shared" si="11"/>
        <v/>
      </c>
      <c r="J110" s="4" t="str">
        <f t="shared" si="12"/>
        <v/>
      </c>
      <c r="K110" s="4" t="str">
        <f t="shared" si="13"/>
        <v/>
      </c>
      <c r="L110" s="4" t="str">
        <f t="shared" si="14"/>
        <v/>
      </c>
      <c r="M110" s="4" t="str">
        <f t="shared" si="10"/>
        <v/>
      </c>
      <c r="N110" s="4" t="str">
        <f t="shared" si="15"/>
        <v/>
      </c>
      <c r="O110" s="4" t="str">
        <f>IF($B110="","",Inputs!$B$15-$M109)</f>
        <v/>
      </c>
      <c r="P110" s="3" t="str">
        <f t="shared" si="16"/>
        <v/>
      </c>
      <c r="Q110" s="3" t="str">
        <f t="shared" si="17"/>
        <v/>
      </c>
      <c r="R110" s="3" t="str">
        <f>IF($B110="","",IF($Q110,($L109+$N109+$G110)&gt;Inputs!$B$16,FALSE))</f>
        <v/>
      </c>
      <c r="S110" s="3" t="str">
        <f>IF($B110="","",IF(OR($F110&gt;Inputs!$B$15,$G110&gt;Inputs!$B$16),"TOO BIG",IF($R110,"NEW SHEET",IF($Q110,"NEW ROW","OK"))))</f>
        <v/>
      </c>
    </row>
    <row r="111" spans="1:19" x14ac:dyDescent="0.2">
      <c r="A111" s="4">
        <v>105</v>
      </c>
      <c r="B111" s="3" t="str">
        <f>IF(SortedPieces!$B107="","",SortedPieces!$B107)</f>
        <v/>
      </c>
      <c r="C111" s="4" t="str">
        <f>IF(SortedPieces!$C107="","",SortedPieces!$C107)</f>
        <v/>
      </c>
      <c r="D111" s="4" t="str">
        <f>IF(SortedPieces!$D107="","",SortedPieces!$D107)</f>
        <v/>
      </c>
      <c r="E111" s="3" t="str">
        <f>IF(SortedPieces!$E107="","",SortedPieces!$E107)</f>
        <v/>
      </c>
      <c r="F111" s="4" t="str">
        <f>IF($B111="","",IF($C111&lt;=$O111,$C111,IF(AND($E111="Y",$D111&lt;=$O111),$D111,IF(AND($E111="Y",$D111&lt;=Inputs!$B$15,$C111&lt;=Inputs!$B$15),IF($C111&lt;$D111,$D111,$C111),IF(AND($E111="Y",$D111&lt;=Inputs!$B$15),$D111,$C111)))))</f>
        <v/>
      </c>
      <c r="G111" s="4" t="str">
        <f>IF($B111="","",IF($C111&lt;=$O111,$D111,IF(AND($E111="Y",$D111&lt;=$O111),$C111,IF(AND($E111="Y",$D111&lt;=Inputs!$B$15,$C111&lt;=Inputs!$B$15),IF($C111&lt;$D111,$C111,$D111),IF(AND($E111="Y",$D111&lt;=Inputs!$B$15),$C111,$D111)))))</f>
        <v/>
      </c>
      <c r="H111" s="3" t="str">
        <f t="shared" si="9"/>
        <v/>
      </c>
      <c r="I111" s="4" t="str">
        <f t="shared" si="11"/>
        <v/>
      </c>
      <c r="J111" s="4" t="str">
        <f t="shared" si="12"/>
        <v/>
      </c>
      <c r="K111" s="4" t="str">
        <f t="shared" si="13"/>
        <v/>
      </c>
      <c r="L111" s="4" t="str">
        <f t="shared" si="14"/>
        <v/>
      </c>
      <c r="M111" s="4" t="str">
        <f t="shared" si="10"/>
        <v/>
      </c>
      <c r="N111" s="4" t="str">
        <f t="shared" si="15"/>
        <v/>
      </c>
      <c r="O111" s="4" t="str">
        <f>IF($B111="","",Inputs!$B$15-$M110)</f>
        <v/>
      </c>
      <c r="P111" s="3" t="str">
        <f t="shared" si="16"/>
        <v/>
      </c>
      <c r="Q111" s="3" t="str">
        <f t="shared" si="17"/>
        <v/>
      </c>
      <c r="R111" s="3" t="str">
        <f>IF($B111="","",IF($Q111,($L110+$N110+$G111)&gt;Inputs!$B$16,FALSE))</f>
        <v/>
      </c>
      <c r="S111" s="3" t="str">
        <f>IF($B111="","",IF(OR($F111&gt;Inputs!$B$15,$G111&gt;Inputs!$B$16),"TOO BIG",IF($R111,"NEW SHEET",IF($Q111,"NEW ROW","OK"))))</f>
        <v/>
      </c>
    </row>
    <row r="112" spans="1:19" x14ac:dyDescent="0.2">
      <c r="A112" s="4">
        <v>106</v>
      </c>
      <c r="B112" s="3" t="str">
        <f>IF(SortedPieces!$B108="","",SortedPieces!$B108)</f>
        <v/>
      </c>
      <c r="C112" s="4" t="str">
        <f>IF(SortedPieces!$C108="","",SortedPieces!$C108)</f>
        <v/>
      </c>
      <c r="D112" s="4" t="str">
        <f>IF(SortedPieces!$D108="","",SortedPieces!$D108)</f>
        <v/>
      </c>
      <c r="E112" s="3" t="str">
        <f>IF(SortedPieces!$E108="","",SortedPieces!$E108)</f>
        <v/>
      </c>
      <c r="F112" s="4" t="str">
        <f>IF($B112="","",IF($C112&lt;=$O112,$C112,IF(AND($E112="Y",$D112&lt;=$O112),$D112,IF(AND($E112="Y",$D112&lt;=Inputs!$B$15,$C112&lt;=Inputs!$B$15),IF($C112&lt;$D112,$D112,$C112),IF(AND($E112="Y",$D112&lt;=Inputs!$B$15),$D112,$C112)))))</f>
        <v/>
      </c>
      <c r="G112" s="4" t="str">
        <f>IF($B112="","",IF($C112&lt;=$O112,$D112,IF(AND($E112="Y",$D112&lt;=$O112),$C112,IF(AND($E112="Y",$D112&lt;=Inputs!$B$15,$C112&lt;=Inputs!$B$15),IF($C112&lt;$D112,$C112,$D112),IF(AND($E112="Y",$D112&lt;=Inputs!$B$15),$C112,$D112)))))</f>
        <v/>
      </c>
      <c r="H112" s="3" t="str">
        <f t="shared" si="9"/>
        <v/>
      </c>
      <c r="I112" s="4" t="str">
        <f t="shared" si="11"/>
        <v/>
      </c>
      <c r="J112" s="4" t="str">
        <f t="shared" si="12"/>
        <v/>
      </c>
      <c r="K112" s="4" t="str">
        <f t="shared" si="13"/>
        <v/>
      </c>
      <c r="L112" s="4" t="str">
        <f t="shared" si="14"/>
        <v/>
      </c>
      <c r="M112" s="4" t="str">
        <f t="shared" si="10"/>
        <v/>
      </c>
      <c r="N112" s="4" t="str">
        <f t="shared" si="15"/>
        <v/>
      </c>
      <c r="O112" s="4" t="str">
        <f>IF($B112="","",Inputs!$B$15-$M111)</f>
        <v/>
      </c>
      <c r="P112" s="3" t="str">
        <f t="shared" si="16"/>
        <v/>
      </c>
      <c r="Q112" s="3" t="str">
        <f t="shared" si="17"/>
        <v/>
      </c>
      <c r="R112" s="3" t="str">
        <f>IF($B112="","",IF($Q112,($L111+$N111+$G112)&gt;Inputs!$B$16,FALSE))</f>
        <v/>
      </c>
      <c r="S112" s="3" t="str">
        <f>IF($B112="","",IF(OR($F112&gt;Inputs!$B$15,$G112&gt;Inputs!$B$16),"TOO BIG",IF($R112,"NEW SHEET",IF($Q112,"NEW ROW","OK"))))</f>
        <v/>
      </c>
    </row>
    <row r="113" spans="1:19" x14ac:dyDescent="0.2">
      <c r="A113" s="4">
        <v>107</v>
      </c>
      <c r="B113" s="3" t="str">
        <f>IF(SortedPieces!$B109="","",SortedPieces!$B109)</f>
        <v/>
      </c>
      <c r="C113" s="4" t="str">
        <f>IF(SortedPieces!$C109="","",SortedPieces!$C109)</f>
        <v/>
      </c>
      <c r="D113" s="4" t="str">
        <f>IF(SortedPieces!$D109="","",SortedPieces!$D109)</f>
        <v/>
      </c>
      <c r="E113" s="3" t="str">
        <f>IF(SortedPieces!$E109="","",SortedPieces!$E109)</f>
        <v/>
      </c>
      <c r="F113" s="4" t="str">
        <f>IF($B113="","",IF($C113&lt;=$O113,$C113,IF(AND($E113="Y",$D113&lt;=$O113),$D113,IF(AND($E113="Y",$D113&lt;=Inputs!$B$15,$C113&lt;=Inputs!$B$15),IF($C113&lt;$D113,$D113,$C113),IF(AND($E113="Y",$D113&lt;=Inputs!$B$15),$D113,$C113)))))</f>
        <v/>
      </c>
      <c r="G113" s="4" t="str">
        <f>IF($B113="","",IF($C113&lt;=$O113,$D113,IF(AND($E113="Y",$D113&lt;=$O113),$C113,IF(AND($E113="Y",$D113&lt;=Inputs!$B$15,$C113&lt;=Inputs!$B$15),IF($C113&lt;$D113,$C113,$D113),IF(AND($E113="Y",$D113&lt;=Inputs!$B$15),$C113,$D113)))))</f>
        <v/>
      </c>
      <c r="H113" s="3" t="str">
        <f t="shared" si="9"/>
        <v/>
      </c>
      <c r="I113" s="4" t="str">
        <f t="shared" si="11"/>
        <v/>
      </c>
      <c r="J113" s="4" t="str">
        <f t="shared" si="12"/>
        <v/>
      </c>
      <c r="K113" s="4" t="str">
        <f t="shared" si="13"/>
        <v/>
      </c>
      <c r="L113" s="4" t="str">
        <f t="shared" si="14"/>
        <v/>
      </c>
      <c r="M113" s="4" t="str">
        <f t="shared" si="10"/>
        <v/>
      </c>
      <c r="N113" s="4" t="str">
        <f t="shared" si="15"/>
        <v/>
      </c>
      <c r="O113" s="4" t="str">
        <f>IF($B113="","",Inputs!$B$15-$M112)</f>
        <v/>
      </c>
      <c r="P113" s="3" t="str">
        <f t="shared" si="16"/>
        <v/>
      </c>
      <c r="Q113" s="3" t="str">
        <f t="shared" si="17"/>
        <v/>
      </c>
      <c r="R113" s="3" t="str">
        <f>IF($B113="","",IF($Q113,($L112+$N112+$G113)&gt;Inputs!$B$16,FALSE))</f>
        <v/>
      </c>
      <c r="S113" s="3" t="str">
        <f>IF($B113="","",IF(OR($F113&gt;Inputs!$B$15,$G113&gt;Inputs!$B$16),"TOO BIG",IF($R113,"NEW SHEET",IF($Q113,"NEW ROW","OK"))))</f>
        <v/>
      </c>
    </row>
    <row r="114" spans="1:19" x14ac:dyDescent="0.2">
      <c r="A114" s="4">
        <v>108</v>
      </c>
      <c r="B114" s="3" t="str">
        <f>IF(SortedPieces!$B110="","",SortedPieces!$B110)</f>
        <v/>
      </c>
      <c r="C114" s="4" t="str">
        <f>IF(SortedPieces!$C110="","",SortedPieces!$C110)</f>
        <v/>
      </c>
      <c r="D114" s="4" t="str">
        <f>IF(SortedPieces!$D110="","",SortedPieces!$D110)</f>
        <v/>
      </c>
      <c r="E114" s="3" t="str">
        <f>IF(SortedPieces!$E110="","",SortedPieces!$E110)</f>
        <v/>
      </c>
      <c r="F114" s="4" t="str">
        <f>IF($B114="","",IF($C114&lt;=$O114,$C114,IF(AND($E114="Y",$D114&lt;=$O114),$D114,IF(AND($E114="Y",$D114&lt;=Inputs!$B$15,$C114&lt;=Inputs!$B$15),IF($C114&lt;$D114,$D114,$C114),IF(AND($E114="Y",$D114&lt;=Inputs!$B$15),$D114,$C114)))))</f>
        <v/>
      </c>
      <c r="G114" s="4" t="str">
        <f>IF($B114="","",IF($C114&lt;=$O114,$D114,IF(AND($E114="Y",$D114&lt;=$O114),$C114,IF(AND($E114="Y",$D114&lt;=Inputs!$B$15,$C114&lt;=Inputs!$B$15),IF($C114&lt;$D114,$C114,$D114),IF(AND($E114="Y",$D114&lt;=Inputs!$B$15),$C114,$D114)))))</f>
        <v/>
      </c>
      <c r="H114" s="3" t="str">
        <f t="shared" si="9"/>
        <v/>
      </c>
      <c r="I114" s="4" t="str">
        <f t="shared" si="11"/>
        <v/>
      </c>
      <c r="J114" s="4" t="str">
        <f t="shared" si="12"/>
        <v/>
      </c>
      <c r="K114" s="4" t="str">
        <f t="shared" si="13"/>
        <v/>
      </c>
      <c r="L114" s="4" t="str">
        <f t="shared" si="14"/>
        <v/>
      </c>
      <c r="M114" s="4" t="str">
        <f t="shared" si="10"/>
        <v/>
      </c>
      <c r="N114" s="4" t="str">
        <f t="shared" si="15"/>
        <v/>
      </c>
      <c r="O114" s="4" t="str">
        <f>IF($B114="","",Inputs!$B$15-$M113)</f>
        <v/>
      </c>
      <c r="P114" s="3" t="str">
        <f t="shared" si="16"/>
        <v/>
      </c>
      <c r="Q114" s="3" t="str">
        <f t="shared" si="17"/>
        <v/>
      </c>
      <c r="R114" s="3" t="str">
        <f>IF($B114="","",IF($Q114,($L113+$N113+$G114)&gt;Inputs!$B$16,FALSE))</f>
        <v/>
      </c>
      <c r="S114" s="3" t="str">
        <f>IF($B114="","",IF(OR($F114&gt;Inputs!$B$15,$G114&gt;Inputs!$B$16),"TOO BIG",IF($R114,"NEW SHEET",IF($Q114,"NEW ROW","OK"))))</f>
        <v/>
      </c>
    </row>
    <row r="115" spans="1:19" x14ac:dyDescent="0.2">
      <c r="A115" s="4">
        <v>109</v>
      </c>
      <c r="B115" s="3" t="str">
        <f>IF(SortedPieces!$B111="","",SortedPieces!$B111)</f>
        <v/>
      </c>
      <c r="C115" s="4" t="str">
        <f>IF(SortedPieces!$C111="","",SortedPieces!$C111)</f>
        <v/>
      </c>
      <c r="D115" s="4" t="str">
        <f>IF(SortedPieces!$D111="","",SortedPieces!$D111)</f>
        <v/>
      </c>
      <c r="E115" s="3" t="str">
        <f>IF(SortedPieces!$E111="","",SortedPieces!$E111)</f>
        <v/>
      </c>
      <c r="F115" s="4" t="str">
        <f>IF($B115="","",IF($C115&lt;=$O115,$C115,IF(AND($E115="Y",$D115&lt;=$O115),$D115,IF(AND($E115="Y",$D115&lt;=Inputs!$B$15,$C115&lt;=Inputs!$B$15),IF($C115&lt;$D115,$D115,$C115),IF(AND($E115="Y",$D115&lt;=Inputs!$B$15),$D115,$C115)))))</f>
        <v/>
      </c>
      <c r="G115" s="4" t="str">
        <f>IF($B115="","",IF($C115&lt;=$O115,$D115,IF(AND($E115="Y",$D115&lt;=$O115),$C115,IF(AND($E115="Y",$D115&lt;=Inputs!$B$15,$C115&lt;=Inputs!$B$15),IF($C115&lt;$D115,$C115,$D115),IF(AND($E115="Y",$D115&lt;=Inputs!$B$15),$C115,$D115)))))</f>
        <v/>
      </c>
      <c r="H115" s="3" t="str">
        <f t="shared" si="9"/>
        <v/>
      </c>
      <c r="I115" s="4" t="str">
        <f t="shared" si="11"/>
        <v/>
      </c>
      <c r="J115" s="4" t="str">
        <f t="shared" si="12"/>
        <v/>
      </c>
      <c r="K115" s="4" t="str">
        <f t="shared" si="13"/>
        <v/>
      </c>
      <c r="L115" s="4" t="str">
        <f t="shared" si="14"/>
        <v/>
      </c>
      <c r="M115" s="4" t="str">
        <f t="shared" si="10"/>
        <v/>
      </c>
      <c r="N115" s="4" t="str">
        <f t="shared" si="15"/>
        <v/>
      </c>
      <c r="O115" s="4" t="str">
        <f>IF($B115="","",Inputs!$B$15-$M114)</f>
        <v/>
      </c>
      <c r="P115" s="3" t="str">
        <f t="shared" si="16"/>
        <v/>
      </c>
      <c r="Q115" s="3" t="str">
        <f t="shared" si="17"/>
        <v/>
      </c>
      <c r="R115" s="3" t="str">
        <f>IF($B115="","",IF($Q115,($L114+$N114+$G115)&gt;Inputs!$B$16,FALSE))</f>
        <v/>
      </c>
      <c r="S115" s="3" t="str">
        <f>IF($B115="","",IF(OR($F115&gt;Inputs!$B$15,$G115&gt;Inputs!$B$16),"TOO BIG",IF($R115,"NEW SHEET",IF($Q115,"NEW ROW","OK"))))</f>
        <v/>
      </c>
    </row>
    <row r="116" spans="1:19" x14ac:dyDescent="0.2">
      <c r="A116" s="4">
        <v>110</v>
      </c>
      <c r="B116" s="3" t="str">
        <f>IF(SortedPieces!$B112="","",SortedPieces!$B112)</f>
        <v/>
      </c>
      <c r="C116" s="4" t="str">
        <f>IF(SortedPieces!$C112="","",SortedPieces!$C112)</f>
        <v/>
      </c>
      <c r="D116" s="4" t="str">
        <f>IF(SortedPieces!$D112="","",SortedPieces!$D112)</f>
        <v/>
      </c>
      <c r="E116" s="3" t="str">
        <f>IF(SortedPieces!$E112="","",SortedPieces!$E112)</f>
        <v/>
      </c>
      <c r="F116" s="4" t="str">
        <f>IF($B116="","",IF($C116&lt;=$O116,$C116,IF(AND($E116="Y",$D116&lt;=$O116),$D116,IF(AND($E116="Y",$D116&lt;=Inputs!$B$15,$C116&lt;=Inputs!$B$15),IF($C116&lt;$D116,$D116,$C116),IF(AND($E116="Y",$D116&lt;=Inputs!$B$15),$D116,$C116)))))</f>
        <v/>
      </c>
      <c r="G116" s="4" t="str">
        <f>IF($B116="","",IF($C116&lt;=$O116,$D116,IF(AND($E116="Y",$D116&lt;=$O116),$C116,IF(AND($E116="Y",$D116&lt;=Inputs!$B$15,$C116&lt;=Inputs!$B$15),IF($C116&lt;$D116,$C116,$D116),IF(AND($E116="Y",$D116&lt;=Inputs!$B$15),$C116,$D116)))))</f>
        <v/>
      </c>
      <c r="H116" s="3" t="str">
        <f t="shared" si="9"/>
        <v/>
      </c>
      <c r="I116" s="4" t="str">
        <f t="shared" si="11"/>
        <v/>
      </c>
      <c r="J116" s="4" t="str">
        <f t="shared" si="12"/>
        <v/>
      </c>
      <c r="K116" s="4" t="str">
        <f t="shared" si="13"/>
        <v/>
      </c>
      <c r="L116" s="4" t="str">
        <f t="shared" si="14"/>
        <v/>
      </c>
      <c r="M116" s="4" t="str">
        <f t="shared" si="10"/>
        <v/>
      </c>
      <c r="N116" s="4" t="str">
        <f t="shared" si="15"/>
        <v/>
      </c>
      <c r="O116" s="4" t="str">
        <f>IF($B116="","",Inputs!$B$15-$M115)</f>
        <v/>
      </c>
      <c r="P116" s="3" t="str">
        <f t="shared" si="16"/>
        <v/>
      </c>
      <c r="Q116" s="3" t="str">
        <f t="shared" si="17"/>
        <v/>
      </c>
      <c r="R116" s="3" t="str">
        <f>IF($B116="","",IF($Q116,($L115+$N115+$G116)&gt;Inputs!$B$16,FALSE))</f>
        <v/>
      </c>
      <c r="S116" s="3" t="str">
        <f>IF($B116="","",IF(OR($F116&gt;Inputs!$B$15,$G116&gt;Inputs!$B$16),"TOO BIG",IF($R116,"NEW SHEET",IF($Q116,"NEW ROW","OK"))))</f>
        <v/>
      </c>
    </row>
    <row r="117" spans="1:19" x14ac:dyDescent="0.2">
      <c r="A117" s="4">
        <v>111</v>
      </c>
      <c r="B117" s="3" t="str">
        <f>IF(SortedPieces!$B113="","",SortedPieces!$B113)</f>
        <v/>
      </c>
      <c r="C117" s="4" t="str">
        <f>IF(SortedPieces!$C113="","",SortedPieces!$C113)</f>
        <v/>
      </c>
      <c r="D117" s="4" t="str">
        <f>IF(SortedPieces!$D113="","",SortedPieces!$D113)</f>
        <v/>
      </c>
      <c r="E117" s="3" t="str">
        <f>IF(SortedPieces!$E113="","",SortedPieces!$E113)</f>
        <v/>
      </c>
      <c r="F117" s="4" t="str">
        <f>IF($B117="","",IF($C117&lt;=$O117,$C117,IF(AND($E117="Y",$D117&lt;=$O117),$D117,IF(AND($E117="Y",$D117&lt;=Inputs!$B$15,$C117&lt;=Inputs!$B$15),IF($C117&lt;$D117,$D117,$C117),IF(AND($E117="Y",$D117&lt;=Inputs!$B$15),$D117,$C117)))))</f>
        <v/>
      </c>
      <c r="G117" s="4" t="str">
        <f>IF($B117="","",IF($C117&lt;=$O117,$D117,IF(AND($E117="Y",$D117&lt;=$O117),$C117,IF(AND($E117="Y",$D117&lt;=Inputs!$B$15,$C117&lt;=Inputs!$B$15),IF($C117&lt;$D117,$C117,$D117),IF(AND($E117="Y",$D117&lt;=Inputs!$B$15),$C117,$D117)))))</f>
        <v/>
      </c>
      <c r="H117" s="3" t="str">
        <f t="shared" si="9"/>
        <v/>
      </c>
      <c r="I117" s="4" t="str">
        <f t="shared" si="11"/>
        <v/>
      </c>
      <c r="J117" s="4" t="str">
        <f t="shared" si="12"/>
        <v/>
      </c>
      <c r="K117" s="4" t="str">
        <f t="shared" si="13"/>
        <v/>
      </c>
      <c r="L117" s="4" t="str">
        <f t="shared" si="14"/>
        <v/>
      </c>
      <c r="M117" s="4" t="str">
        <f t="shared" si="10"/>
        <v/>
      </c>
      <c r="N117" s="4" t="str">
        <f t="shared" si="15"/>
        <v/>
      </c>
      <c r="O117" s="4" t="str">
        <f>IF($B117="","",Inputs!$B$15-$M116)</f>
        <v/>
      </c>
      <c r="P117" s="3" t="str">
        <f t="shared" si="16"/>
        <v/>
      </c>
      <c r="Q117" s="3" t="str">
        <f t="shared" si="17"/>
        <v/>
      </c>
      <c r="R117" s="3" t="str">
        <f>IF($B117="","",IF($Q117,($L116+$N116+$G117)&gt;Inputs!$B$16,FALSE))</f>
        <v/>
      </c>
      <c r="S117" s="3" t="str">
        <f>IF($B117="","",IF(OR($F117&gt;Inputs!$B$15,$G117&gt;Inputs!$B$16),"TOO BIG",IF($R117,"NEW SHEET",IF($Q117,"NEW ROW","OK"))))</f>
        <v/>
      </c>
    </row>
    <row r="118" spans="1:19" x14ac:dyDescent="0.2">
      <c r="A118" s="4">
        <v>112</v>
      </c>
      <c r="B118" s="3" t="str">
        <f>IF(SortedPieces!$B114="","",SortedPieces!$B114)</f>
        <v/>
      </c>
      <c r="C118" s="4" t="str">
        <f>IF(SortedPieces!$C114="","",SortedPieces!$C114)</f>
        <v/>
      </c>
      <c r="D118" s="4" t="str">
        <f>IF(SortedPieces!$D114="","",SortedPieces!$D114)</f>
        <v/>
      </c>
      <c r="E118" s="3" t="str">
        <f>IF(SortedPieces!$E114="","",SortedPieces!$E114)</f>
        <v/>
      </c>
      <c r="F118" s="4" t="str">
        <f>IF($B118="","",IF($C118&lt;=$O118,$C118,IF(AND($E118="Y",$D118&lt;=$O118),$D118,IF(AND($E118="Y",$D118&lt;=Inputs!$B$15,$C118&lt;=Inputs!$B$15),IF($C118&lt;$D118,$D118,$C118),IF(AND($E118="Y",$D118&lt;=Inputs!$B$15),$D118,$C118)))))</f>
        <v/>
      </c>
      <c r="G118" s="4" t="str">
        <f>IF($B118="","",IF($C118&lt;=$O118,$D118,IF(AND($E118="Y",$D118&lt;=$O118),$C118,IF(AND($E118="Y",$D118&lt;=Inputs!$B$15,$C118&lt;=Inputs!$B$15),IF($C118&lt;$D118,$C118,$D118),IF(AND($E118="Y",$D118&lt;=Inputs!$B$15),$C118,$D118)))))</f>
        <v/>
      </c>
      <c r="H118" s="3" t="str">
        <f t="shared" si="9"/>
        <v/>
      </c>
      <c r="I118" s="4" t="str">
        <f t="shared" si="11"/>
        <v/>
      </c>
      <c r="J118" s="4" t="str">
        <f t="shared" si="12"/>
        <v/>
      </c>
      <c r="K118" s="4" t="str">
        <f t="shared" si="13"/>
        <v/>
      </c>
      <c r="L118" s="4" t="str">
        <f t="shared" si="14"/>
        <v/>
      </c>
      <c r="M118" s="4" t="str">
        <f t="shared" si="10"/>
        <v/>
      </c>
      <c r="N118" s="4" t="str">
        <f t="shared" si="15"/>
        <v/>
      </c>
      <c r="O118" s="4" t="str">
        <f>IF($B118="","",Inputs!$B$15-$M117)</f>
        <v/>
      </c>
      <c r="P118" s="3" t="str">
        <f t="shared" si="16"/>
        <v/>
      </c>
      <c r="Q118" s="3" t="str">
        <f t="shared" si="17"/>
        <v/>
      </c>
      <c r="R118" s="3" t="str">
        <f>IF($B118="","",IF($Q118,($L117+$N117+$G118)&gt;Inputs!$B$16,FALSE))</f>
        <v/>
      </c>
      <c r="S118" s="3" t="str">
        <f>IF($B118="","",IF(OR($F118&gt;Inputs!$B$15,$G118&gt;Inputs!$B$16),"TOO BIG",IF($R118,"NEW SHEET",IF($Q118,"NEW ROW","OK"))))</f>
        <v/>
      </c>
    </row>
    <row r="119" spans="1:19" x14ac:dyDescent="0.2">
      <c r="A119" s="4">
        <v>113</v>
      </c>
      <c r="B119" s="3" t="str">
        <f>IF(SortedPieces!$B115="","",SortedPieces!$B115)</f>
        <v/>
      </c>
      <c r="C119" s="4" t="str">
        <f>IF(SortedPieces!$C115="","",SortedPieces!$C115)</f>
        <v/>
      </c>
      <c r="D119" s="4" t="str">
        <f>IF(SortedPieces!$D115="","",SortedPieces!$D115)</f>
        <v/>
      </c>
      <c r="E119" s="3" t="str">
        <f>IF(SortedPieces!$E115="","",SortedPieces!$E115)</f>
        <v/>
      </c>
      <c r="F119" s="4" t="str">
        <f>IF($B119="","",IF($C119&lt;=$O119,$C119,IF(AND($E119="Y",$D119&lt;=$O119),$D119,IF(AND($E119="Y",$D119&lt;=Inputs!$B$15,$C119&lt;=Inputs!$B$15),IF($C119&lt;$D119,$D119,$C119),IF(AND($E119="Y",$D119&lt;=Inputs!$B$15),$D119,$C119)))))</f>
        <v/>
      </c>
      <c r="G119" s="4" t="str">
        <f>IF($B119="","",IF($C119&lt;=$O119,$D119,IF(AND($E119="Y",$D119&lt;=$O119),$C119,IF(AND($E119="Y",$D119&lt;=Inputs!$B$15,$C119&lt;=Inputs!$B$15),IF($C119&lt;$D119,$C119,$D119),IF(AND($E119="Y",$D119&lt;=Inputs!$B$15),$C119,$D119)))))</f>
        <v/>
      </c>
      <c r="H119" s="3" t="str">
        <f t="shared" si="9"/>
        <v/>
      </c>
      <c r="I119" s="4" t="str">
        <f t="shared" si="11"/>
        <v/>
      </c>
      <c r="J119" s="4" t="str">
        <f t="shared" si="12"/>
        <v/>
      </c>
      <c r="K119" s="4" t="str">
        <f t="shared" si="13"/>
        <v/>
      </c>
      <c r="L119" s="4" t="str">
        <f t="shared" si="14"/>
        <v/>
      </c>
      <c r="M119" s="4" t="str">
        <f t="shared" si="10"/>
        <v/>
      </c>
      <c r="N119" s="4" t="str">
        <f t="shared" si="15"/>
        <v/>
      </c>
      <c r="O119" s="4" t="str">
        <f>IF($B119="","",Inputs!$B$15-$M118)</f>
        <v/>
      </c>
      <c r="P119" s="3" t="str">
        <f t="shared" si="16"/>
        <v/>
      </c>
      <c r="Q119" s="3" t="str">
        <f t="shared" si="17"/>
        <v/>
      </c>
      <c r="R119" s="3" t="str">
        <f>IF($B119="","",IF($Q119,($L118+$N118+$G119)&gt;Inputs!$B$16,FALSE))</f>
        <v/>
      </c>
      <c r="S119" s="3" t="str">
        <f>IF($B119="","",IF(OR($F119&gt;Inputs!$B$15,$G119&gt;Inputs!$B$16),"TOO BIG",IF($R119,"NEW SHEET",IF($Q119,"NEW ROW","OK"))))</f>
        <v/>
      </c>
    </row>
    <row r="120" spans="1:19" x14ac:dyDescent="0.2">
      <c r="A120" s="4">
        <v>114</v>
      </c>
      <c r="B120" s="3" t="str">
        <f>IF(SortedPieces!$B116="","",SortedPieces!$B116)</f>
        <v/>
      </c>
      <c r="C120" s="4" t="str">
        <f>IF(SortedPieces!$C116="","",SortedPieces!$C116)</f>
        <v/>
      </c>
      <c r="D120" s="4" t="str">
        <f>IF(SortedPieces!$D116="","",SortedPieces!$D116)</f>
        <v/>
      </c>
      <c r="E120" s="3" t="str">
        <f>IF(SortedPieces!$E116="","",SortedPieces!$E116)</f>
        <v/>
      </c>
      <c r="F120" s="4" t="str">
        <f>IF($B120="","",IF($C120&lt;=$O120,$C120,IF(AND($E120="Y",$D120&lt;=$O120),$D120,IF(AND($E120="Y",$D120&lt;=Inputs!$B$15,$C120&lt;=Inputs!$B$15),IF($C120&lt;$D120,$D120,$C120),IF(AND($E120="Y",$D120&lt;=Inputs!$B$15),$D120,$C120)))))</f>
        <v/>
      </c>
      <c r="G120" s="4" t="str">
        <f>IF($B120="","",IF($C120&lt;=$O120,$D120,IF(AND($E120="Y",$D120&lt;=$O120),$C120,IF(AND($E120="Y",$D120&lt;=Inputs!$B$15,$C120&lt;=Inputs!$B$15),IF($C120&lt;$D120,$C120,$D120),IF(AND($E120="Y",$D120&lt;=Inputs!$B$15),$C120,$D120)))))</f>
        <v/>
      </c>
      <c r="H120" s="3" t="str">
        <f t="shared" si="9"/>
        <v/>
      </c>
      <c r="I120" s="4" t="str">
        <f t="shared" si="11"/>
        <v/>
      </c>
      <c r="J120" s="4" t="str">
        <f t="shared" si="12"/>
        <v/>
      </c>
      <c r="K120" s="4" t="str">
        <f t="shared" si="13"/>
        <v/>
      </c>
      <c r="L120" s="4" t="str">
        <f t="shared" si="14"/>
        <v/>
      </c>
      <c r="M120" s="4" t="str">
        <f t="shared" si="10"/>
        <v/>
      </c>
      <c r="N120" s="4" t="str">
        <f t="shared" si="15"/>
        <v/>
      </c>
      <c r="O120" s="4" t="str">
        <f>IF($B120="","",Inputs!$B$15-$M119)</f>
        <v/>
      </c>
      <c r="P120" s="3" t="str">
        <f t="shared" si="16"/>
        <v/>
      </c>
      <c r="Q120" s="3" t="str">
        <f t="shared" si="17"/>
        <v/>
      </c>
      <c r="R120" s="3" t="str">
        <f>IF($B120="","",IF($Q120,($L119+$N119+$G120)&gt;Inputs!$B$16,FALSE))</f>
        <v/>
      </c>
      <c r="S120" s="3" t="str">
        <f>IF($B120="","",IF(OR($F120&gt;Inputs!$B$15,$G120&gt;Inputs!$B$16),"TOO BIG",IF($R120,"NEW SHEET",IF($Q120,"NEW ROW","OK"))))</f>
        <v/>
      </c>
    </row>
    <row r="121" spans="1:19" x14ac:dyDescent="0.2">
      <c r="A121" s="4">
        <v>115</v>
      </c>
      <c r="B121" s="3" t="str">
        <f>IF(SortedPieces!$B117="","",SortedPieces!$B117)</f>
        <v/>
      </c>
      <c r="C121" s="4" t="str">
        <f>IF(SortedPieces!$C117="","",SortedPieces!$C117)</f>
        <v/>
      </c>
      <c r="D121" s="4" t="str">
        <f>IF(SortedPieces!$D117="","",SortedPieces!$D117)</f>
        <v/>
      </c>
      <c r="E121" s="3" t="str">
        <f>IF(SortedPieces!$E117="","",SortedPieces!$E117)</f>
        <v/>
      </c>
      <c r="F121" s="4" t="str">
        <f>IF($B121="","",IF($C121&lt;=$O121,$C121,IF(AND($E121="Y",$D121&lt;=$O121),$D121,IF(AND($E121="Y",$D121&lt;=Inputs!$B$15,$C121&lt;=Inputs!$B$15),IF($C121&lt;$D121,$D121,$C121),IF(AND($E121="Y",$D121&lt;=Inputs!$B$15),$D121,$C121)))))</f>
        <v/>
      </c>
      <c r="G121" s="4" t="str">
        <f>IF($B121="","",IF($C121&lt;=$O121,$D121,IF(AND($E121="Y",$D121&lt;=$O121),$C121,IF(AND($E121="Y",$D121&lt;=Inputs!$B$15,$C121&lt;=Inputs!$B$15),IF($C121&lt;$D121,$C121,$D121),IF(AND($E121="Y",$D121&lt;=Inputs!$B$15),$C121,$D121)))))</f>
        <v/>
      </c>
      <c r="H121" s="3" t="str">
        <f t="shared" si="9"/>
        <v/>
      </c>
      <c r="I121" s="4" t="str">
        <f t="shared" si="11"/>
        <v/>
      </c>
      <c r="J121" s="4" t="str">
        <f t="shared" si="12"/>
        <v/>
      </c>
      <c r="K121" s="4" t="str">
        <f t="shared" si="13"/>
        <v/>
      </c>
      <c r="L121" s="4" t="str">
        <f t="shared" si="14"/>
        <v/>
      </c>
      <c r="M121" s="4" t="str">
        <f t="shared" si="10"/>
        <v/>
      </c>
      <c r="N121" s="4" t="str">
        <f t="shared" si="15"/>
        <v/>
      </c>
      <c r="O121" s="4" t="str">
        <f>IF($B121="","",Inputs!$B$15-$M120)</f>
        <v/>
      </c>
      <c r="P121" s="3" t="str">
        <f t="shared" si="16"/>
        <v/>
      </c>
      <c r="Q121" s="3" t="str">
        <f t="shared" si="17"/>
        <v/>
      </c>
      <c r="R121" s="3" t="str">
        <f>IF($B121="","",IF($Q121,($L120+$N120+$G121)&gt;Inputs!$B$16,FALSE))</f>
        <v/>
      </c>
      <c r="S121" s="3" t="str">
        <f>IF($B121="","",IF(OR($F121&gt;Inputs!$B$15,$G121&gt;Inputs!$B$16),"TOO BIG",IF($R121,"NEW SHEET",IF($Q121,"NEW ROW","OK"))))</f>
        <v/>
      </c>
    </row>
    <row r="122" spans="1:19" x14ac:dyDescent="0.2">
      <c r="A122" s="4">
        <v>116</v>
      </c>
      <c r="B122" s="3" t="str">
        <f>IF(SortedPieces!$B118="","",SortedPieces!$B118)</f>
        <v/>
      </c>
      <c r="C122" s="4" t="str">
        <f>IF(SortedPieces!$C118="","",SortedPieces!$C118)</f>
        <v/>
      </c>
      <c r="D122" s="4" t="str">
        <f>IF(SortedPieces!$D118="","",SortedPieces!$D118)</f>
        <v/>
      </c>
      <c r="E122" s="3" t="str">
        <f>IF(SortedPieces!$E118="","",SortedPieces!$E118)</f>
        <v/>
      </c>
      <c r="F122" s="4" t="str">
        <f>IF($B122="","",IF($C122&lt;=$O122,$C122,IF(AND($E122="Y",$D122&lt;=$O122),$D122,IF(AND($E122="Y",$D122&lt;=Inputs!$B$15,$C122&lt;=Inputs!$B$15),IF($C122&lt;$D122,$D122,$C122),IF(AND($E122="Y",$D122&lt;=Inputs!$B$15),$D122,$C122)))))</f>
        <v/>
      </c>
      <c r="G122" s="4" t="str">
        <f>IF($B122="","",IF($C122&lt;=$O122,$D122,IF(AND($E122="Y",$D122&lt;=$O122),$C122,IF(AND($E122="Y",$D122&lt;=Inputs!$B$15,$C122&lt;=Inputs!$B$15),IF($C122&lt;$D122,$C122,$D122),IF(AND($E122="Y",$D122&lt;=Inputs!$B$15),$C122,$D122)))))</f>
        <v/>
      </c>
      <c r="H122" s="3" t="str">
        <f t="shared" si="9"/>
        <v/>
      </c>
      <c r="I122" s="4" t="str">
        <f t="shared" si="11"/>
        <v/>
      </c>
      <c r="J122" s="4" t="str">
        <f t="shared" si="12"/>
        <v/>
      </c>
      <c r="K122" s="4" t="str">
        <f t="shared" si="13"/>
        <v/>
      </c>
      <c r="L122" s="4" t="str">
        <f t="shared" si="14"/>
        <v/>
      </c>
      <c r="M122" s="4" t="str">
        <f t="shared" si="10"/>
        <v/>
      </c>
      <c r="N122" s="4" t="str">
        <f t="shared" si="15"/>
        <v/>
      </c>
      <c r="O122" s="4" t="str">
        <f>IF($B122="","",Inputs!$B$15-$M121)</f>
        <v/>
      </c>
      <c r="P122" s="3" t="str">
        <f t="shared" si="16"/>
        <v/>
      </c>
      <c r="Q122" s="3" t="str">
        <f t="shared" si="17"/>
        <v/>
      </c>
      <c r="R122" s="3" t="str">
        <f>IF($B122="","",IF($Q122,($L121+$N121+$G122)&gt;Inputs!$B$16,FALSE))</f>
        <v/>
      </c>
      <c r="S122" s="3" t="str">
        <f>IF($B122="","",IF(OR($F122&gt;Inputs!$B$15,$G122&gt;Inputs!$B$16),"TOO BIG",IF($R122,"NEW SHEET",IF($Q122,"NEW ROW","OK"))))</f>
        <v/>
      </c>
    </row>
    <row r="123" spans="1:19" x14ac:dyDescent="0.2">
      <c r="A123" s="4">
        <v>117</v>
      </c>
      <c r="B123" s="3" t="str">
        <f>IF(SortedPieces!$B119="","",SortedPieces!$B119)</f>
        <v/>
      </c>
      <c r="C123" s="4" t="str">
        <f>IF(SortedPieces!$C119="","",SortedPieces!$C119)</f>
        <v/>
      </c>
      <c r="D123" s="4" t="str">
        <f>IF(SortedPieces!$D119="","",SortedPieces!$D119)</f>
        <v/>
      </c>
      <c r="E123" s="3" t="str">
        <f>IF(SortedPieces!$E119="","",SortedPieces!$E119)</f>
        <v/>
      </c>
      <c r="F123" s="4" t="str">
        <f>IF($B123="","",IF($C123&lt;=$O123,$C123,IF(AND($E123="Y",$D123&lt;=$O123),$D123,IF(AND($E123="Y",$D123&lt;=Inputs!$B$15,$C123&lt;=Inputs!$B$15),IF($C123&lt;$D123,$D123,$C123),IF(AND($E123="Y",$D123&lt;=Inputs!$B$15),$D123,$C123)))))</f>
        <v/>
      </c>
      <c r="G123" s="4" t="str">
        <f>IF($B123="","",IF($C123&lt;=$O123,$D123,IF(AND($E123="Y",$D123&lt;=$O123),$C123,IF(AND($E123="Y",$D123&lt;=Inputs!$B$15,$C123&lt;=Inputs!$B$15),IF($C123&lt;$D123,$C123,$D123),IF(AND($E123="Y",$D123&lt;=Inputs!$B$15),$C123,$D123)))))</f>
        <v/>
      </c>
      <c r="H123" s="3" t="str">
        <f t="shared" si="9"/>
        <v/>
      </c>
      <c r="I123" s="4" t="str">
        <f t="shared" si="11"/>
        <v/>
      </c>
      <c r="J123" s="4" t="str">
        <f t="shared" si="12"/>
        <v/>
      </c>
      <c r="K123" s="4" t="str">
        <f t="shared" si="13"/>
        <v/>
      </c>
      <c r="L123" s="4" t="str">
        <f t="shared" si="14"/>
        <v/>
      </c>
      <c r="M123" s="4" t="str">
        <f t="shared" si="10"/>
        <v/>
      </c>
      <c r="N123" s="4" t="str">
        <f t="shared" si="15"/>
        <v/>
      </c>
      <c r="O123" s="4" t="str">
        <f>IF($B123="","",Inputs!$B$15-$M122)</f>
        <v/>
      </c>
      <c r="P123" s="3" t="str">
        <f t="shared" si="16"/>
        <v/>
      </c>
      <c r="Q123" s="3" t="str">
        <f t="shared" si="17"/>
        <v/>
      </c>
      <c r="R123" s="3" t="str">
        <f>IF($B123="","",IF($Q123,($L122+$N122+$G123)&gt;Inputs!$B$16,FALSE))</f>
        <v/>
      </c>
      <c r="S123" s="3" t="str">
        <f>IF($B123="","",IF(OR($F123&gt;Inputs!$B$15,$G123&gt;Inputs!$B$16),"TOO BIG",IF($R123,"NEW SHEET",IF($Q123,"NEW ROW","OK"))))</f>
        <v/>
      </c>
    </row>
    <row r="124" spans="1:19" x14ac:dyDescent="0.2">
      <c r="A124" s="4">
        <v>118</v>
      </c>
      <c r="B124" s="3" t="str">
        <f>IF(SortedPieces!$B120="","",SortedPieces!$B120)</f>
        <v/>
      </c>
      <c r="C124" s="4" t="str">
        <f>IF(SortedPieces!$C120="","",SortedPieces!$C120)</f>
        <v/>
      </c>
      <c r="D124" s="4" t="str">
        <f>IF(SortedPieces!$D120="","",SortedPieces!$D120)</f>
        <v/>
      </c>
      <c r="E124" s="3" t="str">
        <f>IF(SortedPieces!$E120="","",SortedPieces!$E120)</f>
        <v/>
      </c>
      <c r="F124" s="4" t="str">
        <f>IF($B124="","",IF($C124&lt;=$O124,$C124,IF(AND($E124="Y",$D124&lt;=$O124),$D124,IF(AND($E124="Y",$D124&lt;=Inputs!$B$15,$C124&lt;=Inputs!$B$15),IF($C124&lt;$D124,$D124,$C124),IF(AND($E124="Y",$D124&lt;=Inputs!$B$15),$D124,$C124)))))</f>
        <v/>
      </c>
      <c r="G124" s="4" t="str">
        <f>IF($B124="","",IF($C124&lt;=$O124,$D124,IF(AND($E124="Y",$D124&lt;=$O124),$C124,IF(AND($E124="Y",$D124&lt;=Inputs!$B$15,$C124&lt;=Inputs!$B$15),IF($C124&lt;$D124,$C124,$D124),IF(AND($E124="Y",$D124&lt;=Inputs!$B$15),$C124,$D124)))))</f>
        <v/>
      </c>
      <c r="H124" s="3" t="str">
        <f t="shared" si="9"/>
        <v/>
      </c>
      <c r="I124" s="4" t="str">
        <f t="shared" si="11"/>
        <v/>
      </c>
      <c r="J124" s="4" t="str">
        <f t="shared" si="12"/>
        <v/>
      </c>
      <c r="K124" s="4" t="str">
        <f t="shared" si="13"/>
        <v/>
      </c>
      <c r="L124" s="4" t="str">
        <f t="shared" si="14"/>
        <v/>
      </c>
      <c r="M124" s="4" t="str">
        <f t="shared" si="10"/>
        <v/>
      </c>
      <c r="N124" s="4" t="str">
        <f t="shared" si="15"/>
        <v/>
      </c>
      <c r="O124" s="4" t="str">
        <f>IF($B124="","",Inputs!$B$15-$M123)</f>
        <v/>
      </c>
      <c r="P124" s="3" t="str">
        <f t="shared" si="16"/>
        <v/>
      </c>
      <c r="Q124" s="3" t="str">
        <f t="shared" si="17"/>
        <v/>
      </c>
      <c r="R124" s="3" t="str">
        <f>IF($B124="","",IF($Q124,($L123+$N123+$G124)&gt;Inputs!$B$16,FALSE))</f>
        <v/>
      </c>
      <c r="S124" s="3" t="str">
        <f>IF($B124="","",IF(OR($F124&gt;Inputs!$B$15,$G124&gt;Inputs!$B$16),"TOO BIG",IF($R124,"NEW SHEET",IF($Q124,"NEW ROW","OK"))))</f>
        <v/>
      </c>
    </row>
    <row r="125" spans="1:19" x14ac:dyDescent="0.2">
      <c r="A125" s="4">
        <v>119</v>
      </c>
      <c r="B125" s="3" t="str">
        <f>IF(SortedPieces!$B121="","",SortedPieces!$B121)</f>
        <v/>
      </c>
      <c r="C125" s="4" t="str">
        <f>IF(SortedPieces!$C121="","",SortedPieces!$C121)</f>
        <v/>
      </c>
      <c r="D125" s="4" t="str">
        <f>IF(SortedPieces!$D121="","",SortedPieces!$D121)</f>
        <v/>
      </c>
      <c r="E125" s="3" t="str">
        <f>IF(SortedPieces!$E121="","",SortedPieces!$E121)</f>
        <v/>
      </c>
      <c r="F125" s="4" t="str">
        <f>IF($B125="","",IF($C125&lt;=$O125,$C125,IF(AND($E125="Y",$D125&lt;=$O125),$D125,IF(AND($E125="Y",$D125&lt;=Inputs!$B$15,$C125&lt;=Inputs!$B$15),IF($C125&lt;$D125,$D125,$C125),IF(AND($E125="Y",$D125&lt;=Inputs!$B$15),$D125,$C125)))))</f>
        <v/>
      </c>
      <c r="G125" s="4" t="str">
        <f>IF($B125="","",IF($C125&lt;=$O125,$D125,IF(AND($E125="Y",$D125&lt;=$O125),$C125,IF(AND($E125="Y",$D125&lt;=Inputs!$B$15,$C125&lt;=Inputs!$B$15),IF($C125&lt;$D125,$C125,$D125),IF(AND($E125="Y",$D125&lt;=Inputs!$B$15),$C125,$D125)))))</f>
        <v/>
      </c>
      <c r="H125" s="3" t="str">
        <f t="shared" si="9"/>
        <v/>
      </c>
      <c r="I125" s="4" t="str">
        <f t="shared" si="11"/>
        <v/>
      </c>
      <c r="J125" s="4" t="str">
        <f t="shared" si="12"/>
        <v/>
      </c>
      <c r="K125" s="4" t="str">
        <f t="shared" si="13"/>
        <v/>
      </c>
      <c r="L125" s="4" t="str">
        <f t="shared" si="14"/>
        <v/>
      </c>
      <c r="M125" s="4" t="str">
        <f t="shared" si="10"/>
        <v/>
      </c>
      <c r="N125" s="4" t="str">
        <f t="shared" si="15"/>
        <v/>
      </c>
      <c r="O125" s="4" t="str">
        <f>IF($B125="","",Inputs!$B$15-$M124)</f>
        <v/>
      </c>
      <c r="P125" s="3" t="str">
        <f t="shared" si="16"/>
        <v/>
      </c>
      <c r="Q125" s="3" t="str">
        <f t="shared" si="17"/>
        <v/>
      </c>
      <c r="R125" s="3" t="str">
        <f>IF($B125="","",IF($Q125,($L124+$N124+$G125)&gt;Inputs!$B$16,FALSE))</f>
        <v/>
      </c>
      <c r="S125" s="3" t="str">
        <f>IF($B125="","",IF(OR($F125&gt;Inputs!$B$15,$G125&gt;Inputs!$B$16),"TOO BIG",IF($R125,"NEW SHEET",IF($Q125,"NEW ROW","OK"))))</f>
        <v/>
      </c>
    </row>
    <row r="126" spans="1:19" x14ac:dyDescent="0.2">
      <c r="A126" s="4">
        <v>120</v>
      </c>
      <c r="B126" s="3" t="str">
        <f>IF(SortedPieces!$B122="","",SortedPieces!$B122)</f>
        <v/>
      </c>
      <c r="C126" s="4" t="str">
        <f>IF(SortedPieces!$C122="","",SortedPieces!$C122)</f>
        <v/>
      </c>
      <c r="D126" s="4" t="str">
        <f>IF(SortedPieces!$D122="","",SortedPieces!$D122)</f>
        <v/>
      </c>
      <c r="E126" s="3" t="str">
        <f>IF(SortedPieces!$E122="","",SortedPieces!$E122)</f>
        <v/>
      </c>
      <c r="F126" s="4" t="str">
        <f>IF($B126="","",IF($C126&lt;=$O126,$C126,IF(AND($E126="Y",$D126&lt;=$O126),$D126,IF(AND($E126="Y",$D126&lt;=Inputs!$B$15,$C126&lt;=Inputs!$B$15),IF($C126&lt;$D126,$D126,$C126),IF(AND($E126="Y",$D126&lt;=Inputs!$B$15),$D126,$C126)))))</f>
        <v/>
      </c>
      <c r="G126" s="4" t="str">
        <f>IF($B126="","",IF($C126&lt;=$O126,$D126,IF(AND($E126="Y",$D126&lt;=$O126),$C126,IF(AND($E126="Y",$D126&lt;=Inputs!$B$15,$C126&lt;=Inputs!$B$15),IF($C126&lt;$D126,$C126,$D126),IF(AND($E126="Y",$D126&lt;=Inputs!$B$15),$C126,$D126)))))</f>
        <v/>
      </c>
      <c r="H126" s="3" t="str">
        <f t="shared" si="9"/>
        <v/>
      </c>
      <c r="I126" s="4" t="str">
        <f t="shared" si="11"/>
        <v/>
      </c>
      <c r="J126" s="4" t="str">
        <f t="shared" si="12"/>
        <v/>
      </c>
      <c r="K126" s="4" t="str">
        <f t="shared" si="13"/>
        <v/>
      </c>
      <c r="L126" s="4" t="str">
        <f t="shared" si="14"/>
        <v/>
      </c>
      <c r="M126" s="4" t="str">
        <f t="shared" si="10"/>
        <v/>
      </c>
      <c r="N126" s="4" t="str">
        <f t="shared" si="15"/>
        <v/>
      </c>
      <c r="O126" s="4" t="str">
        <f>IF($B126="","",Inputs!$B$15-$M125)</f>
        <v/>
      </c>
      <c r="P126" s="3" t="str">
        <f t="shared" si="16"/>
        <v/>
      </c>
      <c r="Q126" s="3" t="str">
        <f t="shared" si="17"/>
        <v/>
      </c>
      <c r="R126" s="3" t="str">
        <f>IF($B126="","",IF($Q126,($L125+$N125+$G126)&gt;Inputs!$B$16,FALSE))</f>
        <v/>
      </c>
      <c r="S126" s="3" t="str">
        <f>IF($B126="","",IF(OR($F126&gt;Inputs!$B$15,$G126&gt;Inputs!$B$16),"TOO BIG",IF($R126,"NEW SHEET",IF($Q126,"NEW ROW","OK"))))</f>
        <v/>
      </c>
    </row>
    <row r="127" spans="1:19" x14ac:dyDescent="0.2">
      <c r="A127" s="4">
        <v>121</v>
      </c>
      <c r="B127" s="3" t="str">
        <f>IF(SortedPieces!$B123="","",SortedPieces!$B123)</f>
        <v/>
      </c>
      <c r="C127" s="4" t="str">
        <f>IF(SortedPieces!$C123="","",SortedPieces!$C123)</f>
        <v/>
      </c>
      <c r="D127" s="4" t="str">
        <f>IF(SortedPieces!$D123="","",SortedPieces!$D123)</f>
        <v/>
      </c>
      <c r="E127" s="3" t="str">
        <f>IF(SortedPieces!$E123="","",SortedPieces!$E123)</f>
        <v/>
      </c>
      <c r="F127" s="4" t="str">
        <f>IF($B127="","",IF($C127&lt;=$O127,$C127,IF(AND($E127="Y",$D127&lt;=$O127),$D127,IF(AND($E127="Y",$D127&lt;=Inputs!$B$15,$C127&lt;=Inputs!$B$15),IF($C127&lt;$D127,$D127,$C127),IF(AND($E127="Y",$D127&lt;=Inputs!$B$15),$D127,$C127)))))</f>
        <v/>
      </c>
      <c r="G127" s="4" t="str">
        <f>IF($B127="","",IF($C127&lt;=$O127,$D127,IF(AND($E127="Y",$D127&lt;=$O127),$C127,IF(AND($E127="Y",$D127&lt;=Inputs!$B$15,$C127&lt;=Inputs!$B$15),IF($C127&lt;$D127,$C127,$D127),IF(AND($E127="Y",$D127&lt;=Inputs!$B$15),$C127,$D127)))))</f>
        <v/>
      </c>
      <c r="H127" s="3" t="str">
        <f t="shared" si="9"/>
        <v/>
      </c>
      <c r="I127" s="4" t="str">
        <f t="shared" si="11"/>
        <v/>
      </c>
      <c r="J127" s="4" t="str">
        <f t="shared" si="12"/>
        <v/>
      </c>
      <c r="K127" s="4" t="str">
        <f t="shared" si="13"/>
        <v/>
      </c>
      <c r="L127" s="4" t="str">
        <f t="shared" si="14"/>
        <v/>
      </c>
      <c r="M127" s="4" t="str">
        <f t="shared" si="10"/>
        <v/>
      </c>
      <c r="N127" s="4" t="str">
        <f t="shared" si="15"/>
        <v/>
      </c>
      <c r="O127" s="4" t="str">
        <f>IF($B127="","",Inputs!$B$15-$M126)</f>
        <v/>
      </c>
      <c r="P127" s="3" t="str">
        <f t="shared" si="16"/>
        <v/>
      </c>
      <c r="Q127" s="3" t="str">
        <f t="shared" si="17"/>
        <v/>
      </c>
      <c r="R127" s="3" t="str">
        <f>IF($B127="","",IF($Q127,($L126+$N126+$G127)&gt;Inputs!$B$16,FALSE))</f>
        <v/>
      </c>
      <c r="S127" s="3" t="str">
        <f>IF($B127="","",IF(OR($F127&gt;Inputs!$B$15,$G127&gt;Inputs!$B$16),"TOO BIG",IF($R127,"NEW SHEET",IF($Q127,"NEW ROW","OK"))))</f>
        <v/>
      </c>
    </row>
    <row r="128" spans="1:19" x14ac:dyDescent="0.2">
      <c r="A128" s="4">
        <v>122</v>
      </c>
      <c r="B128" s="3" t="str">
        <f>IF(SortedPieces!$B124="","",SortedPieces!$B124)</f>
        <v/>
      </c>
      <c r="C128" s="4" t="str">
        <f>IF(SortedPieces!$C124="","",SortedPieces!$C124)</f>
        <v/>
      </c>
      <c r="D128" s="4" t="str">
        <f>IF(SortedPieces!$D124="","",SortedPieces!$D124)</f>
        <v/>
      </c>
      <c r="E128" s="3" t="str">
        <f>IF(SortedPieces!$E124="","",SortedPieces!$E124)</f>
        <v/>
      </c>
      <c r="F128" s="4" t="str">
        <f>IF($B128="","",IF($C128&lt;=$O128,$C128,IF(AND($E128="Y",$D128&lt;=$O128),$D128,IF(AND($E128="Y",$D128&lt;=Inputs!$B$15,$C128&lt;=Inputs!$B$15),IF($C128&lt;$D128,$D128,$C128),IF(AND($E128="Y",$D128&lt;=Inputs!$B$15),$D128,$C128)))))</f>
        <v/>
      </c>
      <c r="G128" s="4" t="str">
        <f>IF($B128="","",IF($C128&lt;=$O128,$D128,IF(AND($E128="Y",$D128&lt;=$O128),$C128,IF(AND($E128="Y",$D128&lt;=Inputs!$B$15,$C128&lt;=Inputs!$B$15),IF($C128&lt;$D128,$C128,$D128),IF(AND($E128="Y",$D128&lt;=Inputs!$B$15),$C128,$D128)))))</f>
        <v/>
      </c>
      <c r="H128" s="3" t="str">
        <f t="shared" si="9"/>
        <v/>
      </c>
      <c r="I128" s="4" t="str">
        <f t="shared" si="11"/>
        <v/>
      </c>
      <c r="J128" s="4" t="str">
        <f t="shared" si="12"/>
        <v/>
      </c>
      <c r="K128" s="4" t="str">
        <f t="shared" si="13"/>
        <v/>
      </c>
      <c r="L128" s="4" t="str">
        <f t="shared" si="14"/>
        <v/>
      </c>
      <c r="M128" s="4" t="str">
        <f t="shared" si="10"/>
        <v/>
      </c>
      <c r="N128" s="4" t="str">
        <f t="shared" si="15"/>
        <v/>
      </c>
      <c r="O128" s="4" t="str">
        <f>IF($B128="","",Inputs!$B$15-$M127)</f>
        <v/>
      </c>
      <c r="P128" s="3" t="str">
        <f t="shared" si="16"/>
        <v/>
      </c>
      <c r="Q128" s="3" t="str">
        <f t="shared" si="17"/>
        <v/>
      </c>
      <c r="R128" s="3" t="str">
        <f>IF($B128="","",IF($Q128,($L127+$N127+$G128)&gt;Inputs!$B$16,FALSE))</f>
        <v/>
      </c>
      <c r="S128" s="3" t="str">
        <f>IF($B128="","",IF(OR($F128&gt;Inputs!$B$15,$G128&gt;Inputs!$B$16),"TOO BIG",IF($R128,"NEW SHEET",IF($Q128,"NEW ROW","OK"))))</f>
        <v/>
      </c>
    </row>
    <row r="129" spans="1:19" x14ac:dyDescent="0.2">
      <c r="A129" s="4">
        <v>123</v>
      </c>
      <c r="B129" s="3" t="str">
        <f>IF(SortedPieces!$B125="","",SortedPieces!$B125)</f>
        <v/>
      </c>
      <c r="C129" s="4" t="str">
        <f>IF(SortedPieces!$C125="","",SortedPieces!$C125)</f>
        <v/>
      </c>
      <c r="D129" s="4" t="str">
        <f>IF(SortedPieces!$D125="","",SortedPieces!$D125)</f>
        <v/>
      </c>
      <c r="E129" s="3" t="str">
        <f>IF(SortedPieces!$E125="","",SortedPieces!$E125)</f>
        <v/>
      </c>
      <c r="F129" s="4" t="str">
        <f>IF($B129="","",IF($C129&lt;=$O129,$C129,IF(AND($E129="Y",$D129&lt;=$O129),$D129,IF(AND($E129="Y",$D129&lt;=Inputs!$B$15,$C129&lt;=Inputs!$B$15),IF($C129&lt;$D129,$D129,$C129),IF(AND($E129="Y",$D129&lt;=Inputs!$B$15),$D129,$C129)))))</f>
        <v/>
      </c>
      <c r="G129" s="4" t="str">
        <f>IF($B129="","",IF($C129&lt;=$O129,$D129,IF(AND($E129="Y",$D129&lt;=$O129),$C129,IF(AND($E129="Y",$D129&lt;=Inputs!$B$15,$C129&lt;=Inputs!$B$15),IF($C129&lt;$D129,$C129,$D129),IF(AND($E129="Y",$D129&lt;=Inputs!$B$15),$C129,$D129)))))</f>
        <v/>
      </c>
      <c r="H129" s="3" t="str">
        <f t="shared" si="9"/>
        <v/>
      </c>
      <c r="I129" s="4" t="str">
        <f t="shared" si="11"/>
        <v/>
      </c>
      <c r="J129" s="4" t="str">
        <f t="shared" si="12"/>
        <v/>
      </c>
      <c r="K129" s="4" t="str">
        <f t="shared" si="13"/>
        <v/>
      </c>
      <c r="L129" s="4" t="str">
        <f t="shared" si="14"/>
        <v/>
      </c>
      <c r="M129" s="4" t="str">
        <f t="shared" si="10"/>
        <v/>
      </c>
      <c r="N129" s="4" t="str">
        <f t="shared" si="15"/>
        <v/>
      </c>
      <c r="O129" s="4" t="str">
        <f>IF($B129="","",Inputs!$B$15-$M128)</f>
        <v/>
      </c>
      <c r="P129" s="3" t="str">
        <f t="shared" si="16"/>
        <v/>
      </c>
      <c r="Q129" s="3" t="str">
        <f t="shared" si="17"/>
        <v/>
      </c>
      <c r="R129" s="3" t="str">
        <f>IF($B129="","",IF($Q129,($L128+$N128+$G129)&gt;Inputs!$B$16,FALSE))</f>
        <v/>
      </c>
      <c r="S129" s="3" t="str">
        <f>IF($B129="","",IF(OR($F129&gt;Inputs!$B$15,$G129&gt;Inputs!$B$16),"TOO BIG",IF($R129,"NEW SHEET",IF($Q129,"NEW ROW","OK"))))</f>
        <v/>
      </c>
    </row>
    <row r="130" spans="1:19" x14ac:dyDescent="0.2">
      <c r="A130" s="4">
        <v>124</v>
      </c>
      <c r="B130" s="3" t="str">
        <f>IF(SortedPieces!$B126="","",SortedPieces!$B126)</f>
        <v/>
      </c>
      <c r="C130" s="4" t="str">
        <f>IF(SortedPieces!$C126="","",SortedPieces!$C126)</f>
        <v/>
      </c>
      <c r="D130" s="4" t="str">
        <f>IF(SortedPieces!$D126="","",SortedPieces!$D126)</f>
        <v/>
      </c>
      <c r="E130" s="3" t="str">
        <f>IF(SortedPieces!$E126="","",SortedPieces!$E126)</f>
        <v/>
      </c>
      <c r="F130" s="4" t="str">
        <f>IF($B130="","",IF($C130&lt;=$O130,$C130,IF(AND($E130="Y",$D130&lt;=$O130),$D130,IF(AND($E130="Y",$D130&lt;=Inputs!$B$15,$C130&lt;=Inputs!$B$15),IF($C130&lt;$D130,$D130,$C130),IF(AND($E130="Y",$D130&lt;=Inputs!$B$15),$D130,$C130)))))</f>
        <v/>
      </c>
      <c r="G130" s="4" t="str">
        <f>IF($B130="","",IF($C130&lt;=$O130,$D130,IF(AND($E130="Y",$D130&lt;=$O130),$C130,IF(AND($E130="Y",$D130&lt;=Inputs!$B$15,$C130&lt;=Inputs!$B$15),IF($C130&lt;$D130,$C130,$D130),IF(AND($E130="Y",$D130&lt;=Inputs!$B$15),$C130,$D130)))))</f>
        <v/>
      </c>
      <c r="H130" s="3" t="str">
        <f t="shared" si="9"/>
        <v/>
      </c>
      <c r="I130" s="4" t="str">
        <f t="shared" si="11"/>
        <v/>
      </c>
      <c r="J130" s="4" t="str">
        <f t="shared" si="12"/>
        <v/>
      </c>
      <c r="K130" s="4" t="str">
        <f t="shared" si="13"/>
        <v/>
      </c>
      <c r="L130" s="4" t="str">
        <f t="shared" si="14"/>
        <v/>
      </c>
      <c r="M130" s="4" t="str">
        <f t="shared" si="10"/>
        <v/>
      </c>
      <c r="N130" s="4" t="str">
        <f t="shared" si="15"/>
        <v/>
      </c>
      <c r="O130" s="4" t="str">
        <f>IF($B130="","",Inputs!$B$15-$M129)</f>
        <v/>
      </c>
      <c r="P130" s="3" t="str">
        <f t="shared" si="16"/>
        <v/>
      </c>
      <c r="Q130" s="3" t="str">
        <f t="shared" si="17"/>
        <v/>
      </c>
      <c r="R130" s="3" t="str">
        <f>IF($B130="","",IF($Q130,($L129+$N129+$G130)&gt;Inputs!$B$16,FALSE))</f>
        <v/>
      </c>
      <c r="S130" s="3" t="str">
        <f>IF($B130="","",IF(OR($F130&gt;Inputs!$B$15,$G130&gt;Inputs!$B$16),"TOO BIG",IF($R130,"NEW SHEET",IF($Q130,"NEW ROW","OK"))))</f>
        <v/>
      </c>
    </row>
    <row r="131" spans="1:19" x14ac:dyDescent="0.2">
      <c r="A131" s="4">
        <v>125</v>
      </c>
      <c r="B131" s="3" t="str">
        <f>IF(SortedPieces!$B127="","",SortedPieces!$B127)</f>
        <v/>
      </c>
      <c r="C131" s="4" t="str">
        <f>IF(SortedPieces!$C127="","",SortedPieces!$C127)</f>
        <v/>
      </c>
      <c r="D131" s="4" t="str">
        <f>IF(SortedPieces!$D127="","",SortedPieces!$D127)</f>
        <v/>
      </c>
      <c r="E131" s="3" t="str">
        <f>IF(SortedPieces!$E127="","",SortedPieces!$E127)</f>
        <v/>
      </c>
      <c r="F131" s="4" t="str">
        <f>IF($B131="","",IF($C131&lt;=$O131,$C131,IF(AND($E131="Y",$D131&lt;=$O131),$D131,IF(AND($E131="Y",$D131&lt;=Inputs!$B$15,$C131&lt;=Inputs!$B$15),IF($C131&lt;$D131,$D131,$C131),IF(AND($E131="Y",$D131&lt;=Inputs!$B$15),$D131,$C131)))))</f>
        <v/>
      </c>
      <c r="G131" s="4" t="str">
        <f>IF($B131="","",IF($C131&lt;=$O131,$D131,IF(AND($E131="Y",$D131&lt;=$O131),$C131,IF(AND($E131="Y",$D131&lt;=Inputs!$B$15,$C131&lt;=Inputs!$B$15),IF($C131&lt;$D131,$C131,$D131),IF(AND($E131="Y",$D131&lt;=Inputs!$B$15),$C131,$D131)))))</f>
        <v/>
      </c>
      <c r="H131" s="3" t="str">
        <f t="shared" si="9"/>
        <v/>
      </c>
      <c r="I131" s="4" t="str">
        <f t="shared" si="11"/>
        <v/>
      </c>
      <c r="J131" s="4" t="str">
        <f t="shared" si="12"/>
        <v/>
      </c>
      <c r="K131" s="4" t="str">
        <f t="shared" si="13"/>
        <v/>
      </c>
      <c r="L131" s="4" t="str">
        <f t="shared" si="14"/>
        <v/>
      </c>
      <c r="M131" s="4" t="str">
        <f t="shared" si="10"/>
        <v/>
      </c>
      <c r="N131" s="4" t="str">
        <f t="shared" si="15"/>
        <v/>
      </c>
      <c r="O131" s="4" t="str">
        <f>IF($B131="","",Inputs!$B$15-$M130)</f>
        <v/>
      </c>
      <c r="P131" s="3" t="str">
        <f t="shared" si="16"/>
        <v/>
      </c>
      <c r="Q131" s="3" t="str">
        <f t="shared" si="17"/>
        <v/>
      </c>
      <c r="R131" s="3" t="str">
        <f>IF($B131="","",IF($Q131,($L130+$N130+$G131)&gt;Inputs!$B$16,FALSE))</f>
        <v/>
      </c>
      <c r="S131" s="3" t="str">
        <f>IF($B131="","",IF(OR($F131&gt;Inputs!$B$15,$G131&gt;Inputs!$B$16),"TOO BIG",IF($R131,"NEW SHEET",IF($Q131,"NEW ROW","OK"))))</f>
        <v/>
      </c>
    </row>
    <row r="132" spans="1:19" x14ac:dyDescent="0.2">
      <c r="A132" s="4">
        <v>126</v>
      </c>
      <c r="B132" s="3" t="str">
        <f>IF(SortedPieces!$B128="","",SortedPieces!$B128)</f>
        <v/>
      </c>
      <c r="C132" s="4" t="str">
        <f>IF(SortedPieces!$C128="","",SortedPieces!$C128)</f>
        <v/>
      </c>
      <c r="D132" s="4" t="str">
        <f>IF(SortedPieces!$D128="","",SortedPieces!$D128)</f>
        <v/>
      </c>
      <c r="E132" s="3" t="str">
        <f>IF(SortedPieces!$E128="","",SortedPieces!$E128)</f>
        <v/>
      </c>
      <c r="F132" s="4" t="str">
        <f>IF($B132="","",IF($C132&lt;=$O132,$C132,IF(AND($E132="Y",$D132&lt;=$O132),$D132,IF(AND($E132="Y",$D132&lt;=Inputs!$B$15,$C132&lt;=Inputs!$B$15),IF($C132&lt;$D132,$D132,$C132),IF(AND($E132="Y",$D132&lt;=Inputs!$B$15),$D132,$C132)))))</f>
        <v/>
      </c>
      <c r="G132" s="4" t="str">
        <f>IF($B132="","",IF($C132&lt;=$O132,$D132,IF(AND($E132="Y",$D132&lt;=$O132),$C132,IF(AND($E132="Y",$D132&lt;=Inputs!$B$15,$C132&lt;=Inputs!$B$15),IF($C132&lt;$D132,$C132,$D132),IF(AND($E132="Y",$D132&lt;=Inputs!$B$15),$C132,$D132)))))</f>
        <v/>
      </c>
      <c r="H132" s="3" t="str">
        <f t="shared" si="9"/>
        <v/>
      </c>
      <c r="I132" s="4" t="str">
        <f t="shared" si="11"/>
        <v/>
      </c>
      <c r="J132" s="4" t="str">
        <f t="shared" si="12"/>
        <v/>
      </c>
      <c r="K132" s="4" t="str">
        <f t="shared" si="13"/>
        <v/>
      </c>
      <c r="L132" s="4" t="str">
        <f t="shared" si="14"/>
        <v/>
      </c>
      <c r="M132" s="4" t="str">
        <f t="shared" si="10"/>
        <v/>
      </c>
      <c r="N132" s="4" t="str">
        <f t="shared" si="15"/>
        <v/>
      </c>
      <c r="O132" s="4" t="str">
        <f>IF($B132="","",Inputs!$B$15-$M131)</f>
        <v/>
      </c>
      <c r="P132" s="3" t="str">
        <f t="shared" si="16"/>
        <v/>
      </c>
      <c r="Q132" s="3" t="str">
        <f t="shared" si="17"/>
        <v/>
      </c>
      <c r="R132" s="3" t="str">
        <f>IF($B132="","",IF($Q132,($L131+$N131+$G132)&gt;Inputs!$B$16,FALSE))</f>
        <v/>
      </c>
      <c r="S132" s="3" t="str">
        <f>IF($B132="","",IF(OR($F132&gt;Inputs!$B$15,$G132&gt;Inputs!$B$16),"TOO BIG",IF($R132,"NEW SHEET",IF($Q132,"NEW ROW","OK"))))</f>
        <v/>
      </c>
    </row>
    <row r="133" spans="1:19" x14ac:dyDescent="0.2">
      <c r="A133" s="4">
        <v>127</v>
      </c>
      <c r="B133" s="3" t="str">
        <f>IF(SortedPieces!$B129="","",SortedPieces!$B129)</f>
        <v/>
      </c>
      <c r="C133" s="4" t="str">
        <f>IF(SortedPieces!$C129="","",SortedPieces!$C129)</f>
        <v/>
      </c>
      <c r="D133" s="4" t="str">
        <f>IF(SortedPieces!$D129="","",SortedPieces!$D129)</f>
        <v/>
      </c>
      <c r="E133" s="3" t="str">
        <f>IF(SortedPieces!$E129="","",SortedPieces!$E129)</f>
        <v/>
      </c>
      <c r="F133" s="4" t="str">
        <f>IF($B133="","",IF($C133&lt;=$O133,$C133,IF(AND($E133="Y",$D133&lt;=$O133),$D133,IF(AND($E133="Y",$D133&lt;=Inputs!$B$15,$C133&lt;=Inputs!$B$15),IF($C133&lt;$D133,$D133,$C133),IF(AND($E133="Y",$D133&lt;=Inputs!$B$15),$D133,$C133)))))</f>
        <v/>
      </c>
      <c r="G133" s="4" t="str">
        <f>IF($B133="","",IF($C133&lt;=$O133,$D133,IF(AND($E133="Y",$D133&lt;=$O133),$C133,IF(AND($E133="Y",$D133&lt;=Inputs!$B$15,$C133&lt;=Inputs!$B$15),IF($C133&lt;$D133,$C133,$D133),IF(AND($E133="Y",$D133&lt;=Inputs!$B$15),$C133,$D133)))))</f>
        <v/>
      </c>
      <c r="H133" s="3" t="str">
        <f t="shared" si="9"/>
        <v/>
      </c>
      <c r="I133" s="4" t="str">
        <f t="shared" si="11"/>
        <v/>
      </c>
      <c r="J133" s="4" t="str">
        <f t="shared" si="12"/>
        <v/>
      </c>
      <c r="K133" s="4" t="str">
        <f t="shared" si="13"/>
        <v/>
      </c>
      <c r="L133" s="4" t="str">
        <f t="shared" si="14"/>
        <v/>
      </c>
      <c r="M133" s="4" t="str">
        <f t="shared" si="10"/>
        <v/>
      </c>
      <c r="N133" s="4" t="str">
        <f t="shared" si="15"/>
        <v/>
      </c>
      <c r="O133" s="4" t="str">
        <f>IF($B133="","",Inputs!$B$15-$M132)</f>
        <v/>
      </c>
      <c r="P133" s="3" t="str">
        <f t="shared" si="16"/>
        <v/>
      </c>
      <c r="Q133" s="3" t="str">
        <f t="shared" si="17"/>
        <v/>
      </c>
      <c r="R133" s="3" t="str">
        <f>IF($B133="","",IF($Q133,($L132+$N132+$G133)&gt;Inputs!$B$16,FALSE))</f>
        <v/>
      </c>
      <c r="S133" s="3" t="str">
        <f>IF($B133="","",IF(OR($F133&gt;Inputs!$B$15,$G133&gt;Inputs!$B$16),"TOO BIG",IF($R133,"NEW SHEET",IF($Q133,"NEW ROW","OK"))))</f>
        <v/>
      </c>
    </row>
    <row r="134" spans="1:19" x14ac:dyDescent="0.2">
      <c r="A134" s="4">
        <v>128</v>
      </c>
      <c r="B134" s="3" t="str">
        <f>IF(SortedPieces!$B130="","",SortedPieces!$B130)</f>
        <v/>
      </c>
      <c r="C134" s="4" t="str">
        <f>IF(SortedPieces!$C130="","",SortedPieces!$C130)</f>
        <v/>
      </c>
      <c r="D134" s="4" t="str">
        <f>IF(SortedPieces!$D130="","",SortedPieces!$D130)</f>
        <v/>
      </c>
      <c r="E134" s="3" t="str">
        <f>IF(SortedPieces!$E130="","",SortedPieces!$E130)</f>
        <v/>
      </c>
      <c r="F134" s="4" t="str">
        <f>IF($B134="","",IF($C134&lt;=$O134,$C134,IF(AND($E134="Y",$D134&lt;=$O134),$D134,IF(AND($E134="Y",$D134&lt;=Inputs!$B$15,$C134&lt;=Inputs!$B$15),IF($C134&lt;$D134,$D134,$C134),IF(AND($E134="Y",$D134&lt;=Inputs!$B$15),$D134,$C134)))))</f>
        <v/>
      </c>
      <c r="G134" s="4" t="str">
        <f>IF($B134="","",IF($C134&lt;=$O134,$D134,IF(AND($E134="Y",$D134&lt;=$O134),$C134,IF(AND($E134="Y",$D134&lt;=Inputs!$B$15,$C134&lt;=Inputs!$B$15),IF($C134&lt;$D134,$C134,$D134),IF(AND($E134="Y",$D134&lt;=Inputs!$B$15),$C134,$D134)))))</f>
        <v/>
      </c>
      <c r="H134" s="3" t="str">
        <f t="shared" si="9"/>
        <v/>
      </c>
      <c r="I134" s="4" t="str">
        <f t="shared" si="11"/>
        <v/>
      </c>
      <c r="J134" s="4" t="str">
        <f t="shared" si="12"/>
        <v/>
      </c>
      <c r="K134" s="4" t="str">
        <f t="shared" si="13"/>
        <v/>
      </c>
      <c r="L134" s="4" t="str">
        <f t="shared" si="14"/>
        <v/>
      </c>
      <c r="M134" s="4" t="str">
        <f t="shared" si="10"/>
        <v/>
      </c>
      <c r="N134" s="4" t="str">
        <f t="shared" si="15"/>
        <v/>
      </c>
      <c r="O134" s="4" t="str">
        <f>IF($B134="","",Inputs!$B$15-$M133)</f>
        <v/>
      </c>
      <c r="P134" s="3" t="str">
        <f t="shared" si="16"/>
        <v/>
      </c>
      <c r="Q134" s="3" t="str">
        <f t="shared" si="17"/>
        <v/>
      </c>
      <c r="R134" s="3" t="str">
        <f>IF($B134="","",IF($Q134,($L133+$N133+$G134)&gt;Inputs!$B$16,FALSE))</f>
        <v/>
      </c>
      <c r="S134" s="3" t="str">
        <f>IF($B134="","",IF(OR($F134&gt;Inputs!$B$15,$G134&gt;Inputs!$B$16),"TOO BIG",IF($R134,"NEW SHEET",IF($Q134,"NEW ROW","OK"))))</f>
        <v/>
      </c>
    </row>
    <row r="135" spans="1:19" x14ac:dyDescent="0.2">
      <c r="A135" s="4">
        <v>129</v>
      </c>
      <c r="B135" s="3" t="str">
        <f>IF(SortedPieces!$B131="","",SortedPieces!$B131)</f>
        <v/>
      </c>
      <c r="C135" s="4" t="str">
        <f>IF(SortedPieces!$C131="","",SortedPieces!$C131)</f>
        <v/>
      </c>
      <c r="D135" s="4" t="str">
        <f>IF(SortedPieces!$D131="","",SortedPieces!$D131)</f>
        <v/>
      </c>
      <c r="E135" s="3" t="str">
        <f>IF(SortedPieces!$E131="","",SortedPieces!$E131)</f>
        <v/>
      </c>
      <c r="F135" s="4" t="str">
        <f>IF($B135="","",IF($C135&lt;=$O135,$C135,IF(AND($E135="Y",$D135&lt;=$O135),$D135,IF(AND($E135="Y",$D135&lt;=Inputs!$B$15,$C135&lt;=Inputs!$B$15),IF($C135&lt;$D135,$D135,$C135),IF(AND($E135="Y",$D135&lt;=Inputs!$B$15),$D135,$C135)))))</f>
        <v/>
      </c>
      <c r="G135" s="4" t="str">
        <f>IF($B135="","",IF($C135&lt;=$O135,$D135,IF(AND($E135="Y",$D135&lt;=$O135),$C135,IF(AND($E135="Y",$D135&lt;=Inputs!$B$15,$C135&lt;=Inputs!$B$15),IF($C135&lt;$D135,$C135,$D135),IF(AND($E135="Y",$D135&lt;=Inputs!$B$15),$C135,$D135)))))</f>
        <v/>
      </c>
      <c r="H135" s="3" t="str">
        <f t="shared" ref="H135:H198" si="18">IF($B135="","",IF(AND($E135="Y",$F135=$D135,$G135=$C135),"Y","N"))</f>
        <v/>
      </c>
      <c r="I135" s="4" t="str">
        <f t="shared" si="11"/>
        <v/>
      </c>
      <c r="J135" s="4" t="str">
        <f t="shared" si="12"/>
        <v/>
      </c>
      <c r="K135" s="4" t="str">
        <f t="shared" si="13"/>
        <v/>
      </c>
      <c r="L135" s="4" t="str">
        <f t="shared" si="14"/>
        <v/>
      </c>
      <c r="M135" s="4" t="str">
        <f t="shared" ref="M135:M198" si="19">IF($B135="","",$K135+$F135)</f>
        <v/>
      </c>
      <c r="N135" s="4" t="str">
        <f t="shared" si="15"/>
        <v/>
      </c>
      <c r="O135" s="4" t="str">
        <f>IF($B135="","",Inputs!$B$15-$M134)</f>
        <v/>
      </c>
      <c r="P135" s="3" t="str">
        <f t="shared" si="16"/>
        <v/>
      </c>
      <c r="Q135" s="3" t="str">
        <f t="shared" si="17"/>
        <v/>
      </c>
      <c r="R135" s="3" t="str">
        <f>IF($B135="","",IF($Q135,($L134+$N134+$G135)&gt;Inputs!$B$16,FALSE))</f>
        <v/>
      </c>
      <c r="S135" s="3" t="str">
        <f>IF($B135="","",IF(OR($F135&gt;Inputs!$B$15,$G135&gt;Inputs!$B$16),"TOO BIG",IF($R135,"NEW SHEET",IF($Q135,"NEW ROW","OK"))))</f>
        <v/>
      </c>
    </row>
    <row r="136" spans="1:19" x14ac:dyDescent="0.2">
      <c r="A136" s="4">
        <v>130</v>
      </c>
      <c r="B136" s="3" t="str">
        <f>IF(SortedPieces!$B132="","",SortedPieces!$B132)</f>
        <v/>
      </c>
      <c r="C136" s="4" t="str">
        <f>IF(SortedPieces!$C132="","",SortedPieces!$C132)</f>
        <v/>
      </c>
      <c r="D136" s="4" t="str">
        <f>IF(SortedPieces!$D132="","",SortedPieces!$D132)</f>
        <v/>
      </c>
      <c r="E136" s="3" t="str">
        <f>IF(SortedPieces!$E132="","",SortedPieces!$E132)</f>
        <v/>
      </c>
      <c r="F136" s="4" t="str">
        <f>IF($B136="","",IF($C136&lt;=$O136,$C136,IF(AND($E136="Y",$D136&lt;=$O136),$D136,IF(AND($E136="Y",$D136&lt;=Inputs!$B$15,$C136&lt;=Inputs!$B$15),IF($C136&lt;$D136,$D136,$C136),IF(AND($E136="Y",$D136&lt;=Inputs!$B$15),$D136,$C136)))))</f>
        <v/>
      </c>
      <c r="G136" s="4" t="str">
        <f>IF($B136="","",IF($C136&lt;=$O136,$D136,IF(AND($E136="Y",$D136&lt;=$O136),$C136,IF(AND($E136="Y",$D136&lt;=Inputs!$B$15,$C136&lt;=Inputs!$B$15),IF($C136&lt;$D136,$C136,$D136),IF(AND($E136="Y",$D136&lt;=Inputs!$B$15),$C136,$D136)))))</f>
        <v/>
      </c>
      <c r="H136" s="3" t="str">
        <f t="shared" si="18"/>
        <v/>
      </c>
      <c r="I136" s="4" t="str">
        <f t="shared" ref="I136:I199" si="20">IF($B136="","",IF($R136,$I135+1,$I135))</f>
        <v/>
      </c>
      <c r="J136" s="4" t="str">
        <f t="shared" ref="J136:J199" si="21">IF($B136="","",IF($R136,1,IF($Q136,$J135+1,$J135)))</f>
        <v/>
      </c>
      <c r="K136" s="4" t="str">
        <f t="shared" ref="K136:K199" si="22">IF($B136="","",IF($R136,0,IF($Q136,0,$M135)))</f>
        <v/>
      </c>
      <c r="L136" s="4" t="str">
        <f t="shared" ref="L136:L199" si="23">IF($B136="","",IF($R136,0,IF($Q136,$L135+$N135,$L135)))</f>
        <v/>
      </c>
      <c r="M136" s="4" t="str">
        <f t="shared" si="19"/>
        <v/>
      </c>
      <c r="N136" s="4" t="str">
        <f t="shared" ref="N136:N199" si="24">IF($B136="","",IF($R136,$G136,IF($Q136,$G136,MAX($N135,$G136))))</f>
        <v/>
      </c>
      <c r="O136" s="4" t="str">
        <f>IF($B136="","",Inputs!$B$15-$M135)</f>
        <v/>
      </c>
      <c r="P136" s="3" t="str">
        <f t="shared" ref="P136:P199" si="25">IF($B136="","",IF($F136&lt;=$O136,TRUE,FALSE))</f>
        <v/>
      </c>
      <c r="Q136" s="3" t="str">
        <f t="shared" ref="Q136:Q199" si="26">IF($B136="","",NOT($P136))</f>
        <v/>
      </c>
      <c r="R136" s="3" t="str">
        <f>IF($B136="","",IF($Q136,($L135+$N135+$G136)&gt;Inputs!$B$16,FALSE))</f>
        <v/>
      </c>
      <c r="S136" s="3" t="str">
        <f>IF($B136="","",IF(OR($F136&gt;Inputs!$B$15,$G136&gt;Inputs!$B$16),"TOO BIG",IF($R136,"NEW SHEET",IF($Q136,"NEW ROW","OK"))))</f>
        <v/>
      </c>
    </row>
    <row r="137" spans="1:19" x14ac:dyDescent="0.2">
      <c r="A137" s="4">
        <v>131</v>
      </c>
      <c r="B137" s="3" t="str">
        <f>IF(SortedPieces!$B133="","",SortedPieces!$B133)</f>
        <v/>
      </c>
      <c r="C137" s="4" t="str">
        <f>IF(SortedPieces!$C133="","",SortedPieces!$C133)</f>
        <v/>
      </c>
      <c r="D137" s="4" t="str">
        <f>IF(SortedPieces!$D133="","",SortedPieces!$D133)</f>
        <v/>
      </c>
      <c r="E137" s="3" t="str">
        <f>IF(SortedPieces!$E133="","",SortedPieces!$E133)</f>
        <v/>
      </c>
      <c r="F137" s="4" t="str">
        <f>IF($B137="","",IF($C137&lt;=$O137,$C137,IF(AND($E137="Y",$D137&lt;=$O137),$D137,IF(AND($E137="Y",$D137&lt;=Inputs!$B$15,$C137&lt;=Inputs!$B$15),IF($C137&lt;$D137,$D137,$C137),IF(AND($E137="Y",$D137&lt;=Inputs!$B$15),$D137,$C137)))))</f>
        <v/>
      </c>
      <c r="G137" s="4" t="str">
        <f>IF($B137="","",IF($C137&lt;=$O137,$D137,IF(AND($E137="Y",$D137&lt;=$O137),$C137,IF(AND($E137="Y",$D137&lt;=Inputs!$B$15,$C137&lt;=Inputs!$B$15),IF($C137&lt;$D137,$C137,$D137),IF(AND($E137="Y",$D137&lt;=Inputs!$B$15),$C137,$D137)))))</f>
        <v/>
      </c>
      <c r="H137" s="3" t="str">
        <f t="shared" si="18"/>
        <v/>
      </c>
      <c r="I137" s="4" t="str">
        <f t="shared" si="20"/>
        <v/>
      </c>
      <c r="J137" s="4" t="str">
        <f t="shared" si="21"/>
        <v/>
      </c>
      <c r="K137" s="4" t="str">
        <f t="shared" si="22"/>
        <v/>
      </c>
      <c r="L137" s="4" t="str">
        <f t="shared" si="23"/>
        <v/>
      </c>
      <c r="M137" s="4" t="str">
        <f t="shared" si="19"/>
        <v/>
      </c>
      <c r="N137" s="4" t="str">
        <f t="shared" si="24"/>
        <v/>
      </c>
      <c r="O137" s="4" t="str">
        <f>IF($B137="","",Inputs!$B$15-$M136)</f>
        <v/>
      </c>
      <c r="P137" s="3" t="str">
        <f t="shared" si="25"/>
        <v/>
      </c>
      <c r="Q137" s="3" t="str">
        <f t="shared" si="26"/>
        <v/>
      </c>
      <c r="R137" s="3" t="str">
        <f>IF($B137="","",IF($Q137,($L136+$N136+$G137)&gt;Inputs!$B$16,FALSE))</f>
        <v/>
      </c>
      <c r="S137" s="3" t="str">
        <f>IF($B137="","",IF(OR($F137&gt;Inputs!$B$15,$G137&gt;Inputs!$B$16),"TOO BIG",IF($R137,"NEW SHEET",IF($Q137,"NEW ROW","OK"))))</f>
        <v/>
      </c>
    </row>
    <row r="138" spans="1:19" x14ac:dyDescent="0.2">
      <c r="A138" s="4">
        <v>132</v>
      </c>
      <c r="B138" s="3" t="str">
        <f>IF(SortedPieces!$B134="","",SortedPieces!$B134)</f>
        <v/>
      </c>
      <c r="C138" s="4" t="str">
        <f>IF(SortedPieces!$C134="","",SortedPieces!$C134)</f>
        <v/>
      </c>
      <c r="D138" s="4" t="str">
        <f>IF(SortedPieces!$D134="","",SortedPieces!$D134)</f>
        <v/>
      </c>
      <c r="E138" s="3" t="str">
        <f>IF(SortedPieces!$E134="","",SortedPieces!$E134)</f>
        <v/>
      </c>
      <c r="F138" s="4" t="str">
        <f>IF($B138="","",IF($C138&lt;=$O138,$C138,IF(AND($E138="Y",$D138&lt;=$O138),$D138,IF(AND($E138="Y",$D138&lt;=Inputs!$B$15,$C138&lt;=Inputs!$B$15),IF($C138&lt;$D138,$D138,$C138),IF(AND($E138="Y",$D138&lt;=Inputs!$B$15),$D138,$C138)))))</f>
        <v/>
      </c>
      <c r="G138" s="4" t="str">
        <f>IF($B138="","",IF($C138&lt;=$O138,$D138,IF(AND($E138="Y",$D138&lt;=$O138),$C138,IF(AND($E138="Y",$D138&lt;=Inputs!$B$15,$C138&lt;=Inputs!$B$15),IF($C138&lt;$D138,$C138,$D138),IF(AND($E138="Y",$D138&lt;=Inputs!$B$15),$C138,$D138)))))</f>
        <v/>
      </c>
      <c r="H138" s="3" t="str">
        <f t="shared" si="18"/>
        <v/>
      </c>
      <c r="I138" s="4" t="str">
        <f t="shared" si="20"/>
        <v/>
      </c>
      <c r="J138" s="4" t="str">
        <f t="shared" si="21"/>
        <v/>
      </c>
      <c r="K138" s="4" t="str">
        <f t="shared" si="22"/>
        <v/>
      </c>
      <c r="L138" s="4" t="str">
        <f t="shared" si="23"/>
        <v/>
      </c>
      <c r="M138" s="4" t="str">
        <f t="shared" si="19"/>
        <v/>
      </c>
      <c r="N138" s="4" t="str">
        <f t="shared" si="24"/>
        <v/>
      </c>
      <c r="O138" s="4" t="str">
        <f>IF($B138="","",Inputs!$B$15-$M137)</f>
        <v/>
      </c>
      <c r="P138" s="3" t="str">
        <f t="shared" si="25"/>
        <v/>
      </c>
      <c r="Q138" s="3" t="str">
        <f t="shared" si="26"/>
        <v/>
      </c>
      <c r="R138" s="3" t="str">
        <f>IF($B138="","",IF($Q138,($L137+$N137+$G138)&gt;Inputs!$B$16,FALSE))</f>
        <v/>
      </c>
      <c r="S138" s="3" t="str">
        <f>IF($B138="","",IF(OR($F138&gt;Inputs!$B$15,$G138&gt;Inputs!$B$16),"TOO BIG",IF($R138,"NEW SHEET",IF($Q138,"NEW ROW","OK"))))</f>
        <v/>
      </c>
    </row>
    <row r="139" spans="1:19" x14ac:dyDescent="0.2">
      <c r="A139" s="4">
        <v>133</v>
      </c>
      <c r="B139" s="3" t="str">
        <f>IF(SortedPieces!$B135="","",SortedPieces!$B135)</f>
        <v/>
      </c>
      <c r="C139" s="4" t="str">
        <f>IF(SortedPieces!$C135="","",SortedPieces!$C135)</f>
        <v/>
      </c>
      <c r="D139" s="4" t="str">
        <f>IF(SortedPieces!$D135="","",SortedPieces!$D135)</f>
        <v/>
      </c>
      <c r="E139" s="3" t="str">
        <f>IF(SortedPieces!$E135="","",SortedPieces!$E135)</f>
        <v/>
      </c>
      <c r="F139" s="4" t="str">
        <f>IF($B139="","",IF($C139&lt;=$O139,$C139,IF(AND($E139="Y",$D139&lt;=$O139),$D139,IF(AND($E139="Y",$D139&lt;=Inputs!$B$15,$C139&lt;=Inputs!$B$15),IF($C139&lt;$D139,$D139,$C139),IF(AND($E139="Y",$D139&lt;=Inputs!$B$15),$D139,$C139)))))</f>
        <v/>
      </c>
      <c r="G139" s="4" t="str">
        <f>IF($B139="","",IF($C139&lt;=$O139,$D139,IF(AND($E139="Y",$D139&lt;=$O139),$C139,IF(AND($E139="Y",$D139&lt;=Inputs!$B$15,$C139&lt;=Inputs!$B$15),IF($C139&lt;$D139,$C139,$D139),IF(AND($E139="Y",$D139&lt;=Inputs!$B$15),$C139,$D139)))))</f>
        <v/>
      </c>
      <c r="H139" s="3" t="str">
        <f t="shared" si="18"/>
        <v/>
      </c>
      <c r="I139" s="4" t="str">
        <f t="shared" si="20"/>
        <v/>
      </c>
      <c r="J139" s="4" t="str">
        <f t="shared" si="21"/>
        <v/>
      </c>
      <c r="K139" s="4" t="str">
        <f t="shared" si="22"/>
        <v/>
      </c>
      <c r="L139" s="4" t="str">
        <f t="shared" si="23"/>
        <v/>
      </c>
      <c r="M139" s="4" t="str">
        <f t="shared" si="19"/>
        <v/>
      </c>
      <c r="N139" s="4" t="str">
        <f t="shared" si="24"/>
        <v/>
      </c>
      <c r="O139" s="4" t="str">
        <f>IF($B139="","",Inputs!$B$15-$M138)</f>
        <v/>
      </c>
      <c r="P139" s="3" t="str">
        <f t="shared" si="25"/>
        <v/>
      </c>
      <c r="Q139" s="3" t="str">
        <f t="shared" si="26"/>
        <v/>
      </c>
      <c r="R139" s="3" t="str">
        <f>IF($B139="","",IF($Q139,($L138+$N138+$G139)&gt;Inputs!$B$16,FALSE))</f>
        <v/>
      </c>
      <c r="S139" s="3" t="str">
        <f>IF($B139="","",IF(OR($F139&gt;Inputs!$B$15,$G139&gt;Inputs!$B$16),"TOO BIG",IF($R139,"NEW SHEET",IF($Q139,"NEW ROW","OK"))))</f>
        <v/>
      </c>
    </row>
    <row r="140" spans="1:19" x14ac:dyDescent="0.2">
      <c r="A140" s="4">
        <v>134</v>
      </c>
      <c r="B140" s="3" t="str">
        <f>IF(SortedPieces!$B136="","",SortedPieces!$B136)</f>
        <v/>
      </c>
      <c r="C140" s="4" t="str">
        <f>IF(SortedPieces!$C136="","",SortedPieces!$C136)</f>
        <v/>
      </c>
      <c r="D140" s="4" t="str">
        <f>IF(SortedPieces!$D136="","",SortedPieces!$D136)</f>
        <v/>
      </c>
      <c r="E140" s="3" t="str">
        <f>IF(SortedPieces!$E136="","",SortedPieces!$E136)</f>
        <v/>
      </c>
      <c r="F140" s="4" t="str">
        <f>IF($B140="","",IF($C140&lt;=$O140,$C140,IF(AND($E140="Y",$D140&lt;=$O140),$D140,IF(AND($E140="Y",$D140&lt;=Inputs!$B$15,$C140&lt;=Inputs!$B$15),IF($C140&lt;$D140,$D140,$C140),IF(AND($E140="Y",$D140&lt;=Inputs!$B$15),$D140,$C140)))))</f>
        <v/>
      </c>
      <c r="G140" s="4" t="str">
        <f>IF($B140="","",IF($C140&lt;=$O140,$D140,IF(AND($E140="Y",$D140&lt;=$O140),$C140,IF(AND($E140="Y",$D140&lt;=Inputs!$B$15,$C140&lt;=Inputs!$B$15),IF($C140&lt;$D140,$C140,$D140),IF(AND($E140="Y",$D140&lt;=Inputs!$B$15),$C140,$D140)))))</f>
        <v/>
      </c>
      <c r="H140" s="3" t="str">
        <f t="shared" si="18"/>
        <v/>
      </c>
      <c r="I140" s="4" t="str">
        <f t="shared" si="20"/>
        <v/>
      </c>
      <c r="J140" s="4" t="str">
        <f t="shared" si="21"/>
        <v/>
      </c>
      <c r="K140" s="4" t="str">
        <f t="shared" si="22"/>
        <v/>
      </c>
      <c r="L140" s="4" t="str">
        <f t="shared" si="23"/>
        <v/>
      </c>
      <c r="M140" s="4" t="str">
        <f t="shared" si="19"/>
        <v/>
      </c>
      <c r="N140" s="4" t="str">
        <f t="shared" si="24"/>
        <v/>
      </c>
      <c r="O140" s="4" t="str">
        <f>IF($B140="","",Inputs!$B$15-$M139)</f>
        <v/>
      </c>
      <c r="P140" s="3" t="str">
        <f t="shared" si="25"/>
        <v/>
      </c>
      <c r="Q140" s="3" t="str">
        <f t="shared" si="26"/>
        <v/>
      </c>
      <c r="R140" s="3" t="str">
        <f>IF($B140="","",IF($Q140,($L139+$N139+$G140)&gt;Inputs!$B$16,FALSE))</f>
        <v/>
      </c>
      <c r="S140" s="3" t="str">
        <f>IF($B140="","",IF(OR($F140&gt;Inputs!$B$15,$G140&gt;Inputs!$B$16),"TOO BIG",IF($R140,"NEW SHEET",IF($Q140,"NEW ROW","OK"))))</f>
        <v/>
      </c>
    </row>
    <row r="141" spans="1:19" x14ac:dyDescent="0.2">
      <c r="A141" s="4">
        <v>135</v>
      </c>
      <c r="B141" s="3" t="str">
        <f>IF(SortedPieces!$B137="","",SortedPieces!$B137)</f>
        <v/>
      </c>
      <c r="C141" s="4" t="str">
        <f>IF(SortedPieces!$C137="","",SortedPieces!$C137)</f>
        <v/>
      </c>
      <c r="D141" s="4" t="str">
        <f>IF(SortedPieces!$D137="","",SortedPieces!$D137)</f>
        <v/>
      </c>
      <c r="E141" s="3" t="str">
        <f>IF(SortedPieces!$E137="","",SortedPieces!$E137)</f>
        <v/>
      </c>
      <c r="F141" s="4" t="str">
        <f>IF($B141="","",IF($C141&lt;=$O141,$C141,IF(AND($E141="Y",$D141&lt;=$O141),$D141,IF(AND($E141="Y",$D141&lt;=Inputs!$B$15,$C141&lt;=Inputs!$B$15),IF($C141&lt;$D141,$D141,$C141),IF(AND($E141="Y",$D141&lt;=Inputs!$B$15),$D141,$C141)))))</f>
        <v/>
      </c>
      <c r="G141" s="4" t="str">
        <f>IF($B141="","",IF($C141&lt;=$O141,$D141,IF(AND($E141="Y",$D141&lt;=$O141),$C141,IF(AND($E141="Y",$D141&lt;=Inputs!$B$15,$C141&lt;=Inputs!$B$15),IF($C141&lt;$D141,$C141,$D141),IF(AND($E141="Y",$D141&lt;=Inputs!$B$15),$C141,$D141)))))</f>
        <v/>
      </c>
      <c r="H141" s="3" t="str">
        <f t="shared" si="18"/>
        <v/>
      </c>
      <c r="I141" s="4" t="str">
        <f t="shared" si="20"/>
        <v/>
      </c>
      <c r="J141" s="4" t="str">
        <f t="shared" si="21"/>
        <v/>
      </c>
      <c r="K141" s="4" t="str">
        <f t="shared" si="22"/>
        <v/>
      </c>
      <c r="L141" s="4" t="str">
        <f t="shared" si="23"/>
        <v/>
      </c>
      <c r="M141" s="4" t="str">
        <f t="shared" si="19"/>
        <v/>
      </c>
      <c r="N141" s="4" t="str">
        <f t="shared" si="24"/>
        <v/>
      </c>
      <c r="O141" s="4" t="str">
        <f>IF($B141="","",Inputs!$B$15-$M140)</f>
        <v/>
      </c>
      <c r="P141" s="3" t="str">
        <f t="shared" si="25"/>
        <v/>
      </c>
      <c r="Q141" s="3" t="str">
        <f t="shared" si="26"/>
        <v/>
      </c>
      <c r="R141" s="3" t="str">
        <f>IF($B141="","",IF($Q141,($L140+$N140+$G141)&gt;Inputs!$B$16,FALSE))</f>
        <v/>
      </c>
      <c r="S141" s="3" t="str">
        <f>IF($B141="","",IF(OR($F141&gt;Inputs!$B$15,$G141&gt;Inputs!$B$16),"TOO BIG",IF($R141,"NEW SHEET",IF($Q141,"NEW ROW","OK"))))</f>
        <v/>
      </c>
    </row>
    <row r="142" spans="1:19" x14ac:dyDescent="0.2">
      <c r="A142" s="4">
        <v>136</v>
      </c>
      <c r="B142" s="3" t="str">
        <f>IF(SortedPieces!$B138="","",SortedPieces!$B138)</f>
        <v/>
      </c>
      <c r="C142" s="4" t="str">
        <f>IF(SortedPieces!$C138="","",SortedPieces!$C138)</f>
        <v/>
      </c>
      <c r="D142" s="4" t="str">
        <f>IF(SortedPieces!$D138="","",SortedPieces!$D138)</f>
        <v/>
      </c>
      <c r="E142" s="3" t="str">
        <f>IF(SortedPieces!$E138="","",SortedPieces!$E138)</f>
        <v/>
      </c>
      <c r="F142" s="4" t="str">
        <f>IF($B142="","",IF($C142&lt;=$O142,$C142,IF(AND($E142="Y",$D142&lt;=$O142),$D142,IF(AND($E142="Y",$D142&lt;=Inputs!$B$15,$C142&lt;=Inputs!$B$15),IF($C142&lt;$D142,$D142,$C142),IF(AND($E142="Y",$D142&lt;=Inputs!$B$15),$D142,$C142)))))</f>
        <v/>
      </c>
      <c r="G142" s="4" t="str">
        <f>IF($B142="","",IF($C142&lt;=$O142,$D142,IF(AND($E142="Y",$D142&lt;=$O142),$C142,IF(AND($E142="Y",$D142&lt;=Inputs!$B$15,$C142&lt;=Inputs!$B$15),IF($C142&lt;$D142,$C142,$D142),IF(AND($E142="Y",$D142&lt;=Inputs!$B$15),$C142,$D142)))))</f>
        <v/>
      </c>
      <c r="H142" s="3" t="str">
        <f t="shared" si="18"/>
        <v/>
      </c>
      <c r="I142" s="4" t="str">
        <f t="shared" si="20"/>
        <v/>
      </c>
      <c r="J142" s="4" t="str">
        <f t="shared" si="21"/>
        <v/>
      </c>
      <c r="K142" s="4" t="str">
        <f t="shared" si="22"/>
        <v/>
      </c>
      <c r="L142" s="4" t="str">
        <f t="shared" si="23"/>
        <v/>
      </c>
      <c r="M142" s="4" t="str">
        <f t="shared" si="19"/>
        <v/>
      </c>
      <c r="N142" s="4" t="str">
        <f t="shared" si="24"/>
        <v/>
      </c>
      <c r="O142" s="4" t="str">
        <f>IF($B142="","",Inputs!$B$15-$M141)</f>
        <v/>
      </c>
      <c r="P142" s="3" t="str">
        <f t="shared" si="25"/>
        <v/>
      </c>
      <c r="Q142" s="3" t="str">
        <f t="shared" si="26"/>
        <v/>
      </c>
      <c r="R142" s="3" t="str">
        <f>IF($B142="","",IF($Q142,($L141+$N141+$G142)&gt;Inputs!$B$16,FALSE))</f>
        <v/>
      </c>
      <c r="S142" s="3" t="str">
        <f>IF($B142="","",IF(OR($F142&gt;Inputs!$B$15,$G142&gt;Inputs!$B$16),"TOO BIG",IF($R142,"NEW SHEET",IF($Q142,"NEW ROW","OK"))))</f>
        <v/>
      </c>
    </row>
    <row r="143" spans="1:19" x14ac:dyDescent="0.2">
      <c r="A143" s="4">
        <v>137</v>
      </c>
      <c r="B143" s="3" t="str">
        <f>IF(SortedPieces!$B139="","",SortedPieces!$B139)</f>
        <v/>
      </c>
      <c r="C143" s="4" t="str">
        <f>IF(SortedPieces!$C139="","",SortedPieces!$C139)</f>
        <v/>
      </c>
      <c r="D143" s="4" t="str">
        <f>IF(SortedPieces!$D139="","",SortedPieces!$D139)</f>
        <v/>
      </c>
      <c r="E143" s="3" t="str">
        <f>IF(SortedPieces!$E139="","",SortedPieces!$E139)</f>
        <v/>
      </c>
      <c r="F143" s="4" t="str">
        <f>IF($B143="","",IF($C143&lt;=$O143,$C143,IF(AND($E143="Y",$D143&lt;=$O143),$D143,IF(AND($E143="Y",$D143&lt;=Inputs!$B$15,$C143&lt;=Inputs!$B$15),IF($C143&lt;$D143,$D143,$C143),IF(AND($E143="Y",$D143&lt;=Inputs!$B$15),$D143,$C143)))))</f>
        <v/>
      </c>
      <c r="G143" s="4" t="str">
        <f>IF($B143="","",IF($C143&lt;=$O143,$D143,IF(AND($E143="Y",$D143&lt;=$O143),$C143,IF(AND($E143="Y",$D143&lt;=Inputs!$B$15,$C143&lt;=Inputs!$B$15),IF($C143&lt;$D143,$C143,$D143),IF(AND($E143="Y",$D143&lt;=Inputs!$B$15),$C143,$D143)))))</f>
        <v/>
      </c>
      <c r="H143" s="3" t="str">
        <f t="shared" si="18"/>
        <v/>
      </c>
      <c r="I143" s="4" t="str">
        <f t="shared" si="20"/>
        <v/>
      </c>
      <c r="J143" s="4" t="str">
        <f t="shared" si="21"/>
        <v/>
      </c>
      <c r="K143" s="4" t="str">
        <f t="shared" si="22"/>
        <v/>
      </c>
      <c r="L143" s="4" t="str">
        <f t="shared" si="23"/>
        <v/>
      </c>
      <c r="M143" s="4" t="str">
        <f t="shared" si="19"/>
        <v/>
      </c>
      <c r="N143" s="4" t="str">
        <f t="shared" si="24"/>
        <v/>
      </c>
      <c r="O143" s="4" t="str">
        <f>IF($B143="","",Inputs!$B$15-$M142)</f>
        <v/>
      </c>
      <c r="P143" s="3" t="str">
        <f t="shared" si="25"/>
        <v/>
      </c>
      <c r="Q143" s="3" t="str">
        <f t="shared" si="26"/>
        <v/>
      </c>
      <c r="R143" s="3" t="str">
        <f>IF($B143="","",IF($Q143,($L142+$N142+$G143)&gt;Inputs!$B$16,FALSE))</f>
        <v/>
      </c>
      <c r="S143" s="3" t="str">
        <f>IF($B143="","",IF(OR($F143&gt;Inputs!$B$15,$G143&gt;Inputs!$B$16),"TOO BIG",IF($R143,"NEW SHEET",IF($Q143,"NEW ROW","OK"))))</f>
        <v/>
      </c>
    </row>
    <row r="144" spans="1:19" x14ac:dyDescent="0.2">
      <c r="A144" s="4">
        <v>138</v>
      </c>
      <c r="B144" s="3" t="str">
        <f>IF(SortedPieces!$B140="","",SortedPieces!$B140)</f>
        <v/>
      </c>
      <c r="C144" s="4" t="str">
        <f>IF(SortedPieces!$C140="","",SortedPieces!$C140)</f>
        <v/>
      </c>
      <c r="D144" s="4" t="str">
        <f>IF(SortedPieces!$D140="","",SortedPieces!$D140)</f>
        <v/>
      </c>
      <c r="E144" s="3" t="str">
        <f>IF(SortedPieces!$E140="","",SortedPieces!$E140)</f>
        <v/>
      </c>
      <c r="F144" s="4" t="str">
        <f>IF($B144="","",IF($C144&lt;=$O144,$C144,IF(AND($E144="Y",$D144&lt;=$O144),$D144,IF(AND($E144="Y",$D144&lt;=Inputs!$B$15,$C144&lt;=Inputs!$B$15),IF($C144&lt;$D144,$D144,$C144),IF(AND($E144="Y",$D144&lt;=Inputs!$B$15),$D144,$C144)))))</f>
        <v/>
      </c>
      <c r="G144" s="4" t="str">
        <f>IF($B144="","",IF($C144&lt;=$O144,$D144,IF(AND($E144="Y",$D144&lt;=$O144),$C144,IF(AND($E144="Y",$D144&lt;=Inputs!$B$15,$C144&lt;=Inputs!$B$15),IF($C144&lt;$D144,$C144,$D144),IF(AND($E144="Y",$D144&lt;=Inputs!$B$15),$C144,$D144)))))</f>
        <v/>
      </c>
      <c r="H144" s="3" t="str">
        <f t="shared" si="18"/>
        <v/>
      </c>
      <c r="I144" s="4" t="str">
        <f t="shared" si="20"/>
        <v/>
      </c>
      <c r="J144" s="4" t="str">
        <f t="shared" si="21"/>
        <v/>
      </c>
      <c r="K144" s="4" t="str">
        <f t="shared" si="22"/>
        <v/>
      </c>
      <c r="L144" s="4" t="str">
        <f t="shared" si="23"/>
        <v/>
      </c>
      <c r="M144" s="4" t="str">
        <f t="shared" si="19"/>
        <v/>
      </c>
      <c r="N144" s="4" t="str">
        <f t="shared" si="24"/>
        <v/>
      </c>
      <c r="O144" s="4" t="str">
        <f>IF($B144="","",Inputs!$B$15-$M143)</f>
        <v/>
      </c>
      <c r="P144" s="3" t="str">
        <f t="shared" si="25"/>
        <v/>
      </c>
      <c r="Q144" s="3" t="str">
        <f t="shared" si="26"/>
        <v/>
      </c>
      <c r="R144" s="3" t="str">
        <f>IF($B144="","",IF($Q144,($L143+$N143+$G144)&gt;Inputs!$B$16,FALSE))</f>
        <v/>
      </c>
      <c r="S144" s="3" t="str">
        <f>IF($B144="","",IF(OR($F144&gt;Inputs!$B$15,$G144&gt;Inputs!$B$16),"TOO BIG",IF($R144,"NEW SHEET",IF($Q144,"NEW ROW","OK"))))</f>
        <v/>
      </c>
    </row>
    <row r="145" spans="1:19" x14ac:dyDescent="0.2">
      <c r="A145" s="4">
        <v>139</v>
      </c>
      <c r="B145" s="3" t="str">
        <f>IF(SortedPieces!$B141="","",SortedPieces!$B141)</f>
        <v/>
      </c>
      <c r="C145" s="4" t="str">
        <f>IF(SortedPieces!$C141="","",SortedPieces!$C141)</f>
        <v/>
      </c>
      <c r="D145" s="4" t="str">
        <f>IF(SortedPieces!$D141="","",SortedPieces!$D141)</f>
        <v/>
      </c>
      <c r="E145" s="3" t="str">
        <f>IF(SortedPieces!$E141="","",SortedPieces!$E141)</f>
        <v/>
      </c>
      <c r="F145" s="4" t="str">
        <f>IF($B145="","",IF($C145&lt;=$O145,$C145,IF(AND($E145="Y",$D145&lt;=$O145),$D145,IF(AND($E145="Y",$D145&lt;=Inputs!$B$15,$C145&lt;=Inputs!$B$15),IF($C145&lt;$D145,$D145,$C145),IF(AND($E145="Y",$D145&lt;=Inputs!$B$15),$D145,$C145)))))</f>
        <v/>
      </c>
      <c r="G145" s="4" t="str">
        <f>IF($B145="","",IF($C145&lt;=$O145,$D145,IF(AND($E145="Y",$D145&lt;=$O145),$C145,IF(AND($E145="Y",$D145&lt;=Inputs!$B$15,$C145&lt;=Inputs!$B$15),IF($C145&lt;$D145,$C145,$D145),IF(AND($E145="Y",$D145&lt;=Inputs!$B$15),$C145,$D145)))))</f>
        <v/>
      </c>
      <c r="H145" s="3" t="str">
        <f t="shared" si="18"/>
        <v/>
      </c>
      <c r="I145" s="4" t="str">
        <f t="shared" si="20"/>
        <v/>
      </c>
      <c r="J145" s="4" t="str">
        <f t="shared" si="21"/>
        <v/>
      </c>
      <c r="K145" s="4" t="str">
        <f t="shared" si="22"/>
        <v/>
      </c>
      <c r="L145" s="4" t="str">
        <f t="shared" si="23"/>
        <v/>
      </c>
      <c r="M145" s="4" t="str">
        <f t="shared" si="19"/>
        <v/>
      </c>
      <c r="N145" s="4" t="str">
        <f t="shared" si="24"/>
        <v/>
      </c>
      <c r="O145" s="4" t="str">
        <f>IF($B145="","",Inputs!$B$15-$M144)</f>
        <v/>
      </c>
      <c r="P145" s="3" t="str">
        <f t="shared" si="25"/>
        <v/>
      </c>
      <c r="Q145" s="3" t="str">
        <f t="shared" si="26"/>
        <v/>
      </c>
      <c r="R145" s="3" t="str">
        <f>IF($B145="","",IF($Q145,($L144+$N144+$G145)&gt;Inputs!$B$16,FALSE))</f>
        <v/>
      </c>
      <c r="S145" s="3" t="str">
        <f>IF($B145="","",IF(OR($F145&gt;Inputs!$B$15,$G145&gt;Inputs!$B$16),"TOO BIG",IF($R145,"NEW SHEET",IF($Q145,"NEW ROW","OK"))))</f>
        <v/>
      </c>
    </row>
    <row r="146" spans="1:19" x14ac:dyDescent="0.2">
      <c r="A146" s="4">
        <v>140</v>
      </c>
      <c r="B146" s="3" t="str">
        <f>IF(SortedPieces!$B142="","",SortedPieces!$B142)</f>
        <v/>
      </c>
      <c r="C146" s="4" t="str">
        <f>IF(SortedPieces!$C142="","",SortedPieces!$C142)</f>
        <v/>
      </c>
      <c r="D146" s="4" t="str">
        <f>IF(SortedPieces!$D142="","",SortedPieces!$D142)</f>
        <v/>
      </c>
      <c r="E146" s="3" t="str">
        <f>IF(SortedPieces!$E142="","",SortedPieces!$E142)</f>
        <v/>
      </c>
      <c r="F146" s="4" t="str">
        <f>IF($B146="","",IF($C146&lt;=$O146,$C146,IF(AND($E146="Y",$D146&lt;=$O146),$D146,IF(AND($E146="Y",$D146&lt;=Inputs!$B$15,$C146&lt;=Inputs!$B$15),IF($C146&lt;$D146,$D146,$C146),IF(AND($E146="Y",$D146&lt;=Inputs!$B$15),$D146,$C146)))))</f>
        <v/>
      </c>
      <c r="G146" s="4" t="str">
        <f>IF($B146="","",IF($C146&lt;=$O146,$D146,IF(AND($E146="Y",$D146&lt;=$O146),$C146,IF(AND($E146="Y",$D146&lt;=Inputs!$B$15,$C146&lt;=Inputs!$B$15),IF($C146&lt;$D146,$C146,$D146),IF(AND($E146="Y",$D146&lt;=Inputs!$B$15),$C146,$D146)))))</f>
        <v/>
      </c>
      <c r="H146" s="3" t="str">
        <f t="shared" si="18"/>
        <v/>
      </c>
      <c r="I146" s="4" t="str">
        <f t="shared" si="20"/>
        <v/>
      </c>
      <c r="J146" s="4" t="str">
        <f t="shared" si="21"/>
        <v/>
      </c>
      <c r="K146" s="4" t="str">
        <f t="shared" si="22"/>
        <v/>
      </c>
      <c r="L146" s="4" t="str">
        <f t="shared" si="23"/>
        <v/>
      </c>
      <c r="M146" s="4" t="str">
        <f t="shared" si="19"/>
        <v/>
      </c>
      <c r="N146" s="4" t="str">
        <f t="shared" si="24"/>
        <v/>
      </c>
      <c r="O146" s="4" t="str">
        <f>IF($B146="","",Inputs!$B$15-$M145)</f>
        <v/>
      </c>
      <c r="P146" s="3" t="str">
        <f t="shared" si="25"/>
        <v/>
      </c>
      <c r="Q146" s="3" t="str">
        <f t="shared" si="26"/>
        <v/>
      </c>
      <c r="R146" s="3" t="str">
        <f>IF($B146="","",IF($Q146,($L145+$N145+$G146)&gt;Inputs!$B$16,FALSE))</f>
        <v/>
      </c>
      <c r="S146" s="3" t="str">
        <f>IF($B146="","",IF(OR($F146&gt;Inputs!$B$15,$G146&gt;Inputs!$B$16),"TOO BIG",IF($R146,"NEW SHEET",IF($Q146,"NEW ROW","OK"))))</f>
        <v/>
      </c>
    </row>
    <row r="147" spans="1:19" x14ac:dyDescent="0.2">
      <c r="A147" s="4">
        <v>141</v>
      </c>
      <c r="B147" s="3" t="str">
        <f>IF(SortedPieces!$B143="","",SortedPieces!$B143)</f>
        <v/>
      </c>
      <c r="C147" s="4" t="str">
        <f>IF(SortedPieces!$C143="","",SortedPieces!$C143)</f>
        <v/>
      </c>
      <c r="D147" s="4" t="str">
        <f>IF(SortedPieces!$D143="","",SortedPieces!$D143)</f>
        <v/>
      </c>
      <c r="E147" s="3" t="str">
        <f>IF(SortedPieces!$E143="","",SortedPieces!$E143)</f>
        <v/>
      </c>
      <c r="F147" s="4" t="str">
        <f>IF($B147="","",IF($C147&lt;=$O147,$C147,IF(AND($E147="Y",$D147&lt;=$O147),$D147,IF(AND($E147="Y",$D147&lt;=Inputs!$B$15,$C147&lt;=Inputs!$B$15),IF($C147&lt;$D147,$D147,$C147),IF(AND($E147="Y",$D147&lt;=Inputs!$B$15),$D147,$C147)))))</f>
        <v/>
      </c>
      <c r="G147" s="4" t="str">
        <f>IF($B147="","",IF($C147&lt;=$O147,$D147,IF(AND($E147="Y",$D147&lt;=$O147),$C147,IF(AND($E147="Y",$D147&lt;=Inputs!$B$15,$C147&lt;=Inputs!$B$15),IF($C147&lt;$D147,$C147,$D147),IF(AND($E147="Y",$D147&lt;=Inputs!$B$15),$C147,$D147)))))</f>
        <v/>
      </c>
      <c r="H147" s="3" t="str">
        <f t="shared" si="18"/>
        <v/>
      </c>
      <c r="I147" s="4" t="str">
        <f t="shared" si="20"/>
        <v/>
      </c>
      <c r="J147" s="4" t="str">
        <f t="shared" si="21"/>
        <v/>
      </c>
      <c r="K147" s="4" t="str">
        <f t="shared" si="22"/>
        <v/>
      </c>
      <c r="L147" s="4" t="str">
        <f t="shared" si="23"/>
        <v/>
      </c>
      <c r="M147" s="4" t="str">
        <f t="shared" si="19"/>
        <v/>
      </c>
      <c r="N147" s="4" t="str">
        <f t="shared" si="24"/>
        <v/>
      </c>
      <c r="O147" s="4" t="str">
        <f>IF($B147="","",Inputs!$B$15-$M146)</f>
        <v/>
      </c>
      <c r="P147" s="3" t="str">
        <f t="shared" si="25"/>
        <v/>
      </c>
      <c r="Q147" s="3" t="str">
        <f t="shared" si="26"/>
        <v/>
      </c>
      <c r="R147" s="3" t="str">
        <f>IF($B147="","",IF($Q147,($L146+$N146+$G147)&gt;Inputs!$B$16,FALSE))</f>
        <v/>
      </c>
      <c r="S147" s="3" t="str">
        <f>IF($B147="","",IF(OR($F147&gt;Inputs!$B$15,$G147&gt;Inputs!$B$16),"TOO BIG",IF($R147,"NEW SHEET",IF($Q147,"NEW ROW","OK"))))</f>
        <v/>
      </c>
    </row>
    <row r="148" spans="1:19" x14ac:dyDescent="0.2">
      <c r="A148" s="4">
        <v>142</v>
      </c>
      <c r="B148" s="3" t="str">
        <f>IF(SortedPieces!$B144="","",SortedPieces!$B144)</f>
        <v/>
      </c>
      <c r="C148" s="4" t="str">
        <f>IF(SortedPieces!$C144="","",SortedPieces!$C144)</f>
        <v/>
      </c>
      <c r="D148" s="4" t="str">
        <f>IF(SortedPieces!$D144="","",SortedPieces!$D144)</f>
        <v/>
      </c>
      <c r="E148" s="3" t="str">
        <f>IF(SortedPieces!$E144="","",SortedPieces!$E144)</f>
        <v/>
      </c>
      <c r="F148" s="4" t="str">
        <f>IF($B148="","",IF($C148&lt;=$O148,$C148,IF(AND($E148="Y",$D148&lt;=$O148),$D148,IF(AND($E148="Y",$D148&lt;=Inputs!$B$15,$C148&lt;=Inputs!$B$15),IF($C148&lt;$D148,$D148,$C148),IF(AND($E148="Y",$D148&lt;=Inputs!$B$15),$D148,$C148)))))</f>
        <v/>
      </c>
      <c r="G148" s="4" t="str">
        <f>IF($B148="","",IF($C148&lt;=$O148,$D148,IF(AND($E148="Y",$D148&lt;=$O148),$C148,IF(AND($E148="Y",$D148&lt;=Inputs!$B$15,$C148&lt;=Inputs!$B$15),IF($C148&lt;$D148,$C148,$D148),IF(AND($E148="Y",$D148&lt;=Inputs!$B$15),$C148,$D148)))))</f>
        <v/>
      </c>
      <c r="H148" s="3" t="str">
        <f t="shared" si="18"/>
        <v/>
      </c>
      <c r="I148" s="4" t="str">
        <f t="shared" si="20"/>
        <v/>
      </c>
      <c r="J148" s="4" t="str">
        <f t="shared" si="21"/>
        <v/>
      </c>
      <c r="K148" s="4" t="str">
        <f t="shared" si="22"/>
        <v/>
      </c>
      <c r="L148" s="4" t="str">
        <f t="shared" si="23"/>
        <v/>
      </c>
      <c r="M148" s="4" t="str">
        <f t="shared" si="19"/>
        <v/>
      </c>
      <c r="N148" s="4" t="str">
        <f t="shared" si="24"/>
        <v/>
      </c>
      <c r="O148" s="4" t="str">
        <f>IF($B148="","",Inputs!$B$15-$M147)</f>
        <v/>
      </c>
      <c r="P148" s="3" t="str">
        <f t="shared" si="25"/>
        <v/>
      </c>
      <c r="Q148" s="3" t="str">
        <f t="shared" si="26"/>
        <v/>
      </c>
      <c r="R148" s="3" t="str">
        <f>IF($B148="","",IF($Q148,($L147+$N147+$G148)&gt;Inputs!$B$16,FALSE))</f>
        <v/>
      </c>
      <c r="S148" s="3" t="str">
        <f>IF($B148="","",IF(OR($F148&gt;Inputs!$B$15,$G148&gt;Inputs!$B$16),"TOO BIG",IF($R148,"NEW SHEET",IF($Q148,"NEW ROW","OK"))))</f>
        <v/>
      </c>
    </row>
    <row r="149" spans="1:19" x14ac:dyDescent="0.2">
      <c r="A149" s="4">
        <v>143</v>
      </c>
      <c r="B149" s="3" t="str">
        <f>IF(SortedPieces!$B145="","",SortedPieces!$B145)</f>
        <v/>
      </c>
      <c r="C149" s="4" t="str">
        <f>IF(SortedPieces!$C145="","",SortedPieces!$C145)</f>
        <v/>
      </c>
      <c r="D149" s="4" t="str">
        <f>IF(SortedPieces!$D145="","",SortedPieces!$D145)</f>
        <v/>
      </c>
      <c r="E149" s="3" t="str">
        <f>IF(SortedPieces!$E145="","",SortedPieces!$E145)</f>
        <v/>
      </c>
      <c r="F149" s="4" t="str">
        <f>IF($B149="","",IF($C149&lt;=$O149,$C149,IF(AND($E149="Y",$D149&lt;=$O149),$D149,IF(AND($E149="Y",$D149&lt;=Inputs!$B$15,$C149&lt;=Inputs!$B$15),IF($C149&lt;$D149,$D149,$C149),IF(AND($E149="Y",$D149&lt;=Inputs!$B$15),$D149,$C149)))))</f>
        <v/>
      </c>
      <c r="G149" s="4" t="str">
        <f>IF($B149="","",IF($C149&lt;=$O149,$D149,IF(AND($E149="Y",$D149&lt;=$O149),$C149,IF(AND($E149="Y",$D149&lt;=Inputs!$B$15,$C149&lt;=Inputs!$B$15),IF($C149&lt;$D149,$C149,$D149),IF(AND($E149="Y",$D149&lt;=Inputs!$B$15),$C149,$D149)))))</f>
        <v/>
      </c>
      <c r="H149" s="3" t="str">
        <f t="shared" si="18"/>
        <v/>
      </c>
      <c r="I149" s="4" t="str">
        <f t="shared" si="20"/>
        <v/>
      </c>
      <c r="J149" s="4" t="str">
        <f t="shared" si="21"/>
        <v/>
      </c>
      <c r="K149" s="4" t="str">
        <f t="shared" si="22"/>
        <v/>
      </c>
      <c r="L149" s="4" t="str">
        <f t="shared" si="23"/>
        <v/>
      </c>
      <c r="M149" s="4" t="str">
        <f t="shared" si="19"/>
        <v/>
      </c>
      <c r="N149" s="4" t="str">
        <f t="shared" si="24"/>
        <v/>
      </c>
      <c r="O149" s="4" t="str">
        <f>IF($B149="","",Inputs!$B$15-$M148)</f>
        <v/>
      </c>
      <c r="P149" s="3" t="str">
        <f t="shared" si="25"/>
        <v/>
      </c>
      <c r="Q149" s="3" t="str">
        <f t="shared" si="26"/>
        <v/>
      </c>
      <c r="R149" s="3" t="str">
        <f>IF($B149="","",IF($Q149,($L148+$N148+$G149)&gt;Inputs!$B$16,FALSE))</f>
        <v/>
      </c>
      <c r="S149" s="3" t="str">
        <f>IF($B149="","",IF(OR($F149&gt;Inputs!$B$15,$G149&gt;Inputs!$B$16),"TOO BIG",IF($R149,"NEW SHEET",IF($Q149,"NEW ROW","OK"))))</f>
        <v/>
      </c>
    </row>
    <row r="150" spans="1:19" x14ac:dyDescent="0.2">
      <c r="A150" s="4">
        <v>144</v>
      </c>
      <c r="B150" s="3" t="str">
        <f>IF(SortedPieces!$B146="","",SortedPieces!$B146)</f>
        <v/>
      </c>
      <c r="C150" s="4" t="str">
        <f>IF(SortedPieces!$C146="","",SortedPieces!$C146)</f>
        <v/>
      </c>
      <c r="D150" s="4" t="str">
        <f>IF(SortedPieces!$D146="","",SortedPieces!$D146)</f>
        <v/>
      </c>
      <c r="E150" s="3" t="str">
        <f>IF(SortedPieces!$E146="","",SortedPieces!$E146)</f>
        <v/>
      </c>
      <c r="F150" s="4" t="str">
        <f>IF($B150="","",IF($C150&lt;=$O150,$C150,IF(AND($E150="Y",$D150&lt;=$O150),$D150,IF(AND($E150="Y",$D150&lt;=Inputs!$B$15,$C150&lt;=Inputs!$B$15),IF($C150&lt;$D150,$D150,$C150),IF(AND($E150="Y",$D150&lt;=Inputs!$B$15),$D150,$C150)))))</f>
        <v/>
      </c>
      <c r="G150" s="4" t="str">
        <f>IF($B150="","",IF($C150&lt;=$O150,$D150,IF(AND($E150="Y",$D150&lt;=$O150),$C150,IF(AND($E150="Y",$D150&lt;=Inputs!$B$15,$C150&lt;=Inputs!$B$15),IF($C150&lt;$D150,$C150,$D150),IF(AND($E150="Y",$D150&lt;=Inputs!$B$15),$C150,$D150)))))</f>
        <v/>
      </c>
      <c r="H150" s="3" t="str">
        <f t="shared" si="18"/>
        <v/>
      </c>
      <c r="I150" s="4" t="str">
        <f t="shared" si="20"/>
        <v/>
      </c>
      <c r="J150" s="4" t="str">
        <f t="shared" si="21"/>
        <v/>
      </c>
      <c r="K150" s="4" t="str">
        <f t="shared" si="22"/>
        <v/>
      </c>
      <c r="L150" s="4" t="str">
        <f t="shared" si="23"/>
        <v/>
      </c>
      <c r="M150" s="4" t="str">
        <f t="shared" si="19"/>
        <v/>
      </c>
      <c r="N150" s="4" t="str">
        <f t="shared" si="24"/>
        <v/>
      </c>
      <c r="O150" s="4" t="str">
        <f>IF($B150="","",Inputs!$B$15-$M149)</f>
        <v/>
      </c>
      <c r="P150" s="3" t="str">
        <f t="shared" si="25"/>
        <v/>
      </c>
      <c r="Q150" s="3" t="str">
        <f t="shared" si="26"/>
        <v/>
      </c>
      <c r="R150" s="3" t="str">
        <f>IF($B150="","",IF($Q150,($L149+$N149+$G150)&gt;Inputs!$B$16,FALSE))</f>
        <v/>
      </c>
      <c r="S150" s="3" t="str">
        <f>IF($B150="","",IF(OR($F150&gt;Inputs!$B$15,$G150&gt;Inputs!$B$16),"TOO BIG",IF($R150,"NEW SHEET",IF($Q150,"NEW ROW","OK"))))</f>
        <v/>
      </c>
    </row>
    <row r="151" spans="1:19" x14ac:dyDescent="0.2">
      <c r="A151" s="4">
        <v>145</v>
      </c>
      <c r="B151" s="3" t="str">
        <f>IF(SortedPieces!$B147="","",SortedPieces!$B147)</f>
        <v/>
      </c>
      <c r="C151" s="4" t="str">
        <f>IF(SortedPieces!$C147="","",SortedPieces!$C147)</f>
        <v/>
      </c>
      <c r="D151" s="4" t="str">
        <f>IF(SortedPieces!$D147="","",SortedPieces!$D147)</f>
        <v/>
      </c>
      <c r="E151" s="3" t="str">
        <f>IF(SortedPieces!$E147="","",SortedPieces!$E147)</f>
        <v/>
      </c>
      <c r="F151" s="4" t="str">
        <f>IF($B151="","",IF($C151&lt;=$O151,$C151,IF(AND($E151="Y",$D151&lt;=$O151),$D151,IF(AND($E151="Y",$D151&lt;=Inputs!$B$15,$C151&lt;=Inputs!$B$15),IF($C151&lt;$D151,$D151,$C151),IF(AND($E151="Y",$D151&lt;=Inputs!$B$15),$D151,$C151)))))</f>
        <v/>
      </c>
      <c r="G151" s="4" t="str">
        <f>IF($B151="","",IF($C151&lt;=$O151,$D151,IF(AND($E151="Y",$D151&lt;=$O151),$C151,IF(AND($E151="Y",$D151&lt;=Inputs!$B$15,$C151&lt;=Inputs!$B$15),IF($C151&lt;$D151,$C151,$D151),IF(AND($E151="Y",$D151&lt;=Inputs!$B$15),$C151,$D151)))))</f>
        <v/>
      </c>
      <c r="H151" s="3" t="str">
        <f t="shared" si="18"/>
        <v/>
      </c>
      <c r="I151" s="4" t="str">
        <f t="shared" si="20"/>
        <v/>
      </c>
      <c r="J151" s="4" t="str">
        <f t="shared" si="21"/>
        <v/>
      </c>
      <c r="K151" s="4" t="str">
        <f t="shared" si="22"/>
        <v/>
      </c>
      <c r="L151" s="4" t="str">
        <f t="shared" si="23"/>
        <v/>
      </c>
      <c r="M151" s="4" t="str">
        <f t="shared" si="19"/>
        <v/>
      </c>
      <c r="N151" s="4" t="str">
        <f t="shared" si="24"/>
        <v/>
      </c>
      <c r="O151" s="4" t="str">
        <f>IF($B151="","",Inputs!$B$15-$M150)</f>
        <v/>
      </c>
      <c r="P151" s="3" t="str">
        <f t="shared" si="25"/>
        <v/>
      </c>
      <c r="Q151" s="3" t="str">
        <f t="shared" si="26"/>
        <v/>
      </c>
      <c r="R151" s="3" t="str">
        <f>IF($B151="","",IF($Q151,($L150+$N150+$G151)&gt;Inputs!$B$16,FALSE))</f>
        <v/>
      </c>
      <c r="S151" s="3" t="str">
        <f>IF($B151="","",IF(OR($F151&gt;Inputs!$B$15,$G151&gt;Inputs!$B$16),"TOO BIG",IF($R151,"NEW SHEET",IF($Q151,"NEW ROW","OK"))))</f>
        <v/>
      </c>
    </row>
    <row r="152" spans="1:19" x14ac:dyDescent="0.2">
      <c r="A152" s="4">
        <v>146</v>
      </c>
      <c r="B152" s="3" t="str">
        <f>IF(SortedPieces!$B148="","",SortedPieces!$B148)</f>
        <v/>
      </c>
      <c r="C152" s="4" t="str">
        <f>IF(SortedPieces!$C148="","",SortedPieces!$C148)</f>
        <v/>
      </c>
      <c r="D152" s="4" t="str">
        <f>IF(SortedPieces!$D148="","",SortedPieces!$D148)</f>
        <v/>
      </c>
      <c r="E152" s="3" t="str">
        <f>IF(SortedPieces!$E148="","",SortedPieces!$E148)</f>
        <v/>
      </c>
      <c r="F152" s="4" t="str">
        <f>IF($B152="","",IF($C152&lt;=$O152,$C152,IF(AND($E152="Y",$D152&lt;=$O152),$D152,IF(AND($E152="Y",$D152&lt;=Inputs!$B$15,$C152&lt;=Inputs!$B$15),IF($C152&lt;$D152,$D152,$C152),IF(AND($E152="Y",$D152&lt;=Inputs!$B$15),$D152,$C152)))))</f>
        <v/>
      </c>
      <c r="G152" s="4" t="str">
        <f>IF($B152="","",IF($C152&lt;=$O152,$D152,IF(AND($E152="Y",$D152&lt;=$O152),$C152,IF(AND($E152="Y",$D152&lt;=Inputs!$B$15,$C152&lt;=Inputs!$B$15),IF($C152&lt;$D152,$C152,$D152),IF(AND($E152="Y",$D152&lt;=Inputs!$B$15),$C152,$D152)))))</f>
        <v/>
      </c>
      <c r="H152" s="3" t="str">
        <f t="shared" si="18"/>
        <v/>
      </c>
      <c r="I152" s="4" t="str">
        <f t="shared" si="20"/>
        <v/>
      </c>
      <c r="J152" s="4" t="str">
        <f t="shared" si="21"/>
        <v/>
      </c>
      <c r="K152" s="4" t="str">
        <f t="shared" si="22"/>
        <v/>
      </c>
      <c r="L152" s="4" t="str">
        <f t="shared" si="23"/>
        <v/>
      </c>
      <c r="M152" s="4" t="str">
        <f t="shared" si="19"/>
        <v/>
      </c>
      <c r="N152" s="4" t="str">
        <f t="shared" si="24"/>
        <v/>
      </c>
      <c r="O152" s="4" t="str">
        <f>IF($B152="","",Inputs!$B$15-$M151)</f>
        <v/>
      </c>
      <c r="P152" s="3" t="str">
        <f t="shared" si="25"/>
        <v/>
      </c>
      <c r="Q152" s="3" t="str">
        <f t="shared" si="26"/>
        <v/>
      </c>
      <c r="R152" s="3" t="str">
        <f>IF($B152="","",IF($Q152,($L151+$N151+$G152)&gt;Inputs!$B$16,FALSE))</f>
        <v/>
      </c>
      <c r="S152" s="3" t="str">
        <f>IF($B152="","",IF(OR($F152&gt;Inputs!$B$15,$G152&gt;Inputs!$B$16),"TOO BIG",IF($R152,"NEW SHEET",IF($Q152,"NEW ROW","OK"))))</f>
        <v/>
      </c>
    </row>
    <row r="153" spans="1:19" x14ac:dyDescent="0.2">
      <c r="A153" s="4">
        <v>147</v>
      </c>
      <c r="B153" s="3" t="str">
        <f>IF(SortedPieces!$B149="","",SortedPieces!$B149)</f>
        <v/>
      </c>
      <c r="C153" s="4" t="str">
        <f>IF(SortedPieces!$C149="","",SortedPieces!$C149)</f>
        <v/>
      </c>
      <c r="D153" s="4" t="str">
        <f>IF(SortedPieces!$D149="","",SortedPieces!$D149)</f>
        <v/>
      </c>
      <c r="E153" s="3" t="str">
        <f>IF(SortedPieces!$E149="","",SortedPieces!$E149)</f>
        <v/>
      </c>
      <c r="F153" s="4" t="str">
        <f>IF($B153="","",IF($C153&lt;=$O153,$C153,IF(AND($E153="Y",$D153&lt;=$O153),$D153,IF(AND($E153="Y",$D153&lt;=Inputs!$B$15,$C153&lt;=Inputs!$B$15),IF($C153&lt;$D153,$D153,$C153),IF(AND($E153="Y",$D153&lt;=Inputs!$B$15),$D153,$C153)))))</f>
        <v/>
      </c>
      <c r="G153" s="4" t="str">
        <f>IF($B153="","",IF($C153&lt;=$O153,$D153,IF(AND($E153="Y",$D153&lt;=$O153),$C153,IF(AND($E153="Y",$D153&lt;=Inputs!$B$15,$C153&lt;=Inputs!$B$15),IF($C153&lt;$D153,$C153,$D153),IF(AND($E153="Y",$D153&lt;=Inputs!$B$15),$C153,$D153)))))</f>
        <v/>
      </c>
      <c r="H153" s="3" t="str">
        <f t="shared" si="18"/>
        <v/>
      </c>
      <c r="I153" s="4" t="str">
        <f t="shared" si="20"/>
        <v/>
      </c>
      <c r="J153" s="4" t="str">
        <f t="shared" si="21"/>
        <v/>
      </c>
      <c r="K153" s="4" t="str">
        <f t="shared" si="22"/>
        <v/>
      </c>
      <c r="L153" s="4" t="str">
        <f t="shared" si="23"/>
        <v/>
      </c>
      <c r="M153" s="4" t="str">
        <f t="shared" si="19"/>
        <v/>
      </c>
      <c r="N153" s="4" t="str">
        <f t="shared" si="24"/>
        <v/>
      </c>
      <c r="O153" s="4" t="str">
        <f>IF($B153="","",Inputs!$B$15-$M152)</f>
        <v/>
      </c>
      <c r="P153" s="3" t="str">
        <f t="shared" si="25"/>
        <v/>
      </c>
      <c r="Q153" s="3" t="str">
        <f t="shared" si="26"/>
        <v/>
      </c>
      <c r="R153" s="3" t="str">
        <f>IF($B153="","",IF($Q153,($L152+$N152+$G153)&gt;Inputs!$B$16,FALSE))</f>
        <v/>
      </c>
      <c r="S153" s="3" t="str">
        <f>IF($B153="","",IF(OR($F153&gt;Inputs!$B$15,$G153&gt;Inputs!$B$16),"TOO BIG",IF($R153,"NEW SHEET",IF($Q153,"NEW ROW","OK"))))</f>
        <v/>
      </c>
    </row>
    <row r="154" spans="1:19" x14ac:dyDescent="0.2">
      <c r="A154" s="4">
        <v>148</v>
      </c>
      <c r="B154" s="3" t="str">
        <f>IF(SortedPieces!$B150="","",SortedPieces!$B150)</f>
        <v/>
      </c>
      <c r="C154" s="4" t="str">
        <f>IF(SortedPieces!$C150="","",SortedPieces!$C150)</f>
        <v/>
      </c>
      <c r="D154" s="4" t="str">
        <f>IF(SortedPieces!$D150="","",SortedPieces!$D150)</f>
        <v/>
      </c>
      <c r="E154" s="3" t="str">
        <f>IF(SortedPieces!$E150="","",SortedPieces!$E150)</f>
        <v/>
      </c>
      <c r="F154" s="4" t="str">
        <f>IF($B154="","",IF($C154&lt;=$O154,$C154,IF(AND($E154="Y",$D154&lt;=$O154),$D154,IF(AND($E154="Y",$D154&lt;=Inputs!$B$15,$C154&lt;=Inputs!$B$15),IF($C154&lt;$D154,$D154,$C154),IF(AND($E154="Y",$D154&lt;=Inputs!$B$15),$D154,$C154)))))</f>
        <v/>
      </c>
      <c r="G154" s="4" t="str">
        <f>IF($B154="","",IF($C154&lt;=$O154,$D154,IF(AND($E154="Y",$D154&lt;=$O154),$C154,IF(AND($E154="Y",$D154&lt;=Inputs!$B$15,$C154&lt;=Inputs!$B$15),IF($C154&lt;$D154,$C154,$D154),IF(AND($E154="Y",$D154&lt;=Inputs!$B$15),$C154,$D154)))))</f>
        <v/>
      </c>
      <c r="H154" s="3" t="str">
        <f t="shared" si="18"/>
        <v/>
      </c>
      <c r="I154" s="4" t="str">
        <f t="shared" si="20"/>
        <v/>
      </c>
      <c r="J154" s="4" t="str">
        <f t="shared" si="21"/>
        <v/>
      </c>
      <c r="K154" s="4" t="str">
        <f t="shared" si="22"/>
        <v/>
      </c>
      <c r="L154" s="4" t="str">
        <f t="shared" si="23"/>
        <v/>
      </c>
      <c r="M154" s="4" t="str">
        <f t="shared" si="19"/>
        <v/>
      </c>
      <c r="N154" s="4" t="str">
        <f t="shared" si="24"/>
        <v/>
      </c>
      <c r="O154" s="4" t="str">
        <f>IF($B154="","",Inputs!$B$15-$M153)</f>
        <v/>
      </c>
      <c r="P154" s="3" t="str">
        <f t="shared" si="25"/>
        <v/>
      </c>
      <c r="Q154" s="3" t="str">
        <f t="shared" si="26"/>
        <v/>
      </c>
      <c r="R154" s="3" t="str">
        <f>IF($B154="","",IF($Q154,($L153+$N153+$G154)&gt;Inputs!$B$16,FALSE))</f>
        <v/>
      </c>
      <c r="S154" s="3" t="str">
        <f>IF($B154="","",IF(OR($F154&gt;Inputs!$B$15,$G154&gt;Inputs!$B$16),"TOO BIG",IF($R154,"NEW SHEET",IF($Q154,"NEW ROW","OK"))))</f>
        <v/>
      </c>
    </row>
    <row r="155" spans="1:19" x14ac:dyDescent="0.2">
      <c r="A155" s="4">
        <v>149</v>
      </c>
      <c r="B155" s="3" t="str">
        <f>IF(SortedPieces!$B151="","",SortedPieces!$B151)</f>
        <v/>
      </c>
      <c r="C155" s="4" t="str">
        <f>IF(SortedPieces!$C151="","",SortedPieces!$C151)</f>
        <v/>
      </c>
      <c r="D155" s="4" t="str">
        <f>IF(SortedPieces!$D151="","",SortedPieces!$D151)</f>
        <v/>
      </c>
      <c r="E155" s="3" t="str">
        <f>IF(SortedPieces!$E151="","",SortedPieces!$E151)</f>
        <v/>
      </c>
      <c r="F155" s="4" t="str">
        <f>IF($B155="","",IF($C155&lt;=$O155,$C155,IF(AND($E155="Y",$D155&lt;=$O155),$D155,IF(AND($E155="Y",$D155&lt;=Inputs!$B$15,$C155&lt;=Inputs!$B$15),IF($C155&lt;$D155,$D155,$C155),IF(AND($E155="Y",$D155&lt;=Inputs!$B$15),$D155,$C155)))))</f>
        <v/>
      </c>
      <c r="G155" s="4" t="str">
        <f>IF($B155="","",IF($C155&lt;=$O155,$D155,IF(AND($E155="Y",$D155&lt;=$O155),$C155,IF(AND($E155="Y",$D155&lt;=Inputs!$B$15,$C155&lt;=Inputs!$B$15),IF($C155&lt;$D155,$C155,$D155),IF(AND($E155="Y",$D155&lt;=Inputs!$B$15),$C155,$D155)))))</f>
        <v/>
      </c>
      <c r="H155" s="3" t="str">
        <f t="shared" si="18"/>
        <v/>
      </c>
      <c r="I155" s="4" t="str">
        <f t="shared" si="20"/>
        <v/>
      </c>
      <c r="J155" s="4" t="str">
        <f t="shared" si="21"/>
        <v/>
      </c>
      <c r="K155" s="4" t="str">
        <f t="shared" si="22"/>
        <v/>
      </c>
      <c r="L155" s="4" t="str">
        <f t="shared" si="23"/>
        <v/>
      </c>
      <c r="M155" s="4" t="str">
        <f t="shared" si="19"/>
        <v/>
      </c>
      <c r="N155" s="4" t="str">
        <f t="shared" si="24"/>
        <v/>
      </c>
      <c r="O155" s="4" t="str">
        <f>IF($B155="","",Inputs!$B$15-$M154)</f>
        <v/>
      </c>
      <c r="P155" s="3" t="str">
        <f t="shared" si="25"/>
        <v/>
      </c>
      <c r="Q155" s="3" t="str">
        <f t="shared" si="26"/>
        <v/>
      </c>
      <c r="R155" s="3" t="str">
        <f>IF($B155="","",IF($Q155,($L154+$N154+$G155)&gt;Inputs!$B$16,FALSE))</f>
        <v/>
      </c>
      <c r="S155" s="3" t="str">
        <f>IF($B155="","",IF(OR($F155&gt;Inputs!$B$15,$G155&gt;Inputs!$B$16),"TOO BIG",IF($R155,"NEW SHEET",IF($Q155,"NEW ROW","OK"))))</f>
        <v/>
      </c>
    </row>
    <row r="156" spans="1:19" x14ac:dyDescent="0.2">
      <c r="A156" s="4">
        <v>150</v>
      </c>
      <c r="B156" s="3" t="str">
        <f>IF(SortedPieces!$B152="","",SortedPieces!$B152)</f>
        <v/>
      </c>
      <c r="C156" s="4" t="str">
        <f>IF(SortedPieces!$C152="","",SortedPieces!$C152)</f>
        <v/>
      </c>
      <c r="D156" s="4" t="str">
        <f>IF(SortedPieces!$D152="","",SortedPieces!$D152)</f>
        <v/>
      </c>
      <c r="E156" s="3" t="str">
        <f>IF(SortedPieces!$E152="","",SortedPieces!$E152)</f>
        <v/>
      </c>
      <c r="F156" s="4" t="str">
        <f>IF($B156="","",IF($C156&lt;=$O156,$C156,IF(AND($E156="Y",$D156&lt;=$O156),$D156,IF(AND($E156="Y",$D156&lt;=Inputs!$B$15,$C156&lt;=Inputs!$B$15),IF($C156&lt;$D156,$D156,$C156),IF(AND($E156="Y",$D156&lt;=Inputs!$B$15),$D156,$C156)))))</f>
        <v/>
      </c>
      <c r="G156" s="4" t="str">
        <f>IF($B156="","",IF($C156&lt;=$O156,$D156,IF(AND($E156="Y",$D156&lt;=$O156),$C156,IF(AND($E156="Y",$D156&lt;=Inputs!$B$15,$C156&lt;=Inputs!$B$15),IF($C156&lt;$D156,$C156,$D156),IF(AND($E156="Y",$D156&lt;=Inputs!$B$15),$C156,$D156)))))</f>
        <v/>
      </c>
      <c r="H156" s="3" t="str">
        <f t="shared" si="18"/>
        <v/>
      </c>
      <c r="I156" s="4" t="str">
        <f t="shared" si="20"/>
        <v/>
      </c>
      <c r="J156" s="4" t="str">
        <f t="shared" si="21"/>
        <v/>
      </c>
      <c r="K156" s="4" t="str">
        <f t="shared" si="22"/>
        <v/>
      </c>
      <c r="L156" s="4" t="str">
        <f t="shared" si="23"/>
        <v/>
      </c>
      <c r="M156" s="4" t="str">
        <f t="shared" si="19"/>
        <v/>
      </c>
      <c r="N156" s="4" t="str">
        <f t="shared" si="24"/>
        <v/>
      </c>
      <c r="O156" s="4" t="str">
        <f>IF($B156="","",Inputs!$B$15-$M155)</f>
        <v/>
      </c>
      <c r="P156" s="3" t="str">
        <f t="shared" si="25"/>
        <v/>
      </c>
      <c r="Q156" s="3" t="str">
        <f t="shared" si="26"/>
        <v/>
      </c>
      <c r="R156" s="3" t="str">
        <f>IF($B156="","",IF($Q156,($L155+$N155+$G156)&gt;Inputs!$B$16,FALSE))</f>
        <v/>
      </c>
      <c r="S156" s="3" t="str">
        <f>IF($B156="","",IF(OR($F156&gt;Inputs!$B$15,$G156&gt;Inputs!$B$16),"TOO BIG",IF($R156,"NEW SHEET",IF($Q156,"NEW ROW","OK"))))</f>
        <v/>
      </c>
    </row>
    <row r="157" spans="1:19" x14ac:dyDescent="0.2">
      <c r="A157" s="4">
        <v>151</v>
      </c>
      <c r="B157" s="3" t="str">
        <f>IF(SortedPieces!$B153="","",SortedPieces!$B153)</f>
        <v/>
      </c>
      <c r="C157" s="4" t="str">
        <f>IF(SortedPieces!$C153="","",SortedPieces!$C153)</f>
        <v/>
      </c>
      <c r="D157" s="4" t="str">
        <f>IF(SortedPieces!$D153="","",SortedPieces!$D153)</f>
        <v/>
      </c>
      <c r="E157" s="3" t="str">
        <f>IF(SortedPieces!$E153="","",SortedPieces!$E153)</f>
        <v/>
      </c>
      <c r="F157" s="4" t="str">
        <f>IF($B157="","",IF($C157&lt;=$O157,$C157,IF(AND($E157="Y",$D157&lt;=$O157),$D157,IF(AND($E157="Y",$D157&lt;=Inputs!$B$15,$C157&lt;=Inputs!$B$15),IF($C157&lt;$D157,$D157,$C157),IF(AND($E157="Y",$D157&lt;=Inputs!$B$15),$D157,$C157)))))</f>
        <v/>
      </c>
      <c r="G157" s="4" t="str">
        <f>IF($B157="","",IF($C157&lt;=$O157,$D157,IF(AND($E157="Y",$D157&lt;=$O157),$C157,IF(AND($E157="Y",$D157&lt;=Inputs!$B$15,$C157&lt;=Inputs!$B$15),IF($C157&lt;$D157,$C157,$D157),IF(AND($E157="Y",$D157&lt;=Inputs!$B$15),$C157,$D157)))))</f>
        <v/>
      </c>
      <c r="H157" s="3" t="str">
        <f t="shared" si="18"/>
        <v/>
      </c>
      <c r="I157" s="4" t="str">
        <f t="shared" si="20"/>
        <v/>
      </c>
      <c r="J157" s="4" t="str">
        <f t="shared" si="21"/>
        <v/>
      </c>
      <c r="K157" s="4" t="str">
        <f t="shared" si="22"/>
        <v/>
      </c>
      <c r="L157" s="4" t="str">
        <f t="shared" si="23"/>
        <v/>
      </c>
      <c r="M157" s="4" t="str">
        <f t="shared" si="19"/>
        <v/>
      </c>
      <c r="N157" s="4" t="str">
        <f t="shared" si="24"/>
        <v/>
      </c>
      <c r="O157" s="4" t="str">
        <f>IF($B157="","",Inputs!$B$15-$M156)</f>
        <v/>
      </c>
      <c r="P157" s="3" t="str">
        <f t="shared" si="25"/>
        <v/>
      </c>
      <c r="Q157" s="3" t="str">
        <f t="shared" si="26"/>
        <v/>
      </c>
      <c r="R157" s="3" t="str">
        <f>IF($B157="","",IF($Q157,($L156+$N156+$G157)&gt;Inputs!$B$16,FALSE))</f>
        <v/>
      </c>
      <c r="S157" s="3" t="str">
        <f>IF($B157="","",IF(OR($F157&gt;Inputs!$B$15,$G157&gt;Inputs!$B$16),"TOO BIG",IF($R157,"NEW SHEET",IF($Q157,"NEW ROW","OK"))))</f>
        <v/>
      </c>
    </row>
    <row r="158" spans="1:19" x14ac:dyDescent="0.2">
      <c r="A158" s="4">
        <v>152</v>
      </c>
      <c r="B158" s="3" t="str">
        <f>IF(SortedPieces!$B154="","",SortedPieces!$B154)</f>
        <v/>
      </c>
      <c r="C158" s="4" t="str">
        <f>IF(SortedPieces!$C154="","",SortedPieces!$C154)</f>
        <v/>
      </c>
      <c r="D158" s="4" t="str">
        <f>IF(SortedPieces!$D154="","",SortedPieces!$D154)</f>
        <v/>
      </c>
      <c r="E158" s="3" t="str">
        <f>IF(SortedPieces!$E154="","",SortedPieces!$E154)</f>
        <v/>
      </c>
      <c r="F158" s="4" t="str">
        <f>IF($B158="","",IF($C158&lt;=$O158,$C158,IF(AND($E158="Y",$D158&lt;=$O158),$D158,IF(AND($E158="Y",$D158&lt;=Inputs!$B$15,$C158&lt;=Inputs!$B$15),IF($C158&lt;$D158,$D158,$C158),IF(AND($E158="Y",$D158&lt;=Inputs!$B$15),$D158,$C158)))))</f>
        <v/>
      </c>
      <c r="G158" s="4" t="str">
        <f>IF($B158="","",IF($C158&lt;=$O158,$D158,IF(AND($E158="Y",$D158&lt;=$O158),$C158,IF(AND($E158="Y",$D158&lt;=Inputs!$B$15,$C158&lt;=Inputs!$B$15),IF($C158&lt;$D158,$C158,$D158),IF(AND($E158="Y",$D158&lt;=Inputs!$B$15),$C158,$D158)))))</f>
        <v/>
      </c>
      <c r="H158" s="3" t="str">
        <f t="shared" si="18"/>
        <v/>
      </c>
      <c r="I158" s="4" t="str">
        <f t="shared" si="20"/>
        <v/>
      </c>
      <c r="J158" s="4" t="str">
        <f t="shared" si="21"/>
        <v/>
      </c>
      <c r="K158" s="4" t="str">
        <f t="shared" si="22"/>
        <v/>
      </c>
      <c r="L158" s="4" t="str">
        <f t="shared" si="23"/>
        <v/>
      </c>
      <c r="M158" s="4" t="str">
        <f t="shared" si="19"/>
        <v/>
      </c>
      <c r="N158" s="4" t="str">
        <f t="shared" si="24"/>
        <v/>
      </c>
      <c r="O158" s="4" t="str">
        <f>IF($B158="","",Inputs!$B$15-$M157)</f>
        <v/>
      </c>
      <c r="P158" s="3" t="str">
        <f t="shared" si="25"/>
        <v/>
      </c>
      <c r="Q158" s="3" t="str">
        <f t="shared" si="26"/>
        <v/>
      </c>
      <c r="R158" s="3" t="str">
        <f>IF($B158="","",IF($Q158,($L157+$N157+$G158)&gt;Inputs!$B$16,FALSE))</f>
        <v/>
      </c>
      <c r="S158" s="3" t="str">
        <f>IF($B158="","",IF(OR($F158&gt;Inputs!$B$15,$G158&gt;Inputs!$B$16),"TOO BIG",IF($R158,"NEW SHEET",IF($Q158,"NEW ROW","OK"))))</f>
        <v/>
      </c>
    </row>
    <row r="159" spans="1:19" x14ac:dyDescent="0.2">
      <c r="A159" s="4">
        <v>153</v>
      </c>
      <c r="B159" s="3" t="str">
        <f>IF(SortedPieces!$B155="","",SortedPieces!$B155)</f>
        <v/>
      </c>
      <c r="C159" s="4" t="str">
        <f>IF(SortedPieces!$C155="","",SortedPieces!$C155)</f>
        <v/>
      </c>
      <c r="D159" s="4" t="str">
        <f>IF(SortedPieces!$D155="","",SortedPieces!$D155)</f>
        <v/>
      </c>
      <c r="E159" s="3" t="str">
        <f>IF(SortedPieces!$E155="","",SortedPieces!$E155)</f>
        <v/>
      </c>
      <c r="F159" s="4" t="str">
        <f>IF($B159="","",IF($C159&lt;=$O159,$C159,IF(AND($E159="Y",$D159&lt;=$O159),$D159,IF(AND($E159="Y",$D159&lt;=Inputs!$B$15,$C159&lt;=Inputs!$B$15),IF($C159&lt;$D159,$D159,$C159),IF(AND($E159="Y",$D159&lt;=Inputs!$B$15),$D159,$C159)))))</f>
        <v/>
      </c>
      <c r="G159" s="4" t="str">
        <f>IF($B159="","",IF($C159&lt;=$O159,$D159,IF(AND($E159="Y",$D159&lt;=$O159),$C159,IF(AND($E159="Y",$D159&lt;=Inputs!$B$15,$C159&lt;=Inputs!$B$15),IF($C159&lt;$D159,$C159,$D159),IF(AND($E159="Y",$D159&lt;=Inputs!$B$15),$C159,$D159)))))</f>
        <v/>
      </c>
      <c r="H159" s="3" t="str">
        <f t="shared" si="18"/>
        <v/>
      </c>
      <c r="I159" s="4" t="str">
        <f t="shared" si="20"/>
        <v/>
      </c>
      <c r="J159" s="4" t="str">
        <f t="shared" si="21"/>
        <v/>
      </c>
      <c r="K159" s="4" t="str">
        <f t="shared" si="22"/>
        <v/>
      </c>
      <c r="L159" s="4" t="str">
        <f t="shared" si="23"/>
        <v/>
      </c>
      <c r="M159" s="4" t="str">
        <f t="shared" si="19"/>
        <v/>
      </c>
      <c r="N159" s="4" t="str">
        <f t="shared" si="24"/>
        <v/>
      </c>
      <c r="O159" s="4" t="str">
        <f>IF($B159="","",Inputs!$B$15-$M158)</f>
        <v/>
      </c>
      <c r="P159" s="3" t="str">
        <f t="shared" si="25"/>
        <v/>
      </c>
      <c r="Q159" s="3" t="str">
        <f t="shared" si="26"/>
        <v/>
      </c>
      <c r="R159" s="3" t="str">
        <f>IF($B159="","",IF($Q159,($L158+$N158+$G159)&gt;Inputs!$B$16,FALSE))</f>
        <v/>
      </c>
      <c r="S159" s="3" t="str">
        <f>IF($B159="","",IF(OR($F159&gt;Inputs!$B$15,$G159&gt;Inputs!$B$16),"TOO BIG",IF($R159,"NEW SHEET",IF($Q159,"NEW ROW","OK"))))</f>
        <v/>
      </c>
    </row>
    <row r="160" spans="1:19" x14ac:dyDescent="0.2">
      <c r="A160" s="4">
        <v>154</v>
      </c>
      <c r="B160" s="3" t="str">
        <f>IF(SortedPieces!$B156="","",SortedPieces!$B156)</f>
        <v/>
      </c>
      <c r="C160" s="4" t="str">
        <f>IF(SortedPieces!$C156="","",SortedPieces!$C156)</f>
        <v/>
      </c>
      <c r="D160" s="4" t="str">
        <f>IF(SortedPieces!$D156="","",SortedPieces!$D156)</f>
        <v/>
      </c>
      <c r="E160" s="3" t="str">
        <f>IF(SortedPieces!$E156="","",SortedPieces!$E156)</f>
        <v/>
      </c>
      <c r="F160" s="4" t="str">
        <f>IF($B160="","",IF($C160&lt;=$O160,$C160,IF(AND($E160="Y",$D160&lt;=$O160),$D160,IF(AND($E160="Y",$D160&lt;=Inputs!$B$15,$C160&lt;=Inputs!$B$15),IF($C160&lt;$D160,$D160,$C160),IF(AND($E160="Y",$D160&lt;=Inputs!$B$15),$D160,$C160)))))</f>
        <v/>
      </c>
      <c r="G160" s="4" t="str">
        <f>IF($B160="","",IF($C160&lt;=$O160,$D160,IF(AND($E160="Y",$D160&lt;=$O160),$C160,IF(AND($E160="Y",$D160&lt;=Inputs!$B$15,$C160&lt;=Inputs!$B$15),IF($C160&lt;$D160,$C160,$D160),IF(AND($E160="Y",$D160&lt;=Inputs!$B$15),$C160,$D160)))))</f>
        <v/>
      </c>
      <c r="H160" s="3" t="str">
        <f t="shared" si="18"/>
        <v/>
      </c>
      <c r="I160" s="4" t="str">
        <f t="shared" si="20"/>
        <v/>
      </c>
      <c r="J160" s="4" t="str">
        <f t="shared" si="21"/>
        <v/>
      </c>
      <c r="K160" s="4" t="str">
        <f t="shared" si="22"/>
        <v/>
      </c>
      <c r="L160" s="4" t="str">
        <f t="shared" si="23"/>
        <v/>
      </c>
      <c r="M160" s="4" t="str">
        <f t="shared" si="19"/>
        <v/>
      </c>
      <c r="N160" s="4" t="str">
        <f t="shared" si="24"/>
        <v/>
      </c>
      <c r="O160" s="4" t="str">
        <f>IF($B160="","",Inputs!$B$15-$M159)</f>
        <v/>
      </c>
      <c r="P160" s="3" t="str">
        <f t="shared" si="25"/>
        <v/>
      </c>
      <c r="Q160" s="3" t="str">
        <f t="shared" si="26"/>
        <v/>
      </c>
      <c r="R160" s="3" t="str">
        <f>IF($B160="","",IF($Q160,($L159+$N159+$G160)&gt;Inputs!$B$16,FALSE))</f>
        <v/>
      </c>
      <c r="S160" s="3" t="str">
        <f>IF($B160="","",IF(OR($F160&gt;Inputs!$B$15,$G160&gt;Inputs!$B$16),"TOO BIG",IF($R160,"NEW SHEET",IF($Q160,"NEW ROW","OK"))))</f>
        <v/>
      </c>
    </row>
    <row r="161" spans="1:19" x14ac:dyDescent="0.2">
      <c r="A161" s="4">
        <v>155</v>
      </c>
      <c r="B161" s="3" t="str">
        <f>IF(SortedPieces!$B157="","",SortedPieces!$B157)</f>
        <v/>
      </c>
      <c r="C161" s="4" t="str">
        <f>IF(SortedPieces!$C157="","",SortedPieces!$C157)</f>
        <v/>
      </c>
      <c r="D161" s="4" t="str">
        <f>IF(SortedPieces!$D157="","",SortedPieces!$D157)</f>
        <v/>
      </c>
      <c r="E161" s="3" t="str">
        <f>IF(SortedPieces!$E157="","",SortedPieces!$E157)</f>
        <v/>
      </c>
      <c r="F161" s="4" t="str">
        <f>IF($B161="","",IF($C161&lt;=$O161,$C161,IF(AND($E161="Y",$D161&lt;=$O161),$D161,IF(AND($E161="Y",$D161&lt;=Inputs!$B$15,$C161&lt;=Inputs!$B$15),IF($C161&lt;$D161,$D161,$C161),IF(AND($E161="Y",$D161&lt;=Inputs!$B$15),$D161,$C161)))))</f>
        <v/>
      </c>
      <c r="G161" s="4" t="str">
        <f>IF($B161="","",IF($C161&lt;=$O161,$D161,IF(AND($E161="Y",$D161&lt;=$O161),$C161,IF(AND($E161="Y",$D161&lt;=Inputs!$B$15,$C161&lt;=Inputs!$B$15),IF($C161&lt;$D161,$C161,$D161),IF(AND($E161="Y",$D161&lt;=Inputs!$B$15),$C161,$D161)))))</f>
        <v/>
      </c>
      <c r="H161" s="3" t="str">
        <f t="shared" si="18"/>
        <v/>
      </c>
      <c r="I161" s="4" t="str">
        <f t="shared" si="20"/>
        <v/>
      </c>
      <c r="J161" s="4" t="str">
        <f t="shared" si="21"/>
        <v/>
      </c>
      <c r="K161" s="4" t="str">
        <f t="shared" si="22"/>
        <v/>
      </c>
      <c r="L161" s="4" t="str">
        <f t="shared" si="23"/>
        <v/>
      </c>
      <c r="M161" s="4" t="str">
        <f t="shared" si="19"/>
        <v/>
      </c>
      <c r="N161" s="4" t="str">
        <f t="shared" si="24"/>
        <v/>
      </c>
      <c r="O161" s="4" t="str">
        <f>IF($B161="","",Inputs!$B$15-$M160)</f>
        <v/>
      </c>
      <c r="P161" s="3" t="str">
        <f t="shared" si="25"/>
        <v/>
      </c>
      <c r="Q161" s="3" t="str">
        <f t="shared" si="26"/>
        <v/>
      </c>
      <c r="R161" s="3" t="str">
        <f>IF($B161="","",IF($Q161,($L160+$N160+$G161)&gt;Inputs!$B$16,FALSE))</f>
        <v/>
      </c>
      <c r="S161" s="3" t="str">
        <f>IF($B161="","",IF(OR($F161&gt;Inputs!$B$15,$G161&gt;Inputs!$B$16),"TOO BIG",IF($R161,"NEW SHEET",IF($Q161,"NEW ROW","OK"))))</f>
        <v/>
      </c>
    </row>
    <row r="162" spans="1:19" x14ac:dyDescent="0.2">
      <c r="A162" s="4">
        <v>156</v>
      </c>
      <c r="B162" s="3" t="str">
        <f>IF(SortedPieces!$B158="","",SortedPieces!$B158)</f>
        <v/>
      </c>
      <c r="C162" s="4" t="str">
        <f>IF(SortedPieces!$C158="","",SortedPieces!$C158)</f>
        <v/>
      </c>
      <c r="D162" s="4" t="str">
        <f>IF(SortedPieces!$D158="","",SortedPieces!$D158)</f>
        <v/>
      </c>
      <c r="E162" s="3" t="str">
        <f>IF(SortedPieces!$E158="","",SortedPieces!$E158)</f>
        <v/>
      </c>
      <c r="F162" s="4" t="str">
        <f>IF($B162="","",IF($C162&lt;=$O162,$C162,IF(AND($E162="Y",$D162&lt;=$O162),$D162,IF(AND($E162="Y",$D162&lt;=Inputs!$B$15,$C162&lt;=Inputs!$B$15),IF($C162&lt;$D162,$D162,$C162),IF(AND($E162="Y",$D162&lt;=Inputs!$B$15),$D162,$C162)))))</f>
        <v/>
      </c>
      <c r="G162" s="4" t="str">
        <f>IF($B162="","",IF($C162&lt;=$O162,$D162,IF(AND($E162="Y",$D162&lt;=$O162),$C162,IF(AND($E162="Y",$D162&lt;=Inputs!$B$15,$C162&lt;=Inputs!$B$15),IF($C162&lt;$D162,$C162,$D162),IF(AND($E162="Y",$D162&lt;=Inputs!$B$15),$C162,$D162)))))</f>
        <v/>
      </c>
      <c r="H162" s="3" t="str">
        <f t="shared" si="18"/>
        <v/>
      </c>
      <c r="I162" s="4" t="str">
        <f t="shared" si="20"/>
        <v/>
      </c>
      <c r="J162" s="4" t="str">
        <f t="shared" si="21"/>
        <v/>
      </c>
      <c r="K162" s="4" t="str">
        <f t="shared" si="22"/>
        <v/>
      </c>
      <c r="L162" s="4" t="str">
        <f t="shared" si="23"/>
        <v/>
      </c>
      <c r="M162" s="4" t="str">
        <f t="shared" si="19"/>
        <v/>
      </c>
      <c r="N162" s="4" t="str">
        <f t="shared" si="24"/>
        <v/>
      </c>
      <c r="O162" s="4" t="str">
        <f>IF($B162="","",Inputs!$B$15-$M161)</f>
        <v/>
      </c>
      <c r="P162" s="3" t="str">
        <f t="shared" si="25"/>
        <v/>
      </c>
      <c r="Q162" s="3" t="str">
        <f t="shared" si="26"/>
        <v/>
      </c>
      <c r="R162" s="3" t="str">
        <f>IF($B162="","",IF($Q162,($L161+$N161+$G162)&gt;Inputs!$B$16,FALSE))</f>
        <v/>
      </c>
      <c r="S162" s="3" t="str">
        <f>IF($B162="","",IF(OR($F162&gt;Inputs!$B$15,$G162&gt;Inputs!$B$16),"TOO BIG",IF($R162,"NEW SHEET",IF($Q162,"NEW ROW","OK"))))</f>
        <v/>
      </c>
    </row>
    <row r="163" spans="1:19" x14ac:dyDescent="0.2">
      <c r="A163" s="4">
        <v>157</v>
      </c>
      <c r="B163" s="3" t="str">
        <f>IF(SortedPieces!$B159="","",SortedPieces!$B159)</f>
        <v/>
      </c>
      <c r="C163" s="4" t="str">
        <f>IF(SortedPieces!$C159="","",SortedPieces!$C159)</f>
        <v/>
      </c>
      <c r="D163" s="4" t="str">
        <f>IF(SortedPieces!$D159="","",SortedPieces!$D159)</f>
        <v/>
      </c>
      <c r="E163" s="3" t="str">
        <f>IF(SortedPieces!$E159="","",SortedPieces!$E159)</f>
        <v/>
      </c>
      <c r="F163" s="4" t="str">
        <f>IF($B163="","",IF($C163&lt;=$O163,$C163,IF(AND($E163="Y",$D163&lt;=$O163),$D163,IF(AND($E163="Y",$D163&lt;=Inputs!$B$15,$C163&lt;=Inputs!$B$15),IF($C163&lt;$D163,$D163,$C163),IF(AND($E163="Y",$D163&lt;=Inputs!$B$15),$D163,$C163)))))</f>
        <v/>
      </c>
      <c r="G163" s="4" t="str">
        <f>IF($B163="","",IF($C163&lt;=$O163,$D163,IF(AND($E163="Y",$D163&lt;=$O163),$C163,IF(AND($E163="Y",$D163&lt;=Inputs!$B$15,$C163&lt;=Inputs!$B$15),IF($C163&lt;$D163,$C163,$D163),IF(AND($E163="Y",$D163&lt;=Inputs!$B$15),$C163,$D163)))))</f>
        <v/>
      </c>
      <c r="H163" s="3" t="str">
        <f t="shared" si="18"/>
        <v/>
      </c>
      <c r="I163" s="4" t="str">
        <f t="shared" si="20"/>
        <v/>
      </c>
      <c r="J163" s="4" t="str">
        <f t="shared" si="21"/>
        <v/>
      </c>
      <c r="K163" s="4" t="str">
        <f t="shared" si="22"/>
        <v/>
      </c>
      <c r="L163" s="4" t="str">
        <f t="shared" si="23"/>
        <v/>
      </c>
      <c r="M163" s="4" t="str">
        <f t="shared" si="19"/>
        <v/>
      </c>
      <c r="N163" s="4" t="str">
        <f t="shared" si="24"/>
        <v/>
      </c>
      <c r="O163" s="4" t="str">
        <f>IF($B163="","",Inputs!$B$15-$M162)</f>
        <v/>
      </c>
      <c r="P163" s="3" t="str">
        <f t="shared" si="25"/>
        <v/>
      </c>
      <c r="Q163" s="3" t="str">
        <f t="shared" si="26"/>
        <v/>
      </c>
      <c r="R163" s="3" t="str">
        <f>IF($B163="","",IF($Q163,($L162+$N162+$G163)&gt;Inputs!$B$16,FALSE))</f>
        <v/>
      </c>
      <c r="S163" s="3" t="str">
        <f>IF($B163="","",IF(OR($F163&gt;Inputs!$B$15,$G163&gt;Inputs!$B$16),"TOO BIG",IF($R163,"NEW SHEET",IF($Q163,"NEW ROW","OK"))))</f>
        <v/>
      </c>
    </row>
    <row r="164" spans="1:19" x14ac:dyDescent="0.2">
      <c r="A164" s="4">
        <v>158</v>
      </c>
      <c r="B164" s="3" t="str">
        <f>IF(SortedPieces!$B160="","",SortedPieces!$B160)</f>
        <v/>
      </c>
      <c r="C164" s="4" t="str">
        <f>IF(SortedPieces!$C160="","",SortedPieces!$C160)</f>
        <v/>
      </c>
      <c r="D164" s="4" t="str">
        <f>IF(SortedPieces!$D160="","",SortedPieces!$D160)</f>
        <v/>
      </c>
      <c r="E164" s="3" t="str">
        <f>IF(SortedPieces!$E160="","",SortedPieces!$E160)</f>
        <v/>
      </c>
      <c r="F164" s="4" t="str">
        <f>IF($B164="","",IF($C164&lt;=$O164,$C164,IF(AND($E164="Y",$D164&lt;=$O164),$D164,IF(AND($E164="Y",$D164&lt;=Inputs!$B$15,$C164&lt;=Inputs!$B$15),IF($C164&lt;$D164,$D164,$C164),IF(AND($E164="Y",$D164&lt;=Inputs!$B$15),$D164,$C164)))))</f>
        <v/>
      </c>
      <c r="G164" s="4" t="str">
        <f>IF($B164="","",IF($C164&lt;=$O164,$D164,IF(AND($E164="Y",$D164&lt;=$O164),$C164,IF(AND($E164="Y",$D164&lt;=Inputs!$B$15,$C164&lt;=Inputs!$B$15),IF($C164&lt;$D164,$C164,$D164),IF(AND($E164="Y",$D164&lt;=Inputs!$B$15),$C164,$D164)))))</f>
        <v/>
      </c>
      <c r="H164" s="3" t="str">
        <f t="shared" si="18"/>
        <v/>
      </c>
      <c r="I164" s="4" t="str">
        <f t="shared" si="20"/>
        <v/>
      </c>
      <c r="J164" s="4" t="str">
        <f t="shared" si="21"/>
        <v/>
      </c>
      <c r="K164" s="4" t="str">
        <f t="shared" si="22"/>
        <v/>
      </c>
      <c r="L164" s="4" t="str">
        <f t="shared" si="23"/>
        <v/>
      </c>
      <c r="M164" s="4" t="str">
        <f t="shared" si="19"/>
        <v/>
      </c>
      <c r="N164" s="4" t="str">
        <f t="shared" si="24"/>
        <v/>
      </c>
      <c r="O164" s="4" t="str">
        <f>IF($B164="","",Inputs!$B$15-$M163)</f>
        <v/>
      </c>
      <c r="P164" s="3" t="str">
        <f t="shared" si="25"/>
        <v/>
      </c>
      <c r="Q164" s="3" t="str">
        <f t="shared" si="26"/>
        <v/>
      </c>
      <c r="R164" s="3" t="str">
        <f>IF($B164="","",IF($Q164,($L163+$N163+$G164)&gt;Inputs!$B$16,FALSE))</f>
        <v/>
      </c>
      <c r="S164" s="3" t="str">
        <f>IF($B164="","",IF(OR($F164&gt;Inputs!$B$15,$G164&gt;Inputs!$B$16),"TOO BIG",IF($R164,"NEW SHEET",IF($Q164,"NEW ROW","OK"))))</f>
        <v/>
      </c>
    </row>
    <row r="165" spans="1:19" x14ac:dyDescent="0.2">
      <c r="A165" s="4">
        <v>159</v>
      </c>
      <c r="B165" s="3" t="str">
        <f>IF(SortedPieces!$B161="","",SortedPieces!$B161)</f>
        <v/>
      </c>
      <c r="C165" s="4" t="str">
        <f>IF(SortedPieces!$C161="","",SortedPieces!$C161)</f>
        <v/>
      </c>
      <c r="D165" s="4" t="str">
        <f>IF(SortedPieces!$D161="","",SortedPieces!$D161)</f>
        <v/>
      </c>
      <c r="E165" s="3" t="str">
        <f>IF(SortedPieces!$E161="","",SortedPieces!$E161)</f>
        <v/>
      </c>
      <c r="F165" s="4" t="str">
        <f>IF($B165="","",IF($C165&lt;=$O165,$C165,IF(AND($E165="Y",$D165&lt;=$O165),$D165,IF(AND($E165="Y",$D165&lt;=Inputs!$B$15,$C165&lt;=Inputs!$B$15),IF($C165&lt;$D165,$D165,$C165),IF(AND($E165="Y",$D165&lt;=Inputs!$B$15),$D165,$C165)))))</f>
        <v/>
      </c>
      <c r="G165" s="4" t="str">
        <f>IF($B165="","",IF($C165&lt;=$O165,$D165,IF(AND($E165="Y",$D165&lt;=$O165),$C165,IF(AND($E165="Y",$D165&lt;=Inputs!$B$15,$C165&lt;=Inputs!$B$15),IF($C165&lt;$D165,$C165,$D165),IF(AND($E165="Y",$D165&lt;=Inputs!$B$15),$C165,$D165)))))</f>
        <v/>
      </c>
      <c r="H165" s="3" t="str">
        <f t="shared" si="18"/>
        <v/>
      </c>
      <c r="I165" s="4" t="str">
        <f t="shared" si="20"/>
        <v/>
      </c>
      <c r="J165" s="4" t="str">
        <f t="shared" si="21"/>
        <v/>
      </c>
      <c r="K165" s="4" t="str">
        <f t="shared" si="22"/>
        <v/>
      </c>
      <c r="L165" s="4" t="str">
        <f t="shared" si="23"/>
        <v/>
      </c>
      <c r="M165" s="4" t="str">
        <f t="shared" si="19"/>
        <v/>
      </c>
      <c r="N165" s="4" t="str">
        <f t="shared" si="24"/>
        <v/>
      </c>
      <c r="O165" s="4" t="str">
        <f>IF($B165="","",Inputs!$B$15-$M164)</f>
        <v/>
      </c>
      <c r="P165" s="3" t="str">
        <f t="shared" si="25"/>
        <v/>
      </c>
      <c r="Q165" s="3" t="str">
        <f t="shared" si="26"/>
        <v/>
      </c>
      <c r="R165" s="3" t="str">
        <f>IF($B165="","",IF($Q165,($L164+$N164+$G165)&gt;Inputs!$B$16,FALSE))</f>
        <v/>
      </c>
      <c r="S165" s="3" t="str">
        <f>IF($B165="","",IF(OR($F165&gt;Inputs!$B$15,$G165&gt;Inputs!$B$16),"TOO BIG",IF($R165,"NEW SHEET",IF($Q165,"NEW ROW","OK"))))</f>
        <v/>
      </c>
    </row>
    <row r="166" spans="1:19" x14ac:dyDescent="0.2">
      <c r="A166" s="4">
        <v>160</v>
      </c>
      <c r="B166" s="3" t="str">
        <f>IF(SortedPieces!$B162="","",SortedPieces!$B162)</f>
        <v/>
      </c>
      <c r="C166" s="4" t="str">
        <f>IF(SortedPieces!$C162="","",SortedPieces!$C162)</f>
        <v/>
      </c>
      <c r="D166" s="4" t="str">
        <f>IF(SortedPieces!$D162="","",SortedPieces!$D162)</f>
        <v/>
      </c>
      <c r="E166" s="3" t="str">
        <f>IF(SortedPieces!$E162="","",SortedPieces!$E162)</f>
        <v/>
      </c>
      <c r="F166" s="4" t="str">
        <f>IF($B166="","",IF($C166&lt;=$O166,$C166,IF(AND($E166="Y",$D166&lt;=$O166),$D166,IF(AND($E166="Y",$D166&lt;=Inputs!$B$15,$C166&lt;=Inputs!$B$15),IF($C166&lt;$D166,$D166,$C166),IF(AND($E166="Y",$D166&lt;=Inputs!$B$15),$D166,$C166)))))</f>
        <v/>
      </c>
      <c r="G166" s="4" t="str">
        <f>IF($B166="","",IF($C166&lt;=$O166,$D166,IF(AND($E166="Y",$D166&lt;=$O166),$C166,IF(AND($E166="Y",$D166&lt;=Inputs!$B$15,$C166&lt;=Inputs!$B$15),IF($C166&lt;$D166,$C166,$D166),IF(AND($E166="Y",$D166&lt;=Inputs!$B$15),$C166,$D166)))))</f>
        <v/>
      </c>
      <c r="H166" s="3" t="str">
        <f t="shared" si="18"/>
        <v/>
      </c>
      <c r="I166" s="4" t="str">
        <f t="shared" si="20"/>
        <v/>
      </c>
      <c r="J166" s="4" t="str">
        <f t="shared" si="21"/>
        <v/>
      </c>
      <c r="K166" s="4" t="str">
        <f t="shared" si="22"/>
        <v/>
      </c>
      <c r="L166" s="4" t="str">
        <f t="shared" si="23"/>
        <v/>
      </c>
      <c r="M166" s="4" t="str">
        <f t="shared" si="19"/>
        <v/>
      </c>
      <c r="N166" s="4" t="str">
        <f t="shared" si="24"/>
        <v/>
      </c>
      <c r="O166" s="4" t="str">
        <f>IF($B166="","",Inputs!$B$15-$M165)</f>
        <v/>
      </c>
      <c r="P166" s="3" t="str">
        <f t="shared" si="25"/>
        <v/>
      </c>
      <c r="Q166" s="3" t="str">
        <f t="shared" si="26"/>
        <v/>
      </c>
      <c r="R166" s="3" t="str">
        <f>IF($B166="","",IF($Q166,($L165+$N165+$G166)&gt;Inputs!$B$16,FALSE))</f>
        <v/>
      </c>
      <c r="S166" s="3" t="str">
        <f>IF($B166="","",IF(OR($F166&gt;Inputs!$B$15,$G166&gt;Inputs!$B$16),"TOO BIG",IF($R166,"NEW SHEET",IF($Q166,"NEW ROW","OK"))))</f>
        <v/>
      </c>
    </row>
    <row r="167" spans="1:19" x14ac:dyDescent="0.2">
      <c r="A167" s="4">
        <v>161</v>
      </c>
      <c r="B167" s="3" t="str">
        <f>IF(SortedPieces!$B163="","",SortedPieces!$B163)</f>
        <v/>
      </c>
      <c r="C167" s="4" t="str">
        <f>IF(SortedPieces!$C163="","",SortedPieces!$C163)</f>
        <v/>
      </c>
      <c r="D167" s="4" t="str">
        <f>IF(SortedPieces!$D163="","",SortedPieces!$D163)</f>
        <v/>
      </c>
      <c r="E167" s="3" t="str">
        <f>IF(SortedPieces!$E163="","",SortedPieces!$E163)</f>
        <v/>
      </c>
      <c r="F167" s="4" t="str">
        <f>IF($B167="","",IF($C167&lt;=$O167,$C167,IF(AND($E167="Y",$D167&lt;=$O167),$D167,IF(AND($E167="Y",$D167&lt;=Inputs!$B$15,$C167&lt;=Inputs!$B$15),IF($C167&lt;$D167,$D167,$C167),IF(AND($E167="Y",$D167&lt;=Inputs!$B$15),$D167,$C167)))))</f>
        <v/>
      </c>
      <c r="G167" s="4" t="str">
        <f>IF($B167="","",IF($C167&lt;=$O167,$D167,IF(AND($E167="Y",$D167&lt;=$O167),$C167,IF(AND($E167="Y",$D167&lt;=Inputs!$B$15,$C167&lt;=Inputs!$B$15),IF($C167&lt;$D167,$C167,$D167),IF(AND($E167="Y",$D167&lt;=Inputs!$B$15),$C167,$D167)))))</f>
        <v/>
      </c>
      <c r="H167" s="3" t="str">
        <f t="shared" si="18"/>
        <v/>
      </c>
      <c r="I167" s="4" t="str">
        <f t="shared" si="20"/>
        <v/>
      </c>
      <c r="J167" s="4" t="str">
        <f t="shared" si="21"/>
        <v/>
      </c>
      <c r="K167" s="4" t="str">
        <f t="shared" si="22"/>
        <v/>
      </c>
      <c r="L167" s="4" t="str">
        <f t="shared" si="23"/>
        <v/>
      </c>
      <c r="M167" s="4" t="str">
        <f t="shared" si="19"/>
        <v/>
      </c>
      <c r="N167" s="4" t="str">
        <f t="shared" si="24"/>
        <v/>
      </c>
      <c r="O167" s="4" t="str">
        <f>IF($B167="","",Inputs!$B$15-$M166)</f>
        <v/>
      </c>
      <c r="P167" s="3" t="str">
        <f t="shared" si="25"/>
        <v/>
      </c>
      <c r="Q167" s="3" t="str">
        <f t="shared" si="26"/>
        <v/>
      </c>
      <c r="R167" s="3" t="str">
        <f>IF($B167="","",IF($Q167,($L166+$N166+$G167)&gt;Inputs!$B$16,FALSE))</f>
        <v/>
      </c>
      <c r="S167" s="3" t="str">
        <f>IF($B167="","",IF(OR($F167&gt;Inputs!$B$15,$G167&gt;Inputs!$B$16),"TOO BIG",IF($R167,"NEW SHEET",IF($Q167,"NEW ROW","OK"))))</f>
        <v/>
      </c>
    </row>
    <row r="168" spans="1:19" x14ac:dyDescent="0.2">
      <c r="A168" s="4">
        <v>162</v>
      </c>
      <c r="B168" s="3" t="str">
        <f>IF(SortedPieces!$B164="","",SortedPieces!$B164)</f>
        <v/>
      </c>
      <c r="C168" s="4" t="str">
        <f>IF(SortedPieces!$C164="","",SortedPieces!$C164)</f>
        <v/>
      </c>
      <c r="D168" s="4" t="str">
        <f>IF(SortedPieces!$D164="","",SortedPieces!$D164)</f>
        <v/>
      </c>
      <c r="E168" s="3" t="str">
        <f>IF(SortedPieces!$E164="","",SortedPieces!$E164)</f>
        <v/>
      </c>
      <c r="F168" s="4" t="str">
        <f>IF($B168="","",IF($C168&lt;=$O168,$C168,IF(AND($E168="Y",$D168&lt;=$O168),$D168,IF(AND($E168="Y",$D168&lt;=Inputs!$B$15,$C168&lt;=Inputs!$B$15),IF($C168&lt;$D168,$D168,$C168),IF(AND($E168="Y",$D168&lt;=Inputs!$B$15),$D168,$C168)))))</f>
        <v/>
      </c>
      <c r="G168" s="4" t="str">
        <f>IF($B168="","",IF($C168&lt;=$O168,$D168,IF(AND($E168="Y",$D168&lt;=$O168),$C168,IF(AND($E168="Y",$D168&lt;=Inputs!$B$15,$C168&lt;=Inputs!$B$15),IF($C168&lt;$D168,$C168,$D168),IF(AND($E168="Y",$D168&lt;=Inputs!$B$15),$C168,$D168)))))</f>
        <v/>
      </c>
      <c r="H168" s="3" t="str">
        <f t="shared" si="18"/>
        <v/>
      </c>
      <c r="I168" s="4" t="str">
        <f t="shared" si="20"/>
        <v/>
      </c>
      <c r="J168" s="4" t="str">
        <f t="shared" si="21"/>
        <v/>
      </c>
      <c r="K168" s="4" t="str">
        <f t="shared" si="22"/>
        <v/>
      </c>
      <c r="L168" s="4" t="str">
        <f t="shared" si="23"/>
        <v/>
      </c>
      <c r="M168" s="4" t="str">
        <f t="shared" si="19"/>
        <v/>
      </c>
      <c r="N168" s="4" t="str">
        <f t="shared" si="24"/>
        <v/>
      </c>
      <c r="O168" s="4" t="str">
        <f>IF($B168="","",Inputs!$B$15-$M167)</f>
        <v/>
      </c>
      <c r="P168" s="3" t="str">
        <f t="shared" si="25"/>
        <v/>
      </c>
      <c r="Q168" s="3" t="str">
        <f t="shared" si="26"/>
        <v/>
      </c>
      <c r="R168" s="3" t="str">
        <f>IF($B168="","",IF($Q168,($L167+$N167+$G168)&gt;Inputs!$B$16,FALSE))</f>
        <v/>
      </c>
      <c r="S168" s="3" t="str">
        <f>IF($B168="","",IF(OR($F168&gt;Inputs!$B$15,$G168&gt;Inputs!$B$16),"TOO BIG",IF($R168,"NEW SHEET",IF($Q168,"NEW ROW","OK"))))</f>
        <v/>
      </c>
    </row>
    <row r="169" spans="1:19" x14ac:dyDescent="0.2">
      <c r="A169" s="4">
        <v>163</v>
      </c>
      <c r="B169" s="3" t="str">
        <f>IF(SortedPieces!$B165="","",SortedPieces!$B165)</f>
        <v/>
      </c>
      <c r="C169" s="4" t="str">
        <f>IF(SortedPieces!$C165="","",SortedPieces!$C165)</f>
        <v/>
      </c>
      <c r="D169" s="4" t="str">
        <f>IF(SortedPieces!$D165="","",SortedPieces!$D165)</f>
        <v/>
      </c>
      <c r="E169" s="3" t="str">
        <f>IF(SortedPieces!$E165="","",SortedPieces!$E165)</f>
        <v/>
      </c>
      <c r="F169" s="4" t="str">
        <f>IF($B169="","",IF($C169&lt;=$O169,$C169,IF(AND($E169="Y",$D169&lt;=$O169),$D169,IF(AND($E169="Y",$D169&lt;=Inputs!$B$15,$C169&lt;=Inputs!$B$15),IF($C169&lt;$D169,$D169,$C169),IF(AND($E169="Y",$D169&lt;=Inputs!$B$15),$D169,$C169)))))</f>
        <v/>
      </c>
      <c r="G169" s="4" t="str">
        <f>IF($B169="","",IF($C169&lt;=$O169,$D169,IF(AND($E169="Y",$D169&lt;=$O169),$C169,IF(AND($E169="Y",$D169&lt;=Inputs!$B$15,$C169&lt;=Inputs!$B$15),IF($C169&lt;$D169,$C169,$D169),IF(AND($E169="Y",$D169&lt;=Inputs!$B$15),$C169,$D169)))))</f>
        <v/>
      </c>
      <c r="H169" s="3" t="str">
        <f t="shared" si="18"/>
        <v/>
      </c>
      <c r="I169" s="4" t="str">
        <f t="shared" si="20"/>
        <v/>
      </c>
      <c r="J169" s="4" t="str">
        <f t="shared" si="21"/>
        <v/>
      </c>
      <c r="K169" s="4" t="str">
        <f t="shared" si="22"/>
        <v/>
      </c>
      <c r="L169" s="4" t="str">
        <f t="shared" si="23"/>
        <v/>
      </c>
      <c r="M169" s="4" t="str">
        <f t="shared" si="19"/>
        <v/>
      </c>
      <c r="N169" s="4" t="str">
        <f t="shared" si="24"/>
        <v/>
      </c>
      <c r="O169" s="4" t="str">
        <f>IF($B169="","",Inputs!$B$15-$M168)</f>
        <v/>
      </c>
      <c r="P169" s="3" t="str">
        <f t="shared" si="25"/>
        <v/>
      </c>
      <c r="Q169" s="3" t="str">
        <f t="shared" si="26"/>
        <v/>
      </c>
      <c r="R169" s="3" t="str">
        <f>IF($B169="","",IF($Q169,($L168+$N168+$G169)&gt;Inputs!$B$16,FALSE))</f>
        <v/>
      </c>
      <c r="S169" s="3" t="str">
        <f>IF($B169="","",IF(OR($F169&gt;Inputs!$B$15,$G169&gt;Inputs!$B$16),"TOO BIG",IF($R169,"NEW SHEET",IF($Q169,"NEW ROW","OK"))))</f>
        <v/>
      </c>
    </row>
    <row r="170" spans="1:19" x14ac:dyDescent="0.2">
      <c r="A170" s="4">
        <v>164</v>
      </c>
      <c r="B170" s="3" t="str">
        <f>IF(SortedPieces!$B166="","",SortedPieces!$B166)</f>
        <v/>
      </c>
      <c r="C170" s="4" t="str">
        <f>IF(SortedPieces!$C166="","",SortedPieces!$C166)</f>
        <v/>
      </c>
      <c r="D170" s="4" t="str">
        <f>IF(SortedPieces!$D166="","",SortedPieces!$D166)</f>
        <v/>
      </c>
      <c r="E170" s="3" t="str">
        <f>IF(SortedPieces!$E166="","",SortedPieces!$E166)</f>
        <v/>
      </c>
      <c r="F170" s="4" t="str">
        <f>IF($B170="","",IF($C170&lt;=$O170,$C170,IF(AND($E170="Y",$D170&lt;=$O170),$D170,IF(AND($E170="Y",$D170&lt;=Inputs!$B$15,$C170&lt;=Inputs!$B$15),IF($C170&lt;$D170,$D170,$C170),IF(AND($E170="Y",$D170&lt;=Inputs!$B$15),$D170,$C170)))))</f>
        <v/>
      </c>
      <c r="G170" s="4" t="str">
        <f>IF($B170="","",IF($C170&lt;=$O170,$D170,IF(AND($E170="Y",$D170&lt;=$O170),$C170,IF(AND($E170="Y",$D170&lt;=Inputs!$B$15,$C170&lt;=Inputs!$B$15),IF($C170&lt;$D170,$C170,$D170),IF(AND($E170="Y",$D170&lt;=Inputs!$B$15),$C170,$D170)))))</f>
        <v/>
      </c>
      <c r="H170" s="3" t="str">
        <f t="shared" si="18"/>
        <v/>
      </c>
      <c r="I170" s="4" t="str">
        <f t="shared" si="20"/>
        <v/>
      </c>
      <c r="J170" s="4" t="str">
        <f t="shared" si="21"/>
        <v/>
      </c>
      <c r="K170" s="4" t="str">
        <f t="shared" si="22"/>
        <v/>
      </c>
      <c r="L170" s="4" t="str">
        <f t="shared" si="23"/>
        <v/>
      </c>
      <c r="M170" s="4" t="str">
        <f t="shared" si="19"/>
        <v/>
      </c>
      <c r="N170" s="4" t="str">
        <f t="shared" si="24"/>
        <v/>
      </c>
      <c r="O170" s="4" t="str">
        <f>IF($B170="","",Inputs!$B$15-$M169)</f>
        <v/>
      </c>
      <c r="P170" s="3" t="str">
        <f t="shared" si="25"/>
        <v/>
      </c>
      <c r="Q170" s="3" t="str">
        <f t="shared" si="26"/>
        <v/>
      </c>
      <c r="R170" s="3" t="str">
        <f>IF($B170="","",IF($Q170,($L169+$N169+$G170)&gt;Inputs!$B$16,FALSE))</f>
        <v/>
      </c>
      <c r="S170" s="3" t="str">
        <f>IF($B170="","",IF(OR($F170&gt;Inputs!$B$15,$G170&gt;Inputs!$B$16),"TOO BIG",IF($R170,"NEW SHEET",IF($Q170,"NEW ROW","OK"))))</f>
        <v/>
      </c>
    </row>
    <row r="171" spans="1:19" x14ac:dyDescent="0.2">
      <c r="A171" s="4">
        <v>165</v>
      </c>
      <c r="B171" s="3" t="str">
        <f>IF(SortedPieces!$B167="","",SortedPieces!$B167)</f>
        <v/>
      </c>
      <c r="C171" s="4" t="str">
        <f>IF(SortedPieces!$C167="","",SortedPieces!$C167)</f>
        <v/>
      </c>
      <c r="D171" s="4" t="str">
        <f>IF(SortedPieces!$D167="","",SortedPieces!$D167)</f>
        <v/>
      </c>
      <c r="E171" s="3" t="str">
        <f>IF(SortedPieces!$E167="","",SortedPieces!$E167)</f>
        <v/>
      </c>
      <c r="F171" s="4" t="str">
        <f>IF($B171="","",IF($C171&lt;=$O171,$C171,IF(AND($E171="Y",$D171&lt;=$O171),$D171,IF(AND($E171="Y",$D171&lt;=Inputs!$B$15,$C171&lt;=Inputs!$B$15),IF($C171&lt;$D171,$D171,$C171),IF(AND($E171="Y",$D171&lt;=Inputs!$B$15),$D171,$C171)))))</f>
        <v/>
      </c>
      <c r="G171" s="4" t="str">
        <f>IF($B171="","",IF($C171&lt;=$O171,$D171,IF(AND($E171="Y",$D171&lt;=$O171),$C171,IF(AND($E171="Y",$D171&lt;=Inputs!$B$15,$C171&lt;=Inputs!$B$15),IF($C171&lt;$D171,$C171,$D171),IF(AND($E171="Y",$D171&lt;=Inputs!$B$15),$C171,$D171)))))</f>
        <v/>
      </c>
      <c r="H171" s="3" t="str">
        <f t="shared" si="18"/>
        <v/>
      </c>
      <c r="I171" s="4" t="str">
        <f t="shared" si="20"/>
        <v/>
      </c>
      <c r="J171" s="4" t="str">
        <f t="shared" si="21"/>
        <v/>
      </c>
      <c r="K171" s="4" t="str">
        <f t="shared" si="22"/>
        <v/>
      </c>
      <c r="L171" s="4" t="str">
        <f t="shared" si="23"/>
        <v/>
      </c>
      <c r="M171" s="4" t="str">
        <f t="shared" si="19"/>
        <v/>
      </c>
      <c r="N171" s="4" t="str">
        <f t="shared" si="24"/>
        <v/>
      </c>
      <c r="O171" s="4" t="str">
        <f>IF($B171="","",Inputs!$B$15-$M170)</f>
        <v/>
      </c>
      <c r="P171" s="3" t="str">
        <f t="shared" si="25"/>
        <v/>
      </c>
      <c r="Q171" s="3" t="str">
        <f t="shared" si="26"/>
        <v/>
      </c>
      <c r="R171" s="3" t="str">
        <f>IF($B171="","",IF($Q171,($L170+$N170+$G171)&gt;Inputs!$B$16,FALSE))</f>
        <v/>
      </c>
      <c r="S171" s="3" t="str">
        <f>IF($B171="","",IF(OR($F171&gt;Inputs!$B$15,$G171&gt;Inputs!$B$16),"TOO BIG",IF($R171,"NEW SHEET",IF($Q171,"NEW ROW","OK"))))</f>
        <v/>
      </c>
    </row>
    <row r="172" spans="1:19" x14ac:dyDescent="0.2">
      <c r="A172" s="4">
        <v>166</v>
      </c>
      <c r="B172" s="3" t="str">
        <f>IF(SortedPieces!$B168="","",SortedPieces!$B168)</f>
        <v/>
      </c>
      <c r="C172" s="4" t="str">
        <f>IF(SortedPieces!$C168="","",SortedPieces!$C168)</f>
        <v/>
      </c>
      <c r="D172" s="4" t="str">
        <f>IF(SortedPieces!$D168="","",SortedPieces!$D168)</f>
        <v/>
      </c>
      <c r="E172" s="3" t="str">
        <f>IF(SortedPieces!$E168="","",SortedPieces!$E168)</f>
        <v/>
      </c>
      <c r="F172" s="4" t="str">
        <f>IF($B172="","",IF($C172&lt;=$O172,$C172,IF(AND($E172="Y",$D172&lt;=$O172),$D172,IF(AND($E172="Y",$D172&lt;=Inputs!$B$15,$C172&lt;=Inputs!$B$15),IF($C172&lt;$D172,$D172,$C172),IF(AND($E172="Y",$D172&lt;=Inputs!$B$15),$D172,$C172)))))</f>
        <v/>
      </c>
      <c r="G172" s="4" t="str">
        <f>IF($B172="","",IF($C172&lt;=$O172,$D172,IF(AND($E172="Y",$D172&lt;=$O172),$C172,IF(AND($E172="Y",$D172&lt;=Inputs!$B$15,$C172&lt;=Inputs!$B$15),IF($C172&lt;$D172,$C172,$D172),IF(AND($E172="Y",$D172&lt;=Inputs!$B$15),$C172,$D172)))))</f>
        <v/>
      </c>
      <c r="H172" s="3" t="str">
        <f t="shared" si="18"/>
        <v/>
      </c>
      <c r="I172" s="4" t="str">
        <f t="shared" si="20"/>
        <v/>
      </c>
      <c r="J172" s="4" t="str">
        <f t="shared" si="21"/>
        <v/>
      </c>
      <c r="K172" s="4" t="str">
        <f t="shared" si="22"/>
        <v/>
      </c>
      <c r="L172" s="4" t="str">
        <f t="shared" si="23"/>
        <v/>
      </c>
      <c r="M172" s="4" t="str">
        <f t="shared" si="19"/>
        <v/>
      </c>
      <c r="N172" s="4" t="str">
        <f t="shared" si="24"/>
        <v/>
      </c>
      <c r="O172" s="4" t="str">
        <f>IF($B172="","",Inputs!$B$15-$M171)</f>
        <v/>
      </c>
      <c r="P172" s="3" t="str">
        <f t="shared" si="25"/>
        <v/>
      </c>
      <c r="Q172" s="3" t="str">
        <f t="shared" si="26"/>
        <v/>
      </c>
      <c r="R172" s="3" t="str">
        <f>IF($B172="","",IF($Q172,($L171+$N171+$G172)&gt;Inputs!$B$16,FALSE))</f>
        <v/>
      </c>
      <c r="S172" s="3" t="str">
        <f>IF($B172="","",IF(OR($F172&gt;Inputs!$B$15,$G172&gt;Inputs!$B$16),"TOO BIG",IF($R172,"NEW SHEET",IF($Q172,"NEW ROW","OK"))))</f>
        <v/>
      </c>
    </row>
    <row r="173" spans="1:19" x14ac:dyDescent="0.2">
      <c r="A173" s="4">
        <v>167</v>
      </c>
      <c r="B173" s="3" t="str">
        <f>IF(SortedPieces!$B169="","",SortedPieces!$B169)</f>
        <v/>
      </c>
      <c r="C173" s="4" t="str">
        <f>IF(SortedPieces!$C169="","",SortedPieces!$C169)</f>
        <v/>
      </c>
      <c r="D173" s="4" t="str">
        <f>IF(SortedPieces!$D169="","",SortedPieces!$D169)</f>
        <v/>
      </c>
      <c r="E173" s="3" t="str">
        <f>IF(SortedPieces!$E169="","",SortedPieces!$E169)</f>
        <v/>
      </c>
      <c r="F173" s="4" t="str">
        <f>IF($B173="","",IF($C173&lt;=$O173,$C173,IF(AND($E173="Y",$D173&lt;=$O173),$D173,IF(AND($E173="Y",$D173&lt;=Inputs!$B$15,$C173&lt;=Inputs!$B$15),IF($C173&lt;$D173,$D173,$C173),IF(AND($E173="Y",$D173&lt;=Inputs!$B$15),$D173,$C173)))))</f>
        <v/>
      </c>
      <c r="G173" s="4" t="str">
        <f>IF($B173="","",IF($C173&lt;=$O173,$D173,IF(AND($E173="Y",$D173&lt;=$O173),$C173,IF(AND($E173="Y",$D173&lt;=Inputs!$B$15,$C173&lt;=Inputs!$B$15),IF($C173&lt;$D173,$C173,$D173),IF(AND($E173="Y",$D173&lt;=Inputs!$B$15),$C173,$D173)))))</f>
        <v/>
      </c>
      <c r="H173" s="3" t="str">
        <f t="shared" si="18"/>
        <v/>
      </c>
      <c r="I173" s="4" t="str">
        <f t="shared" si="20"/>
        <v/>
      </c>
      <c r="J173" s="4" t="str">
        <f t="shared" si="21"/>
        <v/>
      </c>
      <c r="K173" s="4" t="str">
        <f t="shared" si="22"/>
        <v/>
      </c>
      <c r="L173" s="4" t="str">
        <f t="shared" si="23"/>
        <v/>
      </c>
      <c r="M173" s="4" t="str">
        <f t="shared" si="19"/>
        <v/>
      </c>
      <c r="N173" s="4" t="str">
        <f t="shared" si="24"/>
        <v/>
      </c>
      <c r="O173" s="4" t="str">
        <f>IF($B173="","",Inputs!$B$15-$M172)</f>
        <v/>
      </c>
      <c r="P173" s="3" t="str">
        <f t="shared" si="25"/>
        <v/>
      </c>
      <c r="Q173" s="3" t="str">
        <f t="shared" si="26"/>
        <v/>
      </c>
      <c r="R173" s="3" t="str">
        <f>IF($B173="","",IF($Q173,($L172+$N172+$G173)&gt;Inputs!$B$16,FALSE))</f>
        <v/>
      </c>
      <c r="S173" s="3" t="str">
        <f>IF($B173="","",IF(OR($F173&gt;Inputs!$B$15,$G173&gt;Inputs!$B$16),"TOO BIG",IF($R173,"NEW SHEET",IF($Q173,"NEW ROW","OK"))))</f>
        <v/>
      </c>
    </row>
    <row r="174" spans="1:19" x14ac:dyDescent="0.2">
      <c r="A174" s="4">
        <v>168</v>
      </c>
      <c r="B174" s="3" t="str">
        <f>IF(SortedPieces!$B170="","",SortedPieces!$B170)</f>
        <v/>
      </c>
      <c r="C174" s="4" t="str">
        <f>IF(SortedPieces!$C170="","",SortedPieces!$C170)</f>
        <v/>
      </c>
      <c r="D174" s="4" t="str">
        <f>IF(SortedPieces!$D170="","",SortedPieces!$D170)</f>
        <v/>
      </c>
      <c r="E174" s="3" t="str">
        <f>IF(SortedPieces!$E170="","",SortedPieces!$E170)</f>
        <v/>
      </c>
      <c r="F174" s="4" t="str">
        <f>IF($B174="","",IF($C174&lt;=$O174,$C174,IF(AND($E174="Y",$D174&lt;=$O174),$D174,IF(AND($E174="Y",$D174&lt;=Inputs!$B$15,$C174&lt;=Inputs!$B$15),IF($C174&lt;$D174,$D174,$C174),IF(AND($E174="Y",$D174&lt;=Inputs!$B$15),$D174,$C174)))))</f>
        <v/>
      </c>
      <c r="G174" s="4" t="str">
        <f>IF($B174="","",IF($C174&lt;=$O174,$D174,IF(AND($E174="Y",$D174&lt;=$O174),$C174,IF(AND($E174="Y",$D174&lt;=Inputs!$B$15,$C174&lt;=Inputs!$B$15),IF($C174&lt;$D174,$C174,$D174),IF(AND($E174="Y",$D174&lt;=Inputs!$B$15),$C174,$D174)))))</f>
        <v/>
      </c>
      <c r="H174" s="3" t="str">
        <f t="shared" si="18"/>
        <v/>
      </c>
      <c r="I174" s="4" t="str">
        <f t="shared" si="20"/>
        <v/>
      </c>
      <c r="J174" s="4" t="str">
        <f t="shared" si="21"/>
        <v/>
      </c>
      <c r="K174" s="4" t="str">
        <f t="shared" si="22"/>
        <v/>
      </c>
      <c r="L174" s="4" t="str">
        <f t="shared" si="23"/>
        <v/>
      </c>
      <c r="M174" s="4" t="str">
        <f t="shared" si="19"/>
        <v/>
      </c>
      <c r="N174" s="4" t="str">
        <f t="shared" si="24"/>
        <v/>
      </c>
      <c r="O174" s="4" t="str">
        <f>IF($B174="","",Inputs!$B$15-$M173)</f>
        <v/>
      </c>
      <c r="P174" s="3" t="str">
        <f t="shared" si="25"/>
        <v/>
      </c>
      <c r="Q174" s="3" t="str">
        <f t="shared" si="26"/>
        <v/>
      </c>
      <c r="R174" s="3" t="str">
        <f>IF($B174="","",IF($Q174,($L173+$N173+$G174)&gt;Inputs!$B$16,FALSE))</f>
        <v/>
      </c>
      <c r="S174" s="3" t="str">
        <f>IF($B174="","",IF(OR($F174&gt;Inputs!$B$15,$G174&gt;Inputs!$B$16),"TOO BIG",IF($R174,"NEW SHEET",IF($Q174,"NEW ROW","OK"))))</f>
        <v/>
      </c>
    </row>
    <row r="175" spans="1:19" x14ac:dyDescent="0.2">
      <c r="A175" s="4">
        <v>169</v>
      </c>
      <c r="B175" s="3" t="str">
        <f>IF(SortedPieces!$B171="","",SortedPieces!$B171)</f>
        <v/>
      </c>
      <c r="C175" s="4" t="str">
        <f>IF(SortedPieces!$C171="","",SortedPieces!$C171)</f>
        <v/>
      </c>
      <c r="D175" s="4" t="str">
        <f>IF(SortedPieces!$D171="","",SortedPieces!$D171)</f>
        <v/>
      </c>
      <c r="E175" s="3" t="str">
        <f>IF(SortedPieces!$E171="","",SortedPieces!$E171)</f>
        <v/>
      </c>
      <c r="F175" s="4" t="str">
        <f>IF($B175="","",IF($C175&lt;=$O175,$C175,IF(AND($E175="Y",$D175&lt;=$O175),$D175,IF(AND($E175="Y",$D175&lt;=Inputs!$B$15,$C175&lt;=Inputs!$B$15),IF($C175&lt;$D175,$D175,$C175),IF(AND($E175="Y",$D175&lt;=Inputs!$B$15),$D175,$C175)))))</f>
        <v/>
      </c>
      <c r="G175" s="4" t="str">
        <f>IF($B175="","",IF($C175&lt;=$O175,$D175,IF(AND($E175="Y",$D175&lt;=$O175),$C175,IF(AND($E175="Y",$D175&lt;=Inputs!$B$15,$C175&lt;=Inputs!$B$15),IF($C175&lt;$D175,$C175,$D175),IF(AND($E175="Y",$D175&lt;=Inputs!$B$15),$C175,$D175)))))</f>
        <v/>
      </c>
      <c r="H175" s="3" t="str">
        <f t="shared" si="18"/>
        <v/>
      </c>
      <c r="I175" s="4" t="str">
        <f t="shared" si="20"/>
        <v/>
      </c>
      <c r="J175" s="4" t="str">
        <f t="shared" si="21"/>
        <v/>
      </c>
      <c r="K175" s="4" t="str">
        <f t="shared" si="22"/>
        <v/>
      </c>
      <c r="L175" s="4" t="str">
        <f t="shared" si="23"/>
        <v/>
      </c>
      <c r="M175" s="4" t="str">
        <f t="shared" si="19"/>
        <v/>
      </c>
      <c r="N175" s="4" t="str">
        <f t="shared" si="24"/>
        <v/>
      </c>
      <c r="O175" s="4" t="str">
        <f>IF($B175="","",Inputs!$B$15-$M174)</f>
        <v/>
      </c>
      <c r="P175" s="3" t="str">
        <f t="shared" si="25"/>
        <v/>
      </c>
      <c r="Q175" s="3" t="str">
        <f t="shared" si="26"/>
        <v/>
      </c>
      <c r="R175" s="3" t="str">
        <f>IF($B175="","",IF($Q175,($L174+$N174+$G175)&gt;Inputs!$B$16,FALSE))</f>
        <v/>
      </c>
      <c r="S175" s="3" t="str">
        <f>IF($B175="","",IF(OR($F175&gt;Inputs!$B$15,$G175&gt;Inputs!$B$16),"TOO BIG",IF($R175,"NEW SHEET",IF($Q175,"NEW ROW","OK"))))</f>
        <v/>
      </c>
    </row>
    <row r="176" spans="1:19" x14ac:dyDescent="0.2">
      <c r="A176" s="4">
        <v>170</v>
      </c>
      <c r="B176" s="3" t="str">
        <f>IF(SortedPieces!$B172="","",SortedPieces!$B172)</f>
        <v/>
      </c>
      <c r="C176" s="4" t="str">
        <f>IF(SortedPieces!$C172="","",SortedPieces!$C172)</f>
        <v/>
      </c>
      <c r="D176" s="4" t="str">
        <f>IF(SortedPieces!$D172="","",SortedPieces!$D172)</f>
        <v/>
      </c>
      <c r="E176" s="3" t="str">
        <f>IF(SortedPieces!$E172="","",SortedPieces!$E172)</f>
        <v/>
      </c>
      <c r="F176" s="4" t="str">
        <f>IF($B176="","",IF($C176&lt;=$O176,$C176,IF(AND($E176="Y",$D176&lt;=$O176),$D176,IF(AND($E176="Y",$D176&lt;=Inputs!$B$15,$C176&lt;=Inputs!$B$15),IF($C176&lt;$D176,$D176,$C176),IF(AND($E176="Y",$D176&lt;=Inputs!$B$15),$D176,$C176)))))</f>
        <v/>
      </c>
      <c r="G176" s="4" t="str">
        <f>IF($B176="","",IF($C176&lt;=$O176,$D176,IF(AND($E176="Y",$D176&lt;=$O176),$C176,IF(AND($E176="Y",$D176&lt;=Inputs!$B$15,$C176&lt;=Inputs!$B$15),IF($C176&lt;$D176,$C176,$D176),IF(AND($E176="Y",$D176&lt;=Inputs!$B$15),$C176,$D176)))))</f>
        <v/>
      </c>
      <c r="H176" s="3" t="str">
        <f t="shared" si="18"/>
        <v/>
      </c>
      <c r="I176" s="4" t="str">
        <f t="shared" si="20"/>
        <v/>
      </c>
      <c r="J176" s="4" t="str">
        <f t="shared" si="21"/>
        <v/>
      </c>
      <c r="K176" s="4" t="str">
        <f t="shared" si="22"/>
        <v/>
      </c>
      <c r="L176" s="4" t="str">
        <f t="shared" si="23"/>
        <v/>
      </c>
      <c r="M176" s="4" t="str">
        <f t="shared" si="19"/>
        <v/>
      </c>
      <c r="N176" s="4" t="str">
        <f t="shared" si="24"/>
        <v/>
      </c>
      <c r="O176" s="4" t="str">
        <f>IF($B176="","",Inputs!$B$15-$M175)</f>
        <v/>
      </c>
      <c r="P176" s="3" t="str">
        <f t="shared" si="25"/>
        <v/>
      </c>
      <c r="Q176" s="3" t="str">
        <f t="shared" si="26"/>
        <v/>
      </c>
      <c r="R176" s="3" t="str">
        <f>IF($B176="","",IF($Q176,($L175+$N175+$G176)&gt;Inputs!$B$16,FALSE))</f>
        <v/>
      </c>
      <c r="S176" s="3" t="str">
        <f>IF($B176="","",IF(OR($F176&gt;Inputs!$B$15,$G176&gt;Inputs!$B$16),"TOO BIG",IF($R176,"NEW SHEET",IF($Q176,"NEW ROW","OK"))))</f>
        <v/>
      </c>
    </row>
    <row r="177" spans="1:19" x14ac:dyDescent="0.2">
      <c r="A177" s="4">
        <v>171</v>
      </c>
      <c r="B177" s="3" t="str">
        <f>IF(SortedPieces!$B173="","",SortedPieces!$B173)</f>
        <v/>
      </c>
      <c r="C177" s="4" t="str">
        <f>IF(SortedPieces!$C173="","",SortedPieces!$C173)</f>
        <v/>
      </c>
      <c r="D177" s="4" t="str">
        <f>IF(SortedPieces!$D173="","",SortedPieces!$D173)</f>
        <v/>
      </c>
      <c r="E177" s="3" t="str">
        <f>IF(SortedPieces!$E173="","",SortedPieces!$E173)</f>
        <v/>
      </c>
      <c r="F177" s="4" t="str">
        <f>IF($B177="","",IF($C177&lt;=$O177,$C177,IF(AND($E177="Y",$D177&lt;=$O177),$D177,IF(AND($E177="Y",$D177&lt;=Inputs!$B$15,$C177&lt;=Inputs!$B$15),IF($C177&lt;$D177,$D177,$C177),IF(AND($E177="Y",$D177&lt;=Inputs!$B$15),$D177,$C177)))))</f>
        <v/>
      </c>
      <c r="G177" s="4" t="str">
        <f>IF($B177="","",IF($C177&lt;=$O177,$D177,IF(AND($E177="Y",$D177&lt;=$O177),$C177,IF(AND($E177="Y",$D177&lt;=Inputs!$B$15,$C177&lt;=Inputs!$B$15),IF($C177&lt;$D177,$C177,$D177),IF(AND($E177="Y",$D177&lt;=Inputs!$B$15),$C177,$D177)))))</f>
        <v/>
      </c>
      <c r="H177" s="3" t="str">
        <f t="shared" si="18"/>
        <v/>
      </c>
      <c r="I177" s="4" t="str">
        <f t="shared" si="20"/>
        <v/>
      </c>
      <c r="J177" s="4" t="str">
        <f t="shared" si="21"/>
        <v/>
      </c>
      <c r="K177" s="4" t="str">
        <f t="shared" si="22"/>
        <v/>
      </c>
      <c r="L177" s="4" t="str">
        <f t="shared" si="23"/>
        <v/>
      </c>
      <c r="M177" s="4" t="str">
        <f t="shared" si="19"/>
        <v/>
      </c>
      <c r="N177" s="4" t="str">
        <f t="shared" si="24"/>
        <v/>
      </c>
      <c r="O177" s="4" t="str">
        <f>IF($B177="","",Inputs!$B$15-$M176)</f>
        <v/>
      </c>
      <c r="P177" s="3" t="str">
        <f t="shared" si="25"/>
        <v/>
      </c>
      <c r="Q177" s="3" t="str">
        <f t="shared" si="26"/>
        <v/>
      </c>
      <c r="R177" s="3" t="str">
        <f>IF($B177="","",IF($Q177,($L176+$N176+$G177)&gt;Inputs!$B$16,FALSE))</f>
        <v/>
      </c>
      <c r="S177" s="3" t="str">
        <f>IF($B177="","",IF(OR($F177&gt;Inputs!$B$15,$G177&gt;Inputs!$B$16),"TOO BIG",IF($R177,"NEW SHEET",IF($Q177,"NEW ROW","OK"))))</f>
        <v/>
      </c>
    </row>
    <row r="178" spans="1:19" x14ac:dyDescent="0.2">
      <c r="A178" s="4">
        <v>172</v>
      </c>
      <c r="B178" s="3" t="str">
        <f>IF(SortedPieces!$B174="","",SortedPieces!$B174)</f>
        <v/>
      </c>
      <c r="C178" s="4" t="str">
        <f>IF(SortedPieces!$C174="","",SortedPieces!$C174)</f>
        <v/>
      </c>
      <c r="D178" s="4" t="str">
        <f>IF(SortedPieces!$D174="","",SortedPieces!$D174)</f>
        <v/>
      </c>
      <c r="E178" s="3" t="str">
        <f>IF(SortedPieces!$E174="","",SortedPieces!$E174)</f>
        <v/>
      </c>
      <c r="F178" s="4" t="str">
        <f>IF($B178="","",IF($C178&lt;=$O178,$C178,IF(AND($E178="Y",$D178&lt;=$O178),$D178,IF(AND($E178="Y",$D178&lt;=Inputs!$B$15,$C178&lt;=Inputs!$B$15),IF($C178&lt;$D178,$D178,$C178),IF(AND($E178="Y",$D178&lt;=Inputs!$B$15),$D178,$C178)))))</f>
        <v/>
      </c>
      <c r="G178" s="4" t="str">
        <f>IF($B178="","",IF($C178&lt;=$O178,$D178,IF(AND($E178="Y",$D178&lt;=$O178),$C178,IF(AND($E178="Y",$D178&lt;=Inputs!$B$15,$C178&lt;=Inputs!$B$15),IF($C178&lt;$D178,$C178,$D178),IF(AND($E178="Y",$D178&lt;=Inputs!$B$15),$C178,$D178)))))</f>
        <v/>
      </c>
      <c r="H178" s="3" t="str">
        <f t="shared" si="18"/>
        <v/>
      </c>
      <c r="I178" s="4" t="str">
        <f t="shared" si="20"/>
        <v/>
      </c>
      <c r="J178" s="4" t="str">
        <f t="shared" si="21"/>
        <v/>
      </c>
      <c r="K178" s="4" t="str">
        <f t="shared" si="22"/>
        <v/>
      </c>
      <c r="L178" s="4" t="str">
        <f t="shared" si="23"/>
        <v/>
      </c>
      <c r="M178" s="4" t="str">
        <f t="shared" si="19"/>
        <v/>
      </c>
      <c r="N178" s="4" t="str">
        <f t="shared" si="24"/>
        <v/>
      </c>
      <c r="O178" s="4" t="str">
        <f>IF($B178="","",Inputs!$B$15-$M177)</f>
        <v/>
      </c>
      <c r="P178" s="3" t="str">
        <f t="shared" si="25"/>
        <v/>
      </c>
      <c r="Q178" s="3" t="str">
        <f t="shared" si="26"/>
        <v/>
      </c>
      <c r="R178" s="3" t="str">
        <f>IF($B178="","",IF($Q178,($L177+$N177+$G178)&gt;Inputs!$B$16,FALSE))</f>
        <v/>
      </c>
      <c r="S178" s="3" t="str">
        <f>IF($B178="","",IF(OR($F178&gt;Inputs!$B$15,$G178&gt;Inputs!$B$16),"TOO BIG",IF($R178,"NEW SHEET",IF($Q178,"NEW ROW","OK"))))</f>
        <v/>
      </c>
    </row>
    <row r="179" spans="1:19" x14ac:dyDescent="0.2">
      <c r="A179" s="4">
        <v>173</v>
      </c>
      <c r="B179" s="3" t="str">
        <f>IF(SortedPieces!$B175="","",SortedPieces!$B175)</f>
        <v/>
      </c>
      <c r="C179" s="4" t="str">
        <f>IF(SortedPieces!$C175="","",SortedPieces!$C175)</f>
        <v/>
      </c>
      <c r="D179" s="4" t="str">
        <f>IF(SortedPieces!$D175="","",SortedPieces!$D175)</f>
        <v/>
      </c>
      <c r="E179" s="3" t="str">
        <f>IF(SortedPieces!$E175="","",SortedPieces!$E175)</f>
        <v/>
      </c>
      <c r="F179" s="4" t="str">
        <f>IF($B179="","",IF($C179&lt;=$O179,$C179,IF(AND($E179="Y",$D179&lt;=$O179),$D179,IF(AND($E179="Y",$D179&lt;=Inputs!$B$15,$C179&lt;=Inputs!$B$15),IF($C179&lt;$D179,$D179,$C179),IF(AND($E179="Y",$D179&lt;=Inputs!$B$15),$D179,$C179)))))</f>
        <v/>
      </c>
      <c r="G179" s="4" t="str">
        <f>IF($B179="","",IF($C179&lt;=$O179,$D179,IF(AND($E179="Y",$D179&lt;=$O179),$C179,IF(AND($E179="Y",$D179&lt;=Inputs!$B$15,$C179&lt;=Inputs!$B$15),IF($C179&lt;$D179,$C179,$D179),IF(AND($E179="Y",$D179&lt;=Inputs!$B$15),$C179,$D179)))))</f>
        <v/>
      </c>
      <c r="H179" s="3" t="str">
        <f t="shared" si="18"/>
        <v/>
      </c>
      <c r="I179" s="4" t="str">
        <f t="shared" si="20"/>
        <v/>
      </c>
      <c r="J179" s="4" t="str">
        <f t="shared" si="21"/>
        <v/>
      </c>
      <c r="K179" s="4" t="str">
        <f t="shared" si="22"/>
        <v/>
      </c>
      <c r="L179" s="4" t="str">
        <f t="shared" si="23"/>
        <v/>
      </c>
      <c r="M179" s="4" t="str">
        <f t="shared" si="19"/>
        <v/>
      </c>
      <c r="N179" s="4" t="str">
        <f t="shared" si="24"/>
        <v/>
      </c>
      <c r="O179" s="4" t="str">
        <f>IF($B179="","",Inputs!$B$15-$M178)</f>
        <v/>
      </c>
      <c r="P179" s="3" t="str">
        <f t="shared" si="25"/>
        <v/>
      </c>
      <c r="Q179" s="3" t="str">
        <f t="shared" si="26"/>
        <v/>
      </c>
      <c r="R179" s="3" t="str">
        <f>IF($B179="","",IF($Q179,($L178+$N178+$G179)&gt;Inputs!$B$16,FALSE))</f>
        <v/>
      </c>
      <c r="S179" s="3" t="str">
        <f>IF($B179="","",IF(OR($F179&gt;Inputs!$B$15,$G179&gt;Inputs!$B$16),"TOO BIG",IF($R179,"NEW SHEET",IF($Q179,"NEW ROW","OK"))))</f>
        <v/>
      </c>
    </row>
    <row r="180" spans="1:19" x14ac:dyDescent="0.2">
      <c r="A180" s="4">
        <v>174</v>
      </c>
      <c r="B180" s="3" t="str">
        <f>IF(SortedPieces!$B176="","",SortedPieces!$B176)</f>
        <v/>
      </c>
      <c r="C180" s="4" t="str">
        <f>IF(SortedPieces!$C176="","",SortedPieces!$C176)</f>
        <v/>
      </c>
      <c r="D180" s="4" t="str">
        <f>IF(SortedPieces!$D176="","",SortedPieces!$D176)</f>
        <v/>
      </c>
      <c r="E180" s="3" t="str">
        <f>IF(SortedPieces!$E176="","",SortedPieces!$E176)</f>
        <v/>
      </c>
      <c r="F180" s="4" t="str">
        <f>IF($B180="","",IF($C180&lt;=$O180,$C180,IF(AND($E180="Y",$D180&lt;=$O180),$D180,IF(AND($E180="Y",$D180&lt;=Inputs!$B$15,$C180&lt;=Inputs!$B$15),IF($C180&lt;$D180,$D180,$C180),IF(AND($E180="Y",$D180&lt;=Inputs!$B$15),$D180,$C180)))))</f>
        <v/>
      </c>
      <c r="G180" s="4" t="str">
        <f>IF($B180="","",IF($C180&lt;=$O180,$D180,IF(AND($E180="Y",$D180&lt;=$O180),$C180,IF(AND($E180="Y",$D180&lt;=Inputs!$B$15,$C180&lt;=Inputs!$B$15),IF($C180&lt;$D180,$C180,$D180),IF(AND($E180="Y",$D180&lt;=Inputs!$B$15),$C180,$D180)))))</f>
        <v/>
      </c>
      <c r="H180" s="3" t="str">
        <f t="shared" si="18"/>
        <v/>
      </c>
      <c r="I180" s="4" t="str">
        <f t="shared" si="20"/>
        <v/>
      </c>
      <c r="J180" s="4" t="str">
        <f t="shared" si="21"/>
        <v/>
      </c>
      <c r="K180" s="4" t="str">
        <f t="shared" si="22"/>
        <v/>
      </c>
      <c r="L180" s="4" t="str">
        <f t="shared" si="23"/>
        <v/>
      </c>
      <c r="M180" s="4" t="str">
        <f t="shared" si="19"/>
        <v/>
      </c>
      <c r="N180" s="4" t="str">
        <f t="shared" si="24"/>
        <v/>
      </c>
      <c r="O180" s="4" t="str">
        <f>IF($B180="","",Inputs!$B$15-$M179)</f>
        <v/>
      </c>
      <c r="P180" s="3" t="str">
        <f t="shared" si="25"/>
        <v/>
      </c>
      <c r="Q180" s="3" t="str">
        <f t="shared" si="26"/>
        <v/>
      </c>
      <c r="R180" s="3" t="str">
        <f>IF($B180="","",IF($Q180,($L179+$N179+$G180)&gt;Inputs!$B$16,FALSE))</f>
        <v/>
      </c>
      <c r="S180" s="3" t="str">
        <f>IF($B180="","",IF(OR($F180&gt;Inputs!$B$15,$G180&gt;Inputs!$B$16),"TOO BIG",IF($R180,"NEW SHEET",IF($Q180,"NEW ROW","OK"))))</f>
        <v/>
      </c>
    </row>
    <row r="181" spans="1:19" x14ac:dyDescent="0.2">
      <c r="A181" s="4">
        <v>175</v>
      </c>
      <c r="B181" s="3" t="str">
        <f>IF(SortedPieces!$B177="","",SortedPieces!$B177)</f>
        <v/>
      </c>
      <c r="C181" s="4" t="str">
        <f>IF(SortedPieces!$C177="","",SortedPieces!$C177)</f>
        <v/>
      </c>
      <c r="D181" s="4" t="str">
        <f>IF(SortedPieces!$D177="","",SortedPieces!$D177)</f>
        <v/>
      </c>
      <c r="E181" s="3" t="str">
        <f>IF(SortedPieces!$E177="","",SortedPieces!$E177)</f>
        <v/>
      </c>
      <c r="F181" s="4" t="str">
        <f>IF($B181="","",IF($C181&lt;=$O181,$C181,IF(AND($E181="Y",$D181&lt;=$O181),$D181,IF(AND($E181="Y",$D181&lt;=Inputs!$B$15,$C181&lt;=Inputs!$B$15),IF($C181&lt;$D181,$D181,$C181),IF(AND($E181="Y",$D181&lt;=Inputs!$B$15),$D181,$C181)))))</f>
        <v/>
      </c>
      <c r="G181" s="4" t="str">
        <f>IF($B181="","",IF($C181&lt;=$O181,$D181,IF(AND($E181="Y",$D181&lt;=$O181),$C181,IF(AND($E181="Y",$D181&lt;=Inputs!$B$15,$C181&lt;=Inputs!$B$15),IF($C181&lt;$D181,$C181,$D181),IF(AND($E181="Y",$D181&lt;=Inputs!$B$15),$C181,$D181)))))</f>
        <v/>
      </c>
      <c r="H181" s="3" t="str">
        <f t="shared" si="18"/>
        <v/>
      </c>
      <c r="I181" s="4" t="str">
        <f t="shared" si="20"/>
        <v/>
      </c>
      <c r="J181" s="4" t="str">
        <f t="shared" si="21"/>
        <v/>
      </c>
      <c r="K181" s="4" t="str">
        <f t="shared" si="22"/>
        <v/>
      </c>
      <c r="L181" s="4" t="str">
        <f t="shared" si="23"/>
        <v/>
      </c>
      <c r="M181" s="4" t="str">
        <f t="shared" si="19"/>
        <v/>
      </c>
      <c r="N181" s="4" t="str">
        <f t="shared" si="24"/>
        <v/>
      </c>
      <c r="O181" s="4" t="str">
        <f>IF($B181="","",Inputs!$B$15-$M180)</f>
        <v/>
      </c>
      <c r="P181" s="3" t="str">
        <f t="shared" si="25"/>
        <v/>
      </c>
      <c r="Q181" s="3" t="str">
        <f t="shared" si="26"/>
        <v/>
      </c>
      <c r="R181" s="3" t="str">
        <f>IF($B181="","",IF($Q181,($L180+$N180+$G181)&gt;Inputs!$B$16,FALSE))</f>
        <v/>
      </c>
      <c r="S181" s="3" t="str">
        <f>IF($B181="","",IF(OR($F181&gt;Inputs!$B$15,$G181&gt;Inputs!$B$16),"TOO BIG",IF($R181,"NEW SHEET",IF($Q181,"NEW ROW","OK"))))</f>
        <v/>
      </c>
    </row>
    <row r="182" spans="1:19" x14ac:dyDescent="0.2">
      <c r="A182" s="4">
        <v>176</v>
      </c>
      <c r="B182" s="3" t="str">
        <f>IF(SortedPieces!$B178="","",SortedPieces!$B178)</f>
        <v/>
      </c>
      <c r="C182" s="4" t="str">
        <f>IF(SortedPieces!$C178="","",SortedPieces!$C178)</f>
        <v/>
      </c>
      <c r="D182" s="4" t="str">
        <f>IF(SortedPieces!$D178="","",SortedPieces!$D178)</f>
        <v/>
      </c>
      <c r="E182" s="3" t="str">
        <f>IF(SortedPieces!$E178="","",SortedPieces!$E178)</f>
        <v/>
      </c>
      <c r="F182" s="4" t="str">
        <f>IF($B182="","",IF($C182&lt;=$O182,$C182,IF(AND($E182="Y",$D182&lt;=$O182),$D182,IF(AND($E182="Y",$D182&lt;=Inputs!$B$15,$C182&lt;=Inputs!$B$15),IF($C182&lt;$D182,$D182,$C182),IF(AND($E182="Y",$D182&lt;=Inputs!$B$15),$D182,$C182)))))</f>
        <v/>
      </c>
      <c r="G182" s="4" t="str">
        <f>IF($B182="","",IF($C182&lt;=$O182,$D182,IF(AND($E182="Y",$D182&lt;=$O182),$C182,IF(AND($E182="Y",$D182&lt;=Inputs!$B$15,$C182&lt;=Inputs!$B$15),IF($C182&lt;$D182,$C182,$D182),IF(AND($E182="Y",$D182&lt;=Inputs!$B$15),$C182,$D182)))))</f>
        <v/>
      </c>
      <c r="H182" s="3" t="str">
        <f t="shared" si="18"/>
        <v/>
      </c>
      <c r="I182" s="4" t="str">
        <f t="shared" si="20"/>
        <v/>
      </c>
      <c r="J182" s="4" t="str">
        <f t="shared" si="21"/>
        <v/>
      </c>
      <c r="K182" s="4" t="str">
        <f t="shared" si="22"/>
        <v/>
      </c>
      <c r="L182" s="4" t="str">
        <f t="shared" si="23"/>
        <v/>
      </c>
      <c r="M182" s="4" t="str">
        <f t="shared" si="19"/>
        <v/>
      </c>
      <c r="N182" s="4" t="str">
        <f t="shared" si="24"/>
        <v/>
      </c>
      <c r="O182" s="4" t="str">
        <f>IF($B182="","",Inputs!$B$15-$M181)</f>
        <v/>
      </c>
      <c r="P182" s="3" t="str">
        <f t="shared" si="25"/>
        <v/>
      </c>
      <c r="Q182" s="3" t="str">
        <f t="shared" si="26"/>
        <v/>
      </c>
      <c r="R182" s="3" t="str">
        <f>IF($B182="","",IF($Q182,($L181+$N181+$G182)&gt;Inputs!$B$16,FALSE))</f>
        <v/>
      </c>
      <c r="S182" s="3" t="str">
        <f>IF($B182="","",IF(OR($F182&gt;Inputs!$B$15,$G182&gt;Inputs!$B$16),"TOO BIG",IF($R182,"NEW SHEET",IF($Q182,"NEW ROW","OK"))))</f>
        <v/>
      </c>
    </row>
    <row r="183" spans="1:19" x14ac:dyDescent="0.2">
      <c r="A183" s="4">
        <v>177</v>
      </c>
      <c r="B183" s="3" t="str">
        <f>IF(SortedPieces!$B179="","",SortedPieces!$B179)</f>
        <v/>
      </c>
      <c r="C183" s="4" t="str">
        <f>IF(SortedPieces!$C179="","",SortedPieces!$C179)</f>
        <v/>
      </c>
      <c r="D183" s="4" t="str">
        <f>IF(SortedPieces!$D179="","",SortedPieces!$D179)</f>
        <v/>
      </c>
      <c r="E183" s="3" t="str">
        <f>IF(SortedPieces!$E179="","",SortedPieces!$E179)</f>
        <v/>
      </c>
      <c r="F183" s="4" t="str">
        <f>IF($B183="","",IF($C183&lt;=$O183,$C183,IF(AND($E183="Y",$D183&lt;=$O183),$D183,IF(AND($E183="Y",$D183&lt;=Inputs!$B$15,$C183&lt;=Inputs!$B$15),IF($C183&lt;$D183,$D183,$C183),IF(AND($E183="Y",$D183&lt;=Inputs!$B$15),$D183,$C183)))))</f>
        <v/>
      </c>
      <c r="G183" s="4" t="str">
        <f>IF($B183="","",IF($C183&lt;=$O183,$D183,IF(AND($E183="Y",$D183&lt;=$O183),$C183,IF(AND($E183="Y",$D183&lt;=Inputs!$B$15,$C183&lt;=Inputs!$B$15),IF($C183&lt;$D183,$C183,$D183),IF(AND($E183="Y",$D183&lt;=Inputs!$B$15),$C183,$D183)))))</f>
        <v/>
      </c>
      <c r="H183" s="3" t="str">
        <f t="shared" si="18"/>
        <v/>
      </c>
      <c r="I183" s="4" t="str">
        <f t="shared" si="20"/>
        <v/>
      </c>
      <c r="J183" s="4" t="str">
        <f t="shared" si="21"/>
        <v/>
      </c>
      <c r="K183" s="4" t="str">
        <f t="shared" si="22"/>
        <v/>
      </c>
      <c r="L183" s="4" t="str">
        <f t="shared" si="23"/>
        <v/>
      </c>
      <c r="M183" s="4" t="str">
        <f t="shared" si="19"/>
        <v/>
      </c>
      <c r="N183" s="4" t="str">
        <f t="shared" si="24"/>
        <v/>
      </c>
      <c r="O183" s="4" t="str">
        <f>IF($B183="","",Inputs!$B$15-$M182)</f>
        <v/>
      </c>
      <c r="P183" s="3" t="str">
        <f t="shared" si="25"/>
        <v/>
      </c>
      <c r="Q183" s="3" t="str">
        <f t="shared" si="26"/>
        <v/>
      </c>
      <c r="R183" s="3" t="str">
        <f>IF($B183="","",IF($Q183,($L182+$N182+$G183)&gt;Inputs!$B$16,FALSE))</f>
        <v/>
      </c>
      <c r="S183" s="3" t="str">
        <f>IF($B183="","",IF(OR($F183&gt;Inputs!$B$15,$G183&gt;Inputs!$B$16),"TOO BIG",IF($R183,"NEW SHEET",IF($Q183,"NEW ROW","OK"))))</f>
        <v/>
      </c>
    </row>
    <row r="184" spans="1:19" x14ac:dyDescent="0.2">
      <c r="A184" s="4">
        <v>178</v>
      </c>
      <c r="B184" s="3" t="str">
        <f>IF(SortedPieces!$B180="","",SortedPieces!$B180)</f>
        <v/>
      </c>
      <c r="C184" s="4" t="str">
        <f>IF(SortedPieces!$C180="","",SortedPieces!$C180)</f>
        <v/>
      </c>
      <c r="D184" s="4" t="str">
        <f>IF(SortedPieces!$D180="","",SortedPieces!$D180)</f>
        <v/>
      </c>
      <c r="E184" s="3" t="str">
        <f>IF(SortedPieces!$E180="","",SortedPieces!$E180)</f>
        <v/>
      </c>
      <c r="F184" s="4" t="str">
        <f>IF($B184="","",IF($C184&lt;=$O184,$C184,IF(AND($E184="Y",$D184&lt;=$O184),$D184,IF(AND($E184="Y",$D184&lt;=Inputs!$B$15,$C184&lt;=Inputs!$B$15),IF($C184&lt;$D184,$D184,$C184),IF(AND($E184="Y",$D184&lt;=Inputs!$B$15),$D184,$C184)))))</f>
        <v/>
      </c>
      <c r="G184" s="4" t="str">
        <f>IF($B184="","",IF($C184&lt;=$O184,$D184,IF(AND($E184="Y",$D184&lt;=$O184),$C184,IF(AND($E184="Y",$D184&lt;=Inputs!$B$15,$C184&lt;=Inputs!$B$15),IF($C184&lt;$D184,$C184,$D184),IF(AND($E184="Y",$D184&lt;=Inputs!$B$15),$C184,$D184)))))</f>
        <v/>
      </c>
      <c r="H184" s="3" t="str">
        <f t="shared" si="18"/>
        <v/>
      </c>
      <c r="I184" s="4" t="str">
        <f t="shared" si="20"/>
        <v/>
      </c>
      <c r="J184" s="4" t="str">
        <f t="shared" si="21"/>
        <v/>
      </c>
      <c r="K184" s="4" t="str">
        <f t="shared" si="22"/>
        <v/>
      </c>
      <c r="L184" s="4" t="str">
        <f t="shared" si="23"/>
        <v/>
      </c>
      <c r="M184" s="4" t="str">
        <f t="shared" si="19"/>
        <v/>
      </c>
      <c r="N184" s="4" t="str">
        <f t="shared" si="24"/>
        <v/>
      </c>
      <c r="O184" s="4" t="str">
        <f>IF($B184="","",Inputs!$B$15-$M183)</f>
        <v/>
      </c>
      <c r="P184" s="3" t="str">
        <f t="shared" si="25"/>
        <v/>
      </c>
      <c r="Q184" s="3" t="str">
        <f t="shared" si="26"/>
        <v/>
      </c>
      <c r="R184" s="3" t="str">
        <f>IF($B184="","",IF($Q184,($L183+$N183+$G184)&gt;Inputs!$B$16,FALSE))</f>
        <v/>
      </c>
      <c r="S184" s="3" t="str">
        <f>IF($B184="","",IF(OR($F184&gt;Inputs!$B$15,$G184&gt;Inputs!$B$16),"TOO BIG",IF($R184,"NEW SHEET",IF($Q184,"NEW ROW","OK"))))</f>
        <v/>
      </c>
    </row>
    <row r="185" spans="1:19" x14ac:dyDescent="0.2">
      <c r="A185" s="4">
        <v>179</v>
      </c>
      <c r="B185" s="3" t="str">
        <f>IF(SortedPieces!$B181="","",SortedPieces!$B181)</f>
        <v/>
      </c>
      <c r="C185" s="4" t="str">
        <f>IF(SortedPieces!$C181="","",SortedPieces!$C181)</f>
        <v/>
      </c>
      <c r="D185" s="4" t="str">
        <f>IF(SortedPieces!$D181="","",SortedPieces!$D181)</f>
        <v/>
      </c>
      <c r="E185" s="3" t="str">
        <f>IF(SortedPieces!$E181="","",SortedPieces!$E181)</f>
        <v/>
      </c>
      <c r="F185" s="4" t="str">
        <f>IF($B185="","",IF($C185&lt;=$O185,$C185,IF(AND($E185="Y",$D185&lt;=$O185),$D185,IF(AND($E185="Y",$D185&lt;=Inputs!$B$15,$C185&lt;=Inputs!$B$15),IF($C185&lt;$D185,$D185,$C185),IF(AND($E185="Y",$D185&lt;=Inputs!$B$15),$D185,$C185)))))</f>
        <v/>
      </c>
      <c r="G185" s="4" t="str">
        <f>IF($B185="","",IF($C185&lt;=$O185,$D185,IF(AND($E185="Y",$D185&lt;=$O185),$C185,IF(AND($E185="Y",$D185&lt;=Inputs!$B$15,$C185&lt;=Inputs!$B$15),IF($C185&lt;$D185,$C185,$D185),IF(AND($E185="Y",$D185&lt;=Inputs!$B$15),$C185,$D185)))))</f>
        <v/>
      </c>
      <c r="H185" s="3" t="str">
        <f t="shared" si="18"/>
        <v/>
      </c>
      <c r="I185" s="4" t="str">
        <f t="shared" si="20"/>
        <v/>
      </c>
      <c r="J185" s="4" t="str">
        <f t="shared" si="21"/>
        <v/>
      </c>
      <c r="K185" s="4" t="str">
        <f t="shared" si="22"/>
        <v/>
      </c>
      <c r="L185" s="4" t="str">
        <f t="shared" si="23"/>
        <v/>
      </c>
      <c r="M185" s="4" t="str">
        <f t="shared" si="19"/>
        <v/>
      </c>
      <c r="N185" s="4" t="str">
        <f t="shared" si="24"/>
        <v/>
      </c>
      <c r="O185" s="4" t="str">
        <f>IF($B185="","",Inputs!$B$15-$M184)</f>
        <v/>
      </c>
      <c r="P185" s="3" t="str">
        <f t="shared" si="25"/>
        <v/>
      </c>
      <c r="Q185" s="3" t="str">
        <f t="shared" si="26"/>
        <v/>
      </c>
      <c r="R185" s="3" t="str">
        <f>IF($B185="","",IF($Q185,($L184+$N184+$G185)&gt;Inputs!$B$16,FALSE))</f>
        <v/>
      </c>
      <c r="S185" s="3" t="str">
        <f>IF($B185="","",IF(OR($F185&gt;Inputs!$B$15,$G185&gt;Inputs!$B$16),"TOO BIG",IF($R185,"NEW SHEET",IF($Q185,"NEW ROW","OK"))))</f>
        <v/>
      </c>
    </row>
    <row r="186" spans="1:19" x14ac:dyDescent="0.2">
      <c r="A186" s="4">
        <v>180</v>
      </c>
      <c r="B186" s="3" t="str">
        <f>IF(SortedPieces!$B182="","",SortedPieces!$B182)</f>
        <v/>
      </c>
      <c r="C186" s="4" t="str">
        <f>IF(SortedPieces!$C182="","",SortedPieces!$C182)</f>
        <v/>
      </c>
      <c r="D186" s="4" t="str">
        <f>IF(SortedPieces!$D182="","",SortedPieces!$D182)</f>
        <v/>
      </c>
      <c r="E186" s="3" t="str">
        <f>IF(SortedPieces!$E182="","",SortedPieces!$E182)</f>
        <v/>
      </c>
      <c r="F186" s="4" t="str">
        <f>IF($B186="","",IF($C186&lt;=$O186,$C186,IF(AND($E186="Y",$D186&lt;=$O186),$D186,IF(AND($E186="Y",$D186&lt;=Inputs!$B$15,$C186&lt;=Inputs!$B$15),IF($C186&lt;$D186,$D186,$C186),IF(AND($E186="Y",$D186&lt;=Inputs!$B$15),$D186,$C186)))))</f>
        <v/>
      </c>
      <c r="G186" s="4" t="str">
        <f>IF($B186="","",IF($C186&lt;=$O186,$D186,IF(AND($E186="Y",$D186&lt;=$O186),$C186,IF(AND($E186="Y",$D186&lt;=Inputs!$B$15,$C186&lt;=Inputs!$B$15),IF($C186&lt;$D186,$C186,$D186),IF(AND($E186="Y",$D186&lt;=Inputs!$B$15),$C186,$D186)))))</f>
        <v/>
      </c>
      <c r="H186" s="3" t="str">
        <f t="shared" si="18"/>
        <v/>
      </c>
      <c r="I186" s="4" t="str">
        <f t="shared" si="20"/>
        <v/>
      </c>
      <c r="J186" s="4" t="str">
        <f t="shared" si="21"/>
        <v/>
      </c>
      <c r="K186" s="4" t="str">
        <f t="shared" si="22"/>
        <v/>
      </c>
      <c r="L186" s="4" t="str">
        <f t="shared" si="23"/>
        <v/>
      </c>
      <c r="M186" s="4" t="str">
        <f t="shared" si="19"/>
        <v/>
      </c>
      <c r="N186" s="4" t="str">
        <f t="shared" si="24"/>
        <v/>
      </c>
      <c r="O186" s="4" t="str">
        <f>IF($B186="","",Inputs!$B$15-$M185)</f>
        <v/>
      </c>
      <c r="P186" s="3" t="str">
        <f t="shared" si="25"/>
        <v/>
      </c>
      <c r="Q186" s="3" t="str">
        <f t="shared" si="26"/>
        <v/>
      </c>
      <c r="R186" s="3" t="str">
        <f>IF($B186="","",IF($Q186,($L185+$N185+$G186)&gt;Inputs!$B$16,FALSE))</f>
        <v/>
      </c>
      <c r="S186" s="3" t="str">
        <f>IF($B186="","",IF(OR($F186&gt;Inputs!$B$15,$G186&gt;Inputs!$B$16),"TOO BIG",IF($R186,"NEW SHEET",IF($Q186,"NEW ROW","OK"))))</f>
        <v/>
      </c>
    </row>
    <row r="187" spans="1:19" x14ac:dyDescent="0.2">
      <c r="A187" s="4">
        <v>181</v>
      </c>
      <c r="B187" s="3" t="str">
        <f>IF(SortedPieces!$B183="","",SortedPieces!$B183)</f>
        <v/>
      </c>
      <c r="C187" s="4" t="str">
        <f>IF(SortedPieces!$C183="","",SortedPieces!$C183)</f>
        <v/>
      </c>
      <c r="D187" s="4" t="str">
        <f>IF(SortedPieces!$D183="","",SortedPieces!$D183)</f>
        <v/>
      </c>
      <c r="E187" s="3" t="str">
        <f>IF(SortedPieces!$E183="","",SortedPieces!$E183)</f>
        <v/>
      </c>
      <c r="F187" s="4" t="str">
        <f>IF($B187="","",IF($C187&lt;=$O187,$C187,IF(AND($E187="Y",$D187&lt;=$O187),$D187,IF(AND($E187="Y",$D187&lt;=Inputs!$B$15,$C187&lt;=Inputs!$B$15),IF($C187&lt;$D187,$D187,$C187),IF(AND($E187="Y",$D187&lt;=Inputs!$B$15),$D187,$C187)))))</f>
        <v/>
      </c>
      <c r="G187" s="4" t="str">
        <f>IF($B187="","",IF($C187&lt;=$O187,$D187,IF(AND($E187="Y",$D187&lt;=$O187),$C187,IF(AND($E187="Y",$D187&lt;=Inputs!$B$15,$C187&lt;=Inputs!$B$15),IF($C187&lt;$D187,$C187,$D187),IF(AND($E187="Y",$D187&lt;=Inputs!$B$15),$C187,$D187)))))</f>
        <v/>
      </c>
      <c r="H187" s="3" t="str">
        <f t="shared" si="18"/>
        <v/>
      </c>
      <c r="I187" s="4" t="str">
        <f t="shared" si="20"/>
        <v/>
      </c>
      <c r="J187" s="4" t="str">
        <f t="shared" si="21"/>
        <v/>
      </c>
      <c r="K187" s="4" t="str">
        <f t="shared" si="22"/>
        <v/>
      </c>
      <c r="L187" s="4" t="str">
        <f t="shared" si="23"/>
        <v/>
      </c>
      <c r="M187" s="4" t="str">
        <f t="shared" si="19"/>
        <v/>
      </c>
      <c r="N187" s="4" t="str">
        <f t="shared" si="24"/>
        <v/>
      </c>
      <c r="O187" s="4" t="str">
        <f>IF($B187="","",Inputs!$B$15-$M186)</f>
        <v/>
      </c>
      <c r="P187" s="3" t="str">
        <f t="shared" si="25"/>
        <v/>
      </c>
      <c r="Q187" s="3" t="str">
        <f t="shared" si="26"/>
        <v/>
      </c>
      <c r="R187" s="3" t="str">
        <f>IF($B187="","",IF($Q187,($L186+$N186+$G187)&gt;Inputs!$B$16,FALSE))</f>
        <v/>
      </c>
      <c r="S187" s="3" t="str">
        <f>IF($B187="","",IF(OR($F187&gt;Inputs!$B$15,$G187&gt;Inputs!$B$16),"TOO BIG",IF($R187,"NEW SHEET",IF($Q187,"NEW ROW","OK"))))</f>
        <v/>
      </c>
    </row>
    <row r="188" spans="1:19" x14ac:dyDescent="0.2">
      <c r="A188" s="4">
        <v>182</v>
      </c>
      <c r="B188" s="3" t="str">
        <f>IF(SortedPieces!$B184="","",SortedPieces!$B184)</f>
        <v/>
      </c>
      <c r="C188" s="4" t="str">
        <f>IF(SortedPieces!$C184="","",SortedPieces!$C184)</f>
        <v/>
      </c>
      <c r="D188" s="4" t="str">
        <f>IF(SortedPieces!$D184="","",SortedPieces!$D184)</f>
        <v/>
      </c>
      <c r="E188" s="3" t="str">
        <f>IF(SortedPieces!$E184="","",SortedPieces!$E184)</f>
        <v/>
      </c>
      <c r="F188" s="4" t="str">
        <f>IF($B188="","",IF($C188&lt;=$O188,$C188,IF(AND($E188="Y",$D188&lt;=$O188),$D188,IF(AND($E188="Y",$D188&lt;=Inputs!$B$15,$C188&lt;=Inputs!$B$15),IF($C188&lt;$D188,$D188,$C188),IF(AND($E188="Y",$D188&lt;=Inputs!$B$15),$D188,$C188)))))</f>
        <v/>
      </c>
      <c r="G188" s="4" t="str">
        <f>IF($B188="","",IF($C188&lt;=$O188,$D188,IF(AND($E188="Y",$D188&lt;=$O188),$C188,IF(AND($E188="Y",$D188&lt;=Inputs!$B$15,$C188&lt;=Inputs!$B$15),IF($C188&lt;$D188,$C188,$D188),IF(AND($E188="Y",$D188&lt;=Inputs!$B$15),$C188,$D188)))))</f>
        <v/>
      </c>
      <c r="H188" s="3" t="str">
        <f t="shared" si="18"/>
        <v/>
      </c>
      <c r="I188" s="4" t="str">
        <f t="shared" si="20"/>
        <v/>
      </c>
      <c r="J188" s="4" t="str">
        <f t="shared" si="21"/>
        <v/>
      </c>
      <c r="K188" s="4" t="str">
        <f t="shared" si="22"/>
        <v/>
      </c>
      <c r="L188" s="4" t="str">
        <f t="shared" si="23"/>
        <v/>
      </c>
      <c r="M188" s="4" t="str">
        <f t="shared" si="19"/>
        <v/>
      </c>
      <c r="N188" s="4" t="str">
        <f t="shared" si="24"/>
        <v/>
      </c>
      <c r="O188" s="4" t="str">
        <f>IF($B188="","",Inputs!$B$15-$M187)</f>
        <v/>
      </c>
      <c r="P188" s="3" t="str">
        <f t="shared" si="25"/>
        <v/>
      </c>
      <c r="Q188" s="3" t="str">
        <f t="shared" si="26"/>
        <v/>
      </c>
      <c r="R188" s="3" t="str">
        <f>IF($B188="","",IF($Q188,($L187+$N187+$G188)&gt;Inputs!$B$16,FALSE))</f>
        <v/>
      </c>
      <c r="S188" s="3" t="str">
        <f>IF($B188="","",IF(OR($F188&gt;Inputs!$B$15,$G188&gt;Inputs!$B$16),"TOO BIG",IF($R188,"NEW SHEET",IF($Q188,"NEW ROW","OK"))))</f>
        <v/>
      </c>
    </row>
    <row r="189" spans="1:19" x14ac:dyDescent="0.2">
      <c r="A189" s="4">
        <v>183</v>
      </c>
      <c r="B189" s="3" t="str">
        <f>IF(SortedPieces!$B185="","",SortedPieces!$B185)</f>
        <v/>
      </c>
      <c r="C189" s="4" t="str">
        <f>IF(SortedPieces!$C185="","",SortedPieces!$C185)</f>
        <v/>
      </c>
      <c r="D189" s="4" t="str">
        <f>IF(SortedPieces!$D185="","",SortedPieces!$D185)</f>
        <v/>
      </c>
      <c r="E189" s="3" t="str">
        <f>IF(SortedPieces!$E185="","",SortedPieces!$E185)</f>
        <v/>
      </c>
      <c r="F189" s="4" t="str">
        <f>IF($B189="","",IF($C189&lt;=$O189,$C189,IF(AND($E189="Y",$D189&lt;=$O189),$D189,IF(AND($E189="Y",$D189&lt;=Inputs!$B$15,$C189&lt;=Inputs!$B$15),IF($C189&lt;$D189,$D189,$C189),IF(AND($E189="Y",$D189&lt;=Inputs!$B$15),$D189,$C189)))))</f>
        <v/>
      </c>
      <c r="G189" s="4" t="str">
        <f>IF($B189="","",IF($C189&lt;=$O189,$D189,IF(AND($E189="Y",$D189&lt;=$O189),$C189,IF(AND($E189="Y",$D189&lt;=Inputs!$B$15,$C189&lt;=Inputs!$B$15),IF($C189&lt;$D189,$C189,$D189),IF(AND($E189="Y",$D189&lt;=Inputs!$B$15),$C189,$D189)))))</f>
        <v/>
      </c>
      <c r="H189" s="3" t="str">
        <f t="shared" si="18"/>
        <v/>
      </c>
      <c r="I189" s="4" t="str">
        <f t="shared" si="20"/>
        <v/>
      </c>
      <c r="J189" s="4" t="str">
        <f t="shared" si="21"/>
        <v/>
      </c>
      <c r="K189" s="4" t="str">
        <f t="shared" si="22"/>
        <v/>
      </c>
      <c r="L189" s="4" t="str">
        <f t="shared" si="23"/>
        <v/>
      </c>
      <c r="M189" s="4" t="str">
        <f t="shared" si="19"/>
        <v/>
      </c>
      <c r="N189" s="4" t="str">
        <f t="shared" si="24"/>
        <v/>
      </c>
      <c r="O189" s="4" t="str">
        <f>IF($B189="","",Inputs!$B$15-$M188)</f>
        <v/>
      </c>
      <c r="P189" s="3" t="str">
        <f t="shared" si="25"/>
        <v/>
      </c>
      <c r="Q189" s="3" t="str">
        <f t="shared" si="26"/>
        <v/>
      </c>
      <c r="R189" s="3" t="str">
        <f>IF($B189="","",IF($Q189,($L188+$N188+$G189)&gt;Inputs!$B$16,FALSE))</f>
        <v/>
      </c>
      <c r="S189" s="3" t="str">
        <f>IF($B189="","",IF(OR($F189&gt;Inputs!$B$15,$G189&gt;Inputs!$B$16),"TOO BIG",IF($R189,"NEW SHEET",IF($Q189,"NEW ROW","OK"))))</f>
        <v/>
      </c>
    </row>
    <row r="190" spans="1:19" x14ac:dyDescent="0.2">
      <c r="A190" s="4">
        <v>184</v>
      </c>
      <c r="B190" s="3" t="str">
        <f>IF(SortedPieces!$B186="","",SortedPieces!$B186)</f>
        <v/>
      </c>
      <c r="C190" s="4" t="str">
        <f>IF(SortedPieces!$C186="","",SortedPieces!$C186)</f>
        <v/>
      </c>
      <c r="D190" s="4" t="str">
        <f>IF(SortedPieces!$D186="","",SortedPieces!$D186)</f>
        <v/>
      </c>
      <c r="E190" s="3" t="str">
        <f>IF(SortedPieces!$E186="","",SortedPieces!$E186)</f>
        <v/>
      </c>
      <c r="F190" s="4" t="str">
        <f>IF($B190="","",IF($C190&lt;=$O190,$C190,IF(AND($E190="Y",$D190&lt;=$O190),$D190,IF(AND($E190="Y",$D190&lt;=Inputs!$B$15,$C190&lt;=Inputs!$B$15),IF($C190&lt;$D190,$D190,$C190),IF(AND($E190="Y",$D190&lt;=Inputs!$B$15),$D190,$C190)))))</f>
        <v/>
      </c>
      <c r="G190" s="4" t="str">
        <f>IF($B190="","",IF($C190&lt;=$O190,$D190,IF(AND($E190="Y",$D190&lt;=$O190),$C190,IF(AND($E190="Y",$D190&lt;=Inputs!$B$15,$C190&lt;=Inputs!$B$15),IF($C190&lt;$D190,$C190,$D190),IF(AND($E190="Y",$D190&lt;=Inputs!$B$15),$C190,$D190)))))</f>
        <v/>
      </c>
      <c r="H190" s="3" t="str">
        <f t="shared" si="18"/>
        <v/>
      </c>
      <c r="I190" s="4" t="str">
        <f t="shared" si="20"/>
        <v/>
      </c>
      <c r="J190" s="4" t="str">
        <f t="shared" si="21"/>
        <v/>
      </c>
      <c r="K190" s="4" t="str">
        <f t="shared" si="22"/>
        <v/>
      </c>
      <c r="L190" s="4" t="str">
        <f t="shared" si="23"/>
        <v/>
      </c>
      <c r="M190" s="4" t="str">
        <f t="shared" si="19"/>
        <v/>
      </c>
      <c r="N190" s="4" t="str">
        <f t="shared" si="24"/>
        <v/>
      </c>
      <c r="O190" s="4" t="str">
        <f>IF($B190="","",Inputs!$B$15-$M189)</f>
        <v/>
      </c>
      <c r="P190" s="3" t="str">
        <f t="shared" si="25"/>
        <v/>
      </c>
      <c r="Q190" s="3" t="str">
        <f t="shared" si="26"/>
        <v/>
      </c>
      <c r="R190" s="3" t="str">
        <f>IF($B190="","",IF($Q190,($L189+$N189+$G190)&gt;Inputs!$B$16,FALSE))</f>
        <v/>
      </c>
      <c r="S190" s="3" t="str">
        <f>IF($B190="","",IF(OR($F190&gt;Inputs!$B$15,$G190&gt;Inputs!$B$16),"TOO BIG",IF($R190,"NEW SHEET",IF($Q190,"NEW ROW","OK"))))</f>
        <v/>
      </c>
    </row>
    <row r="191" spans="1:19" x14ac:dyDescent="0.2">
      <c r="A191" s="4">
        <v>185</v>
      </c>
      <c r="B191" s="3" t="str">
        <f>IF(SortedPieces!$B187="","",SortedPieces!$B187)</f>
        <v/>
      </c>
      <c r="C191" s="4" t="str">
        <f>IF(SortedPieces!$C187="","",SortedPieces!$C187)</f>
        <v/>
      </c>
      <c r="D191" s="4" t="str">
        <f>IF(SortedPieces!$D187="","",SortedPieces!$D187)</f>
        <v/>
      </c>
      <c r="E191" s="3" t="str">
        <f>IF(SortedPieces!$E187="","",SortedPieces!$E187)</f>
        <v/>
      </c>
      <c r="F191" s="4" t="str">
        <f>IF($B191="","",IF($C191&lt;=$O191,$C191,IF(AND($E191="Y",$D191&lt;=$O191),$D191,IF(AND($E191="Y",$D191&lt;=Inputs!$B$15,$C191&lt;=Inputs!$B$15),IF($C191&lt;$D191,$D191,$C191),IF(AND($E191="Y",$D191&lt;=Inputs!$B$15),$D191,$C191)))))</f>
        <v/>
      </c>
      <c r="G191" s="4" t="str">
        <f>IF($B191="","",IF($C191&lt;=$O191,$D191,IF(AND($E191="Y",$D191&lt;=$O191),$C191,IF(AND($E191="Y",$D191&lt;=Inputs!$B$15,$C191&lt;=Inputs!$B$15),IF($C191&lt;$D191,$C191,$D191),IF(AND($E191="Y",$D191&lt;=Inputs!$B$15),$C191,$D191)))))</f>
        <v/>
      </c>
      <c r="H191" s="3" t="str">
        <f t="shared" si="18"/>
        <v/>
      </c>
      <c r="I191" s="4" t="str">
        <f t="shared" si="20"/>
        <v/>
      </c>
      <c r="J191" s="4" t="str">
        <f t="shared" si="21"/>
        <v/>
      </c>
      <c r="K191" s="4" t="str">
        <f t="shared" si="22"/>
        <v/>
      </c>
      <c r="L191" s="4" t="str">
        <f t="shared" si="23"/>
        <v/>
      </c>
      <c r="M191" s="4" t="str">
        <f t="shared" si="19"/>
        <v/>
      </c>
      <c r="N191" s="4" t="str">
        <f t="shared" si="24"/>
        <v/>
      </c>
      <c r="O191" s="4" t="str">
        <f>IF($B191="","",Inputs!$B$15-$M190)</f>
        <v/>
      </c>
      <c r="P191" s="3" t="str">
        <f t="shared" si="25"/>
        <v/>
      </c>
      <c r="Q191" s="3" t="str">
        <f t="shared" si="26"/>
        <v/>
      </c>
      <c r="R191" s="3" t="str">
        <f>IF($B191="","",IF($Q191,($L190+$N190+$G191)&gt;Inputs!$B$16,FALSE))</f>
        <v/>
      </c>
      <c r="S191" s="3" t="str">
        <f>IF($B191="","",IF(OR($F191&gt;Inputs!$B$15,$G191&gt;Inputs!$B$16),"TOO BIG",IF($R191,"NEW SHEET",IF($Q191,"NEW ROW","OK"))))</f>
        <v/>
      </c>
    </row>
    <row r="192" spans="1:19" x14ac:dyDescent="0.2">
      <c r="A192" s="4">
        <v>186</v>
      </c>
      <c r="B192" s="3" t="str">
        <f>IF(SortedPieces!$B188="","",SortedPieces!$B188)</f>
        <v/>
      </c>
      <c r="C192" s="4" t="str">
        <f>IF(SortedPieces!$C188="","",SortedPieces!$C188)</f>
        <v/>
      </c>
      <c r="D192" s="4" t="str">
        <f>IF(SortedPieces!$D188="","",SortedPieces!$D188)</f>
        <v/>
      </c>
      <c r="E192" s="3" t="str">
        <f>IF(SortedPieces!$E188="","",SortedPieces!$E188)</f>
        <v/>
      </c>
      <c r="F192" s="4" t="str">
        <f>IF($B192="","",IF($C192&lt;=$O192,$C192,IF(AND($E192="Y",$D192&lt;=$O192),$D192,IF(AND($E192="Y",$D192&lt;=Inputs!$B$15,$C192&lt;=Inputs!$B$15),IF($C192&lt;$D192,$D192,$C192),IF(AND($E192="Y",$D192&lt;=Inputs!$B$15),$D192,$C192)))))</f>
        <v/>
      </c>
      <c r="G192" s="4" t="str">
        <f>IF($B192="","",IF($C192&lt;=$O192,$D192,IF(AND($E192="Y",$D192&lt;=$O192),$C192,IF(AND($E192="Y",$D192&lt;=Inputs!$B$15,$C192&lt;=Inputs!$B$15),IF($C192&lt;$D192,$C192,$D192),IF(AND($E192="Y",$D192&lt;=Inputs!$B$15),$C192,$D192)))))</f>
        <v/>
      </c>
      <c r="H192" s="3" t="str">
        <f t="shared" si="18"/>
        <v/>
      </c>
      <c r="I192" s="4" t="str">
        <f t="shared" si="20"/>
        <v/>
      </c>
      <c r="J192" s="4" t="str">
        <f t="shared" si="21"/>
        <v/>
      </c>
      <c r="K192" s="4" t="str">
        <f t="shared" si="22"/>
        <v/>
      </c>
      <c r="L192" s="4" t="str">
        <f t="shared" si="23"/>
        <v/>
      </c>
      <c r="M192" s="4" t="str">
        <f t="shared" si="19"/>
        <v/>
      </c>
      <c r="N192" s="4" t="str">
        <f t="shared" si="24"/>
        <v/>
      </c>
      <c r="O192" s="4" t="str">
        <f>IF($B192="","",Inputs!$B$15-$M191)</f>
        <v/>
      </c>
      <c r="P192" s="3" t="str">
        <f t="shared" si="25"/>
        <v/>
      </c>
      <c r="Q192" s="3" t="str">
        <f t="shared" si="26"/>
        <v/>
      </c>
      <c r="R192" s="3" t="str">
        <f>IF($B192="","",IF($Q192,($L191+$N191+$G192)&gt;Inputs!$B$16,FALSE))</f>
        <v/>
      </c>
      <c r="S192" s="3" t="str">
        <f>IF($B192="","",IF(OR($F192&gt;Inputs!$B$15,$G192&gt;Inputs!$B$16),"TOO BIG",IF($R192,"NEW SHEET",IF($Q192,"NEW ROW","OK"))))</f>
        <v/>
      </c>
    </row>
    <row r="193" spans="1:19" x14ac:dyDescent="0.2">
      <c r="A193" s="4">
        <v>187</v>
      </c>
      <c r="B193" s="3" t="str">
        <f>IF(SortedPieces!$B189="","",SortedPieces!$B189)</f>
        <v/>
      </c>
      <c r="C193" s="4" t="str">
        <f>IF(SortedPieces!$C189="","",SortedPieces!$C189)</f>
        <v/>
      </c>
      <c r="D193" s="4" t="str">
        <f>IF(SortedPieces!$D189="","",SortedPieces!$D189)</f>
        <v/>
      </c>
      <c r="E193" s="3" t="str">
        <f>IF(SortedPieces!$E189="","",SortedPieces!$E189)</f>
        <v/>
      </c>
      <c r="F193" s="4" t="str">
        <f>IF($B193="","",IF($C193&lt;=$O193,$C193,IF(AND($E193="Y",$D193&lt;=$O193),$D193,IF(AND($E193="Y",$D193&lt;=Inputs!$B$15,$C193&lt;=Inputs!$B$15),IF($C193&lt;$D193,$D193,$C193),IF(AND($E193="Y",$D193&lt;=Inputs!$B$15),$D193,$C193)))))</f>
        <v/>
      </c>
      <c r="G193" s="4" t="str">
        <f>IF($B193="","",IF($C193&lt;=$O193,$D193,IF(AND($E193="Y",$D193&lt;=$O193),$C193,IF(AND($E193="Y",$D193&lt;=Inputs!$B$15,$C193&lt;=Inputs!$B$15),IF($C193&lt;$D193,$C193,$D193),IF(AND($E193="Y",$D193&lt;=Inputs!$B$15),$C193,$D193)))))</f>
        <v/>
      </c>
      <c r="H193" s="3" t="str">
        <f t="shared" si="18"/>
        <v/>
      </c>
      <c r="I193" s="4" t="str">
        <f t="shared" si="20"/>
        <v/>
      </c>
      <c r="J193" s="4" t="str">
        <f t="shared" si="21"/>
        <v/>
      </c>
      <c r="K193" s="4" t="str">
        <f t="shared" si="22"/>
        <v/>
      </c>
      <c r="L193" s="4" t="str">
        <f t="shared" si="23"/>
        <v/>
      </c>
      <c r="M193" s="4" t="str">
        <f t="shared" si="19"/>
        <v/>
      </c>
      <c r="N193" s="4" t="str">
        <f t="shared" si="24"/>
        <v/>
      </c>
      <c r="O193" s="4" t="str">
        <f>IF($B193="","",Inputs!$B$15-$M192)</f>
        <v/>
      </c>
      <c r="P193" s="3" t="str">
        <f t="shared" si="25"/>
        <v/>
      </c>
      <c r="Q193" s="3" t="str">
        <f t="shared" si="26"/>
        <v/>
      </c>
      <c r="R193" s="3" t="str">
        <f>IF($B193="","",IF($Q193,($L192+$N192+$G193)&gt;Inputs!$B$16,FALSE))</f>
        <v/>
      </c>
      <c r="S193" s="3" t="str">
        <f>IF($B193="","",IF(OR($F193&gt;Inputs!$B$15,$G193&gt;Inputs!$B$16),"TOO BIG",IF($R193,"NEW SHEET",IF($Q193,"NEW ROW","OK"))))</f>
        <v/>
      </c>
    </row>
    <row r="194" spans="1:19" x14ac:dyDescent="0.2">
      <c r="A194" s="4">
        <v>188</v>
      </c>
      <c r="B194" s="3" t="str">
        <f>IF(SortedPieces!$B190="","",SortedPieces!$B190)</f>
        <v/>
      </c>
      <c r="C194" s="4" t="str">
        <f>IF(SortedPieces!$C190="","",SortedPieces!$C190)</f>
        <v/>
      </c>
      <c r="D194" s="4" t="str">
        <f>IF(SortedPieces!$D190="","",SortedPieces!$D190)</f>
        <v/>
      </c>
      <c r="E194" s="3" t="str">
        <f>IF(SortedPieces!$E190="","",SortedPieces!$E190)</f>
        <v/>
      </c>
      <c r="F194" s="4" t="str">
        <f>IF($B194="","",IF($C194&lt;=$O194,$C194,IF(AND($E194="Y",$D194&lt;=$O194),$D194,IF(AND($E194="Y",$D194&lt;=Inputs!$B$15,$C194&lt;=Inputs!$B$15),IF($C194&lt;$D194,$D194,$C194),IF(AND($E194="Y",$D194&lt;=Inputs!$B$15),$D194,$C194)))))</f>
        <v/>
      </c>
      <c r="G194" s="4" t="str">
        <f>IF($B194="","",IF($C194&lt;=$O194,$D194,IF(AND($E194="Y",$D194&lt;=$O194),$C194,IF(AND($E194="Y",$D194&lt;=Inputs!$B$15,$C194&lt;=Inputs!$B$15),IF($C194&lt;$D194,$C194,$D194),IF(AND($E194="Y",$D194&lt;=Inputs!$B$15),$C194,$D194)))))</f>
        <v/>
      </c>
      <c r="H194" s="3" t="str">
        <f t="shared" si="18"/>
        <v/>
      </c>
      <c r="I194" s="4" t="str">
        <f t="shared" si="20"/>
        <v/>
      </c>
      <c r="J194" s="4" t="str">
        <f t="shared" si="21"/>
        <v/>
      </c>
      <c r="K194" s="4" t="str">
        <f t="shared" si="22"/>
        <v/>
      </c>
      <c r="L194" s="4" t="str">
        <f t="shared" si="23"/>
        <v/>
      </c>
      <c r="M194" s="4" t="str">
        <f t="shared" si="19"/>
        <v/>
      </c>
      <c r="N194" s="4" t="str">
        <f t="shared" si="24"/>
        <v/>
      </c>
      <c r="O194" s="4" t="str">
        <f>IF($B194="","",Inputs!$B$15-$M193)</f>
        <v/>
      </c>
      <c r="P194" s="3" t="str">
        <f t="shared" si="25"/>
        <v/>
      </c>
      <c r="Q194" s="3" t="str">
        <f t="shared" si="26"/>
        <v/>
      </c>
      <c r="R194" s="3" t="str">
        <f>IF($B194="","",IF($Q194,($L193+$N193+$G194)&gt;Inputs!$B$16,FALSE))</f>
        <v/>
      </c>
      <c r="S194" s="3" t="str">
        <f>IF($B194="","",IF(OR($F194&gt;Inputs!$B$15,$G194&gt;Inputs!$B$16),"TOO BIG",IF($R194,"NEW SHEET",IF($Q194,"NEW ROW","OK"))))</f>
        <v/>
      </c>
    </row>
    <row r="195" spans="1:19" x14ac:dyDescent="0.2">
      <c r="A195" s="4">
        <v>189</v>
      </c>
      <c r="B195" s="3" t="str">
        <f>IF(SortedPieces!$B191="","",SortedPieces!$B191)</f>
        <v/>
      </c>
      <c r="C195" s="4" t="str">
        <f>IF(SortedPieces!$C191="","",SortedPieces!$C191)</f>
        <v/>
      </c>
      <c r="D195" s="4" t="str">
        <f>IF(SortedPieces!$D191="","",SortedPieces!$D191)</f>
        <v/>
      </c>
      <c r="E195" s="3" t="str">
        <f>IF(SortedPieces!$E191="","",SortedPieces!$E191)</f>
        <v/>
      </c>
      <c r="F195" s="4" t="str">
        <f>IF($B195="","",IF($C195&lt;=$O195,$C195,IF(AND($E195="Y",$D195&lt;=$O195),$D195,IF(AND($E195="Y",$D195&lt;=Inputs!$B$15,$C195&lt;=Inputs!$B$15),IF($C195&lt;$D195,$D195,$C195),IF(AND($E195="Y",$D195&lt;=Inputs!$B$15),$D195,$C195)))))</f>
        <v/>
      </c>
      <c r="G195" s="4" t="str">
        <f>IF($B195="","",IF($C195&lt;=$O195,$D195,IF(AND($E195="Y",$D195&lt;=$O195),$C195,IF(AND($E195="Y",$D195&lt;=Inputs!$B$15,$C195&lt;=Inputs!$B$15),IF($C195&lt;$D195,$C195,$D195),IF(AND($E195="Y",$D195&lt;=Inputs!$B$15),$C195,$D195)))))</f>
        <v/>
      </c>
      <c r="H195" s="3" t="str">
        <f t="shared" si="18"/>
        <v/>
      </c>
      <c r="I195" s="4" t="str">
        <f t="shared" si="20"/>
        <v/>
      </c>
      <c r="J195" s="4" t="str">
        <f t="shared" si="21"/>
        <v/>
      </c>
      <c r="K195" s="4" t="str">
        <f t="shared" si="22"/>
        <v/>
      </c>
      <c r="L195" s="4" t="str">
        <f t="shared" si="23"/>
        <v/>
      </c>
      <c r="M195" s="4" t="str">
        <f t="shared" si="19"/>
        <v/>
      </c>
      <c r="N195" s="4" t="str">
        <f t="shared" si="24"/>
        <v/>
      </c>
      <c r="O195" s="4" t="str">
        <f>IF($B195="","",Inputs!$B$15-$M194)</f>
        <v/>
      </c>
      <c r="P195" s="3" t="str">
        <f t="shared" si="25"/>
        <v/>
      </c>
      <c r="Q195" s="3" t="str">
        <f t="shared" si="26"/>
        <v/>
      </c>
      <c r="R195" s="3" t="str">
        <f>IF($B195="","",IF($Q195,($L194+$N194+$G195)&gt;Inputs!$B$16,FALSE))</f>
        <v/>
      </c>
      <c r="S195" s="3" t="str">
        <f>IF($B195="","",IF(OR($F195&gt;Inputs!$B$15,$G195&gt;Inputs!$B$16),"TOO BIG",IF($R195,"NEW SHEET",IF($Q195,"NEW ROW","OK"))))</f>
        <v/>
      </c>
    </row>
    <row r="196" spans="1:19" x14ac:dyDescent="0.2">
      <c r="A196" s="4">
        <v>190</v>
      </c>
      <c r="B196" s="3" t="str">
        <f>IF(SortedPieces!$B192="","",SortedPieces!$B192)</f>
        <v/>
      </c>
      <c r="C196" s="4" t="str">
        <f>IF(SortedPieces!$C192="","",SortedPieces!$C192)</f>
        <v/>
      </c>
      <c r="D196" s="4" t="str">
        <f>IF(SortedPieces!$D192="","",SortedPieces!$D192)</f>
        <v/>
      </c>
      <c r="E196" s="3" t="str">
        <f>IF(SortedPieces!$E192="","",SortedPieces!$E192)</f>
        <v/>
      </c>
      <c r="F196" s="4" t="str">
        <f>IF($B196="","",IF($C196&lt;=$O196,$C196,IF(AND($E196="Y",$D196&lt;=$O196),$D196,IF(AND($E196="Y",$D196&lt;=Inputs!$B$15,$C196&lt;=Inputs!$B$15),IF($C196&lt;$D196,$D196,$C196),IF(AND($E196="Y",$D196&lt;=Inputs!$B$15),$D196,$C196)))))</f>
        <v/>
      </c>
      <c r="G196" s="4" t="str">
        <f>IF($B196="","",IF($C196&lt;=$O196,$D196,IF(AND($E196="Y",$D196&lt;=$O196),$C196,IF(AND($E196="Y",$D196&lt;=Inputs!$B$15,$C196&lt;=Inputs!$B$15),IF($C196&lt;$D196,$C196,$D196),IF(AND($E196="Y",$D196&lt;=Inputs!$B$15),$C196,$D196)))))</f>
        <v/>
      </c>
      <c r="H196" s="3" t="str">
        <f t="shared" si="18"/>
        <v/>
      </c>
      <c r="I196" s="4" t="str">
        <f t="shared" si="20"/>
        <v/>
      </c>
      <c r="J196" s="4" t="str">
        <f t="shared" si="21"/>
        <v/>
      </c>
      <c r="K196" s="4" t="str">
        <f t="shared" si="22"/>
        <v/>
      </c>
      <c r="L196" s="4" t="str">
        <f t="shared" si="23"/>
        <v/>
      </c>
      <c r="M196" s="4" t="str">
        <f t="shared" si="19"/>
        <v/>
      </c>
      <c r="N196" s="4" t="str">
        <f t="shared" si="24"/>
        <v/>
      </c>
      <c r="O196" s="4" t="str">
        <f>IF($B196="","",Inputs!$B$15-$M195)</f>
        <v/>
      </c>
      <c r="P196" s="3" t="str">
        <f t="shared" si="25"/>
        <v/>
      </c>
      <c r="Q196" s="3" t="str">
        <f t="shared" si="26"/>
        <v/>
      </c>
      <c r="R196" s="3" t="str">
        <f>IF($B196="","",IF($Q196,($L195+$N195+$G196)&gt;Inputs!$B$16,FALSE))</f>
        <v/>
      </c>
      <c r="S196" s="3" t="str">
        <f>IF($B196="","",IF(OR($F196&gt;Inputs!$B$15,$G196&gt;Inputs!$B$16),"TOO BIG",IF($R196,"NEW SHEET",IF($Q196,"NEW ROW","OK"))))</f>
        <v/>
      </c>
    </row>
    <row r="197" spans="1:19" x14ac:dyDescent="0.2">
      <c r="A197" s="4">
        <v>191</v>
      </c>
      <c r="B197" s="3" t="str">
        <f>IF(SortedPieces!$B193="","",SortedPieces!$B193)</f>
        <v/>
      </c>
      <c r="C197" s="4" t="str">
        <f>IF(SortedPieces!$C193="","",SortedPieces!$C193)</f>
        <v/>
      </c>
      <c r="D197" s="4" t="str">
        <f>IF(SortedPieces!$D193="","",SortedPieces!$D193)</f>
        <v/>
      </c>
      <c r="E197" s="3" t="str">
        <f>IF(SortedPieces!$E193="","",SortedPieces!$E193)</f>
        <v/>
      </c>
      <c r="F197" s="4" t="str">
        <f>IF($B197="","",IF($C197&lt;=$O197,$C197,IF(AND($E197="Y",$D197&lt;=$O197),$D197,IF(AND($E197="Y",$D197&lt;=Inputs!$B$15,$C197&lt;=Inputs!$B$15),IF($C197&lt;$D197,$D197,$C197),IF(AND($E197="Y",$D197&lt;=Inputs!$B$15),$D197,$C197)))))</f>
        <v/>
      </c>
      <c r="G197" s="4" t="str">
        <f>IF($B197="","",IF($C197&lt;=$O197,$D197,IF(AND($E197="Y",$D197&lt;=$O197),$C197,IF(AND($E197="Y",$D197&lt;=Inputs!$B$15,$C197&lt;=Inputs!$B$15),IF($C197&lt;$D197,$C197,$D197),IF(AND($E197="Y",$D197&lt;=Inputs!$B$15),$C197,$D197)))))</f>
        <v/>
      </c>
      <c r="H197" s="3" t="str">
        <f t="shared" si="18"/>
        <v/>
      </c>
      <c r="I197" s="4" t="str">
        <f t="shared" si="20"/>
        <v/>
      </c>
      <c r="J197" s="4" t="str">
        <f t="shared" si="21"/>
        <v/>
      </c>
      <c r="K197" s="4" t="str">
        <f t="shared" si="22"/>
        <v/>
      </c>
      <c r="L197" s="4" t="str">
        <f t="shared" si="23"/>
        <v/>
      </c>
      <c r="M197" s="4" t="str">
        <f t="shared" si="19"/>
        <v/>
      </c>
      <c r="N197" s="4" t="str">
        <f t="shared" si="24"/>
        <v/>
      </c>
      <c r="O197" s="4" t="str">
        <f>IF($B197="","",Inputs!$B$15-$M196)</f>
        <v/>
      </c>
      <c r="P197" s="3" t="str">
        <f t="shared" si="25"/>
        <v/>
      </c>
      <c r="Q197" s="3" t="str">
        <f t="shared" si="26"/>
        <v/>
      </c>
      <c r="R197" s="3" t="str">
        <f>IF($B197="","",IF($Q197,($L196+$N196+$G197)&gt;Inputs!$B$16,FALSE))</f>
        <v/>
      </c>
      <c r="S197" s="3" t="str">
        <f>IF($B197="","",IF(OR($F197&gt;Inputs!$B$15,$G197&gt;Inputs!$B$16),"TOO BIG",IF($R197,"NEW SHEET",IF($Q197,"NEW ROW","OK"))))</f>
        <v/>
      </c>
    </row>
    <row r="198" spans="1:19" x14ac:dyDescent="0.2">
      <c r="A198" s="4">
        <v>192</v>
      </c>
      <c r="B198" s="3" t="str">
        <f>IF(SortedPieces!$B194="","",SortedPieces!$B194)</f>
        <v/>
      </c>
      <c r="C198" s="4" t="str">
        <f>IF(SortedPieces!$C194="","",SortedPieces!$C194)</f>
        <v/>
      </c>
      <c r="D198" s="4" t="str">
        <f>IF(SortedPieces!$D194="","",SortedPieces!$D194)</f>
        <v/>
      </c>
      <c r="E198" s="3" t="str">
        <f>IF(SortedPieces!$E194="","",SortedPieces!$E194)</f>
        <v/>
      </c>
      <c r="F198" s="4" t="str">
        <f>IF($B198="","",IF($C198&lt;=$O198,$C198,IF(AND($E198="Y",$D198&lt;=$O198),$D198,IF(AND($E198="Y",$D198&lt;=Inputs!$B$15,$C198&lt;=Inputs!$B$15),IF($C198&lt;$D198,$D198,$C198),IF(AND($E198="Y",$D198&lt;=Inputs!$B$15),$D198,$C198)))))</f>
        <v/>
      </c>
      <c r="G198" s="4" t="str">
        <f>IF($B198="","",IF($C198&lt;=$O198,$D198,IF(AND($E198="Y",$D198&lt;=$O198),$C198,IF(AND($E198="Y",$D198&lt;=Inputs!$B$15,$C198&lt;=Inputs!$B$15),IF($C198&lt;$D198,$C198,$D198),IF(AND($E198="Y",$D198&lt;=Inputs!$B$15),$C198,$D198)))))</f>
        <v/>
      </c>
      <c r="H198" s="3" t="str">
        <f t="shared" si="18"/>
        <v/>
      </c>
      <c r="I198" s="4" t="str">
        <f t="shared" si="20"/>
        <v/>
      </c>
      <c r="J198" s="4" t="str">
        <f t="shared" si="21"/>
        <v/>
      </c>
      <c r="K198" s="4" t="str">
        <f t="shared" si="22"/>
        <v/>
      </c>
      <c r="L198" s="4" t="str">
        <f t="shared" si="23"/>
        <v/>
      </c>
      <c r="M198" s="4" t="str">
        <f t="shared" si="19"/>
        <v/>
      </c>
      <c r="N198" s="4" t="str">
        <f t="shared" si="24"/>
        <v/>
      </c>
      <c r="O198" s="4" t="str">
        <f>IF($B198="","",Inputs!$B$15-$M197)</f>
        <v/>
      </c>
      <c r="P198" s="3" t="str">
        <f t="shared" si="25"/>
        <v/>
      </c>
      <c r="Q198" s="3" t="str">
        <f t="shared" si="26"/>
        <v/>
      </c>
      <c r="R198" s="3" t="str">
        <f>IF($B198="","",IF($Q198,($L197+$N197+$G198)&gt;Inputs!$B$16,FALSE))</f>
        <v/>
      </c>
      <c r="S198" s="3" t="str">
        <f>IF($B198="","",IF(OR($F198&gt;Inputs!$B$15,$G198&gt;Inputs!$B$16),"TOO BIG",IF($R198,"NEW SHEET",IF($Q198,"NEW ROW","OK"))))</f>
        <v/>
      </c>
    </row>
    <row r="199" spans="1:19" x14ac:dyDescent="0.2">
      <c r="A199" s="4">
        <v>193</v>
      </c>
      <c r="B199" s="3" t="str">
        <f>IF(SortedPieces!$B195="","",SortedPieces!$B195)</f>
        <v/>
      </c>
      <c r="C199" s="4" t="str">
        <f>IF(SortedPieces!$C195="","",SortedPieces!$C195)</f>
        <v/>
      </c>
      <c r="D199" s="4" t="str">
        <f>IF(SortedPieces!$D195="","",SortedPieces!$D195)</f>
        <v/>
      </c>
      <c r="E199" s="3" t="str">
        <f>IF(SortedPieces!$E195="","",SortedPieces!$E195)</f>
        <v/>
      </c>
      <c r="F199" s="4" t="str">
        <f>IF($B199="","",IF($C199&lt;=$O199,$C199,IF(AND($E199="Y",$D199&lt;=$O199),$D199,IF(AND($E199="Y",$D199&lt;=Inputs!$B$15,$C199&lt;=Inputs!$B$15),IF($C199&lt;$D199,$D199,$C199),IF(AND($E199="Y",$D199&lt;=Inputs!$B$15),$D199,$C199)))))</f>
        <v/>
      </c>
      <c r="G199" s="4" t="str">
        <f>IF($B199="","",IF($C199&lt;=$O199,$D199,IF(AND($E199="Y",$D199&lt;=$O199),$C199,IF(AND($E199="Y",$D199&lt;=Inputs!$B$15,$C199&lt;=Inputs!$B$15),IF($C199&lt;$D199,$C199,$D199),IF(AND($E199="Y",$D199&lt;=Inputs!$B$15),$C199,$D199)))))</f>
        <v/>
      </c>
      <c r="H199" s="3" t="str">
        <f t="shared" ref="H199:H262" si="27">IF($B199="","",IF(AND($E199="Y",$F199=$D199,$G199=$C199),"Y","N"))</f>
        <v/>
      </c>
      <c r="I199" s="4" t="str">
        <f t="shared" si="20"/>
        <v/>
      </c>
      <c r="J199" s="4" t="str">
        <f t="shared" si="21"/>
        <v/>
      </c>
      <c r="K199" s="4" t="str">
        <f t="shared" si="22"/>
        <v/>
      </c>
      <c r="L199" s="4" t="str">
        <f t="shared" si="23"/>
        <v/>
      </c>
      <c r="M199" s="4" t="str">
        <f t="shared" ref="M199:M262" si="28">IF($B199="","",$K199+$F199)</f>
        <v/>
      </c>
      <c r="N199" s="4" t="str">
        <f t="shared" si="24"/>
        <v/>
      </c>
      <c r="O199" s="4" t="str">
        <f>IF($B199="","",Inputs!$B$15-$M198)</f>
        <v/>
      </c>
      <c r="P199" s="3" t="str">
        <f t="shared" si="25"/>
        <v/>
      </c>
      <c r="Q199" s="3" t="str">
        <f t="shared" si="26"/>
        <v/>
      </c>
      <c r="R199" s="3" t="str">
        <f>IF($B199="","",IF($Q199,($L198+$N198+$G199)&gt;Inputs!$B$16,FALSE))</f>
        <v/>
      </c>
      <c r="S199" s="3" t="str">
        <f>IF($B199="","",IF(OR($F199&gt;Inputs!$B$15,$G199&gt;Inputs!$B$16),"TOO BIG",IF($R199,"NEW SHEET",IF($Q199,"NEW ROW","OK"))))</f>
        <v/>
      </c>
    </row>
    <row r="200" spans="1:19" x14ac:dyDescent="0.2">
      <c r="A200" s="4">
        <v>194</v>
      </c>
      <c r="B200" s="3" t="str">
        <f>IF(SortedPieces!$B196="","",SortedPieces!$B196)</f>
        <v/>
      </c>
      <c r="C200" s="4" t="str">
        <f>IF(SortedPieces!$C196="","",SortedPieces!$C196)</f>
        <v/>
      </c>
      <c r="D200" s="4" t="str">
        <f>IF(SortedPieces!$D196="","",SortedPieces!$D196)</f>
        <v/>
      </c>
      <c r="E200" s="3" t="str">
        <f>IF(SortedPieces!$E196="","",SortedPieces!$E196)</f>
        <v/>
      </c>
      <c r="F200" s="4" t="str">
        <f>IF($B200="","",IF($C200&lt;=$O200,$C200,IF(AND($E200="Y",$D200&lt;=$O200),$D200,IF(AND($E200="Y",$D200&lt;=Inputs!$B$15,$C200&lt;=Inputs!$B$15),IF($C200&lt;$D200,$D200,$C200),IF(AND($E200="Y",$D200&lt;=Inputs!$B$15),$D200,$C200)))))</f>
        <v/>
      </c>
      <c r="G200" s="4" t="str">
        <f>IF($B200="","",IF($C200&lt;=$O200,$D200,IF(AND($E200="Y",$D200&lt;=$O200),$C200,IF(AND($E200="Y",$D200&lt;=Inputs!$B$15,$C200&lt;=Inputs!$B$15),IF($C200&lt;$D200,$C200,$D200),IF(AND($E200="Y",$D200&lt;=Inputs!$B$15),$C200,$D200)))))</f>
        <v/>
      </c>
      <c r="H200" s="3" t="str">
        <f t="shared" si="27"/>
        <v/>
      </c>
      <c r="I200" s="4" t="str">
        <f t="shared" ref="I200:I263" si="29">IF($B200="","",IF($R200,$I199+1,$I199))</f>
        <v/>
      </c>
      <c r="J200" s="4" t="str">
        <f t="shared" ref="J200:J263" si="30">IF($B200="","",IF($R200,1,IF($Q200,$J199+1,$J199)))</f>
        <v/>
      </c>
      <c r="K200" s="4" t="str">
        <f t="shared" ref="K200:K263" si="31">IF($B200="","",IF($R200,0,IF($Q200,0,$M199)))</f>
        <v/>
      </c>
      <c r="L200" s="4" t="str">
        <f t="shared" ref="L200:L263" si="32">IF($B200="","",IF($R200,0,IF($Q200,$L199+$N199,$L199)))</f>
        <v/>
      </c>
      <c r="M200" s="4" t="str">
        <f t="shared" si="28"/>
        <v/>
      </c>
      <c r="N200" s="4" t="str">
        <f t="shared" ref="N200:N263" si="33">IF($B200="","",IF($R200,$G200,IF($Q200,$G200,MAX($N199,$G200))))</f>
        <v/>
      </c>
      <c r="O200" s="4" t="str">
        <f>IF($B200="","",Inputs!$B$15-$M199)</f>
        <v/>
      </c>
      <c r="P200" s="3" t="str">
        <f t="shared" ref="P200:P263" si="34">IF($B200="","",IF($F200&lt;=$O200,TRUE,FALSE))</f>
        <v/>
      </c>
      <c r="Q200" s="3" t="str">
        <f t="shared" ref="Q200:Q263" si="35">IF($B200="","",NOT($P200))</f>
        <v/>
      </c>
      <c r="R200" s="3" t="str">
        <f>IF($B200="","",IF($Q200,($L199+$N199+$G200)&gt;Inputs!$B$16,FALSE))</f>
        <v/>
      </c>
      <c r="S200" s="3" t="str">
        <f>IF($B200="","",IF(OR($F200&gt;Inputs!$B$15,$G200&gt;Inputs!$B$16),"TOO BIG",IF($R200,"NEW SHEET",IF($Q200,"NEW ROW","OK"))))</f>
        <v/>
      </c>
    </row>
    <row r="201" spans="1:19" x14ac:dyDescent="0.2">
      <c r="A201" s="4">
        <v>195</v>
      </c>
      <c r="B201" s="3" t="str">
        <f>IF(SortedPieces!$B197="","",SortedPieces!$B197)</f>
        <v/>
      </c>
      <c r="C201" s="4" t="str">
        <f>IF(SortedPieces!$C197="","",SortedPieces!$C197)</f>
        <v/>
      </c>
      <c r="D201" s="4" t="str">
        <f>IF(SortedPieces!$D197="","",SortedPieces!$D197)</f>
        <v/>
      </c>
      <c r="E201" s="3" t="str">
        <f>IF(SortedPieces!$E197="","",SortedPieces!$E197)</f>
        <v/>
      </c>
      <c r="F201" s="4" t="str">
        <f>IF($B201="","",IF($C201&lt;=$O201,$C201,IF(AND($E201="Y",$D201&lt;=$O201),$D201,IF(AND($E201="Y",$D201&lt;=Inputs!$B$15,$C201&lt;=Inputs!$B$15),IF($C201&lt;$D201,$D201,$C201),IF(AND($E201="Y",$D201&lt;=Inputs!$B$15),$D201,$C201)))))</f>
        <v/>
      </c>
      <c r="G201" s="4" t="str">
        <f>IF($B201="","",IF($C201&lt;=$O201,$D201,IF(AND($E201="Y",$D201&lt;=$O201),$C201,IF(AND($E201="Y",$D201&lt;=Inputs!$B$15,$C201&lt;=Inputs!$B$15),IF($C201&lt;$D201,$C201,$D201),IF(AND($E201="Y",$D201&lt;=Inputs!$B$15),$C201,$D201)))))</f>
        <v/>
      </c>
      <c r="H201" s="3" t="str">
        <f t="shared" si="27"/>
        <v/>
      </c>
      <c r="I201" s="4" t="str">
        <f t="shared" si="29"/>
        <v/>
      </c>
      <c r="J201" s="4" t="str">
        <f t="shared" si="30"/>
        <v/>
      </c>
      <c r="K201" s="4" t="str">
        <f t="shared" si="31"/>
        <v/>
      </c>
      <c r="L201" s="4" t="str">
        <f t="shared" si="32"/>
        <v/>
      </c>
      <c r="M201" s="4" t="str">
        <f t="shared" si="28"/>
        <v/>
      </c>
      <c r="N201" s="4" t="str">
        <f t="shared" si="33"/>
        <v/>
      </c>
      <c r="O201" s="4" t="str">
        <f>IF($B201="","",Inputs!$B$15-$M200)</f>
        <v/>
      </c>
      <c r="P201" s="3" t="str">
        <f t="shared" si="34"/>
        <v/>
      </c>
      <c r="Q201" s="3" t="str">
        <f t="shared" si="35"/>
        <v/>
      </c>
      <c r="R201" s="3" t="str">
        <f>IF($B201="","",IF($Q201,($L200+$N200+$G201)&gt;Inputs!$B$16,FALSE))</f>
        <v/>
      </c>
      <c r="S201" s="3" t="str">
        <f>IF($B201="","",IF(OR($F201&gt;Inputs!$B$15,$G201&gt;Inputs!$B$16),"TOO BIG",IF($R201,"NEW SHEET",IF($Q201,"NEW ROW","OK"))))</f>
        <v/>
      </c>
    </row>
    <row r="202" spans="1:19" x14ac:dyDescent="0.2">
      <c r="A202" s="4">
        <v>196</v>
      </c>
      <c r="B202" s="3" t="str">
        <f>IF(SortedPieces!$B198="","",SortedPieces!$B198)</f>
        <v/>
      </c>
      <c r="C202" s="4" t="str">
        <f>IF(SortedPieces!$C198="","",SortedPieces!$C198)</f>
        <v/>
      </c>
      <c r="D202" s="4" t="str">
        <f>IF(SortedPieces!$D198="","",SortedPieces!$D198)</f>
        <v/>
      </c>
      <c r="E202" s="3" t="str">
        <f>IF(SortedPieces!$E198="","",SortedPieces!$E198)</f>
        <v/>
      </c>
      <c r="F202" s="4" t="str">
        <f>IF($B202="","",IF($C202&lt;=$O202,$C202,IF(AND($E202="Y",$D202&lt;=$O202),$D202,IF(AND($E202="Y",$D202&lt;=Inputs!$B$15,$C202&lt;=Inputs!$B$15),IF($C202&lt;$D202,$D202,$C202),IF(AND($E202="Y",$D202&lt;=Inputs!$B$15),$D202,$C202)))))</f>
        <v/>
      </c>
      <c r="G202" s="4" t="str">
        <f>IF($B202="","",IF($C202&lt;=$O202,$D202,IF(AND($E202="Y",$D202&lt;=$O202),$C202,IF(AND($E202="Y",$D202&lt;=Inputs!$B$15,$C202&lt;=Inputs!$B$15),IF($C202&lt;$D202,$C202,$D202),IF(AND($E202="Y",$D202&lt;=Inputs!$B$15),$C202,$D202)))))</f>
        <v/>
      </c>
      <c r="H202" s="3" t="str">
        <f t="shared" si="27"/>
        <v/>
      </c>
      <c r="I202" s="4" t="str">
        <f t="shared" si="29"/>
        <v/>
      </c>
      <c r="J202" s="4" t="str">
        <f t="shared" si="30"/>
        <v/>
      </c>
      <c r="K202" s="4" t="str">
        <f t="shared" si="31"/>
        <v/>
      </c>
      <c r="L202" s="4" t="str">
        <f t="shared" si="32"/>
        <v/>
      </c>
      <c r="M202" s="4" t="str">
        <f t="shared" si="28"/>
        <v/>
      </c>
      <c r="N202" s="4" t="str">
        <f t="shared" si="33"/>
        <v/>
      </c>
      <c r="O202" s="4" t="str">
        <f>IF($B202="","",Inputs!$B$15-$M201)</f>
        <v/>
      </c>
      <c r="P202" s="3" t="str">
        <f t="shared" si="34"/>
        <v/>
      </c>
      <c r="Q202" s="3" t="str">
        <f t="shared" si="35"/>
        <v/>
      </c>
      <c r="R202" s="3" t="str">
        <f>IF($B202="","",IF($Q202,($L201+$N201+$G202)&gt;Inputs!$B$16,FALSE))</f>
        <v/>
      </c>
      <c r="S202" s="3" t="str">
        <f>IF($B202="","",IF(OR($F202&gt;Inputs!$B$15,$G202&gt;Inputs!$B$16),"TOO BIG",IF($R202,"NEW SHEET",IF($Q202,"NEW ROW","OK"))))</f>
        <v/>
      </c>
    </row>
    <row r="203" spans="1:19" x14ac:dyDescent="0.2">
      <c r="A203" s="4">
        <v>197</v>
      </c>
      <c r="B203" s="3" t="str">
        <f>IF(SortedPieces!$B199="","",SortedPieces!$B199)</f>
        <v/>
      </c>
      <c r="C203" s="4" t="str">
        <f>IF(SortedPieces!$C199="","",SortedPieces!$C199)</f>
        <v/>
      </c>
      <c r="D203" s="4" t="str">
        <f>IF(SortedPieces!$D199="","",SortedPieces!$D199)</f>
        <v/>
      </c>
      <c r="E203" s="3" t="str">
        <f>IF(SortedPieces!$E199="","",SortedPieces!$E199)</f>
        <v/>
      </c>
      <c r="F203" s="4" t="str">
        <f>IF($B203="","",IF($C203&lt;=$O203,$C203,IF(AND($E203="Y",$D203&lt;=$O203),$D203,IF(AND($E203="Y",$D203&lt;=Inputs!$B$15,$C203&lt;=Inputs!$B$15),IF($C203&lt;$D203,$D203,$C203),IF(AND($E203="Y",$D203&lt;=Inputs!$B$15),$D203,$C203)))))</f>
        <v/>
      </c>
      <c r="G203" s="4" t="str">
        <f>IF($B203="","",IF($C203&lt;=$O203,$D203,IF(AND($E203="Y",$D203&lt;=$O203),$C203,IF(AND($E203="Y",$D203&lt;=Inputs!$B$15,$C203&lt;=Inputs!$B$15),IF($C203&lt;$D203,$C203,$D203),IF(AND($E203="Y",$D203&lt;=Inputs!$B$15),$C203,$D203)))))</f>
        <v/>
      </c>
      <c r="H203" s="3" t="str">
        <f t="shared" si="27"/>
        <v/>
      </c>
      <c r="I203" s="4" t="str">
        <f t="shared" si="29"/>
        <v/>
      </c>
      <c r="J203" s="4" t="str">
        <f t="shared" si="30"/>
        <v/>
      </c>
      <c r="K203" s="4" t="str">
        <f t="shared" si="31"/>
        <v/>
      </c>
      <c r="L203" s="4" t="str">
        <f t="shared" si="32"/>
        <v/>
      </c>
      <c r="M203" s="4" t="str">
        <f t="shared" si="28"/>
        <v/>
      </c>
      <c r="N203" s="4" t="str">
        <f t="shared" si="33"/>
        <v/>
      </c>
      <c r="O203" s="4" t="str">
        <f>IF($B203="","",Inputs!$B$15-$M202)</f>
        <v/>
      </c>
      <c r="P203" s="3" t="str">
        <f t="shared" si="34"/>
        <v/>
      </c>
      <c r="Q203" s="3" t="str">
        <f t="shared" si="35"/>
        <v/>
      </c>
      <c r="R203" s="3" t="str">
        <f>IF($B203="","",IF($Q203,($L202+$N202+$G203)&gt;Inputs!$B$16,FALSE))</f>
        <v/>
      </c>
      <c r="S203" s="3" t="str">
        <f>IF($B203="","",IF(OR($F203&gt;Inputs!$B$15,$G203&gt;Inputs!$B$16),"TOO BIG",IF($R203,"NEW SHEET",IF($Q203,"NEW ROW","OK"))))</f>
        <v/>
      </c>
    </row>
    <row r="204" spans="1:19" x14ac:dyDescent="0.2">
      <c r="A204" s="4">
        <v>198</v>
      </c>
      <c r="B204" s="3" t="str">
        <f>IF(SortedPieces!$B200="","",SortedPieces!$B200)</f>
        <v/>
      </c>
      <c r="C204" s="4" t="str">
        <f>IF(SortedPieces!$C200="","",SortedPieces!$C200)</f>
        <v/>
      </c>
      <c r="D204" s="4" t="str">
        <f>IF(SortedPieces!$D200="","",SortedPieces!$D200)</f>
        <v/>
      </c>
      <c r="E204" s="3" t="str">
        <f>IF(SortedPieces!$E200="","",SortedPieces!$E200)</f>
        <v/>
      </c>
      <c r="F204" s="4" t="str">
        <f>IF($B204="","",IF($C204&lt;=$O204,$C204,IF(AND($E204="Y",$D204&lt;=$O204),$D204,IF(AND($E204="Y",$D204&lt;=Inputs!$B$15,$C204&lt;=Inputs!$B$15),IF($C204&lt;$D204,$D204,$C204),IF(AND($E204="Y",$D204&lt;=Inputs!$B$15),$D204,$C204)))))</f>
        <v/>
      </c>
      <c r="G204" s="4" t="str">
        <f>IF($B204="","",IF($C204&lt;=$O204,$D204,IF(AND($E204="Y",$D204&lt;=$O204),$C204,IF(AND($E204="Y",$D204&lt;=Inputs!$B$15,$C204&lt;=Inputs!$B$15),IF($C204&lt;$D204,$C204,$D204),IF(AND($E204="Y",$D204&lt;=Inputs!$B$15),$C204,$D204)))))</f>
        <v/>
      </c>
      <c r="H204" s="3" t="str">
        <f t="shared" si="27"/>
        <v/>
      </c>
      <c r="I204" s="4" t="str">
        <f t="shared" si="29"/>
        <v/>
      </c>
      <c r="J204" s="4" t="str">
        <f t="shared" si="30"/>
        <v/>
      </c>
      <c r="K204" s="4" t="str">
        <f t="shared" si="31"/>
        <v/>
      </c>
      <c r="L204" s="4" t="str">
        <f t="shared" si="32"/>
        <v/>
      </c>
      <c r="M204" s="4" t="str">
        <f t="shared" si="28"/>
        <v/>
      </c>
      <c r="N204" s="4" t="str">
        <f t="shared" si="33"/>
        <v/>
      </c>
      <c r="O204" s="4" t="str">
        <f>IF($B204="","",Inputs!$B$15-$M203)</f>
        <v/>
      </c>
      <c r="P204" s="3" t="str">
        <f t="shared" si="34"/>
        <v/>
      </c>
      <c r="Q204" s="3" t="str">
        <f t="shared" si="35"/>
        <v/>
      </c>
      <c r="R204" s="3" t="str">
        <f>IF($B204="","",IF($Q204,($L203+$N203+$G204)&gt;Inputs!$B$16,FALSE))</f>
        <v/>
      </c>
      <c r="S204" s="3" t="str">
        <f>IF($B204="","",IF(OR($F204&gt;Inputs!$B$15,$G204&gt;Inputs!$B$16),"TOO BIG",IF($R204,"NEW SHEET",IF($Q204,"NEW ROW","OK"))))</f>
        <v/>
      </c>
    </row>
    <row r="205" spans="1:19" x14ac:dyDescent="0.2">
      <c r="A205" s="4">
        <v>199</v>
      </c>
      <c r="B205" s="3" t="str">
        <f>IF(SortedPieces!$B201="","",SortedPieces!$B201)</f>
        <v/>
      </c>
      <c r="C205" s="4" t="str">
        <f>IF(SortedPieces!$C201="","",SortedPieces!$C201)</f>
        <v/>
      </c>
      <c r="D205" s="4" t="str">
        <f>IF(SortedPieces!$D201="","",SortedPieces!$D201)</f>
        <v/>
      </c>
      <c r="E205" s="3" t="str">
        <f>IF(SortedPieces!$E201="","",SortedPieces!$E201)</f>
        <v/>
      </c>
      <c r="F205" s="4" t="str">
        <f>IF($B205="","",IF($C205&lt;=$O205,$C205,IF(AND($E205="Y",$D205&lt;=$O205),$D205,IF(AND($E205="Y",$D205&lt;=Inputs!$B$15,$C205&lt;=Inputs!$B$15),IF($C205&lt;$D205,$D205,$C205),IF(AND($E205="Y",$D205&lt;=Inputs!$B$15),$D205,$C205)))))</f>
        <v/>
      </c>
      <c r="G205" s="4" t="str">
        <f>IF($B205="","",IF($C205&lt;=$O205,$D205,IF(AND($E205="Y",$D205&lt;=$O205),$C205,IF(AND($E205="Y",$D205&lt;=Inputs!$B$15,$C205&lt;=Inputs!$B$15),IF($C205&lt;$D205,$C205,$D205),IF(AND($E205="Y",$D205&lt;=Inputs!$B$15),$C205,$D205)))))</f>
        <v/>
      </c>
      <c r="H205" s="3" t="str">
        <f t="shared" si="27"/>
        <v/>
      </c>
      <c r="I205" s="4" t="str">
        <f t="shared" si="29"/>
        <v/>
      </c>
      <c r="J205" s="4" t="str">
        <f t="shared" si="30"/>
        <v/>
      </c>
      <c r="K205" s="4" t="str">
        <f t="shared" si="31"/>
        <v/>
      </c>
      <c r="L205" s="4" t="str">
        <f t="shared" si="32"/>
        <v/>
      </c>
      <c r="M205" s="4" t="str">
        <f t="shared" si="28"/>
        <v/>
      </c>
      <c r="N205" s="4" t="str">
        <f t="shared" si="33"/>
        <v/>
      </c>
      <c r="O205" s="4" t="str">
        <f>IF($B205="","",Inputs!$B$15-$M204)</f>
        <v/>
      </c>
      <c r="P205" s="3" t="str">
        <f t="shared" si="34"/>
        <v/>
      </c>
      <c r="Q205" s="3" t="str">
        <f t="shared" si="35"/>
        <v/>
      </c>
      <c r="R205" s="3" t="str">
        <f>IF($B205="","",IF($Q205,($L204+$N204+$G205)&gt;Inputs!$B$16,FALSE))</f>
        <v/>
      </c>
      <c r="S205" s="3" t="str">
        <f>IF($B205="","",IF(OR($F205&gt;Inputs!$B$15,$G205&gt;Inputs!$B$16),"TOO BIG",IF($R205,"NEW SHEET",IF($Q205,"NEW ROW","OK"))))</f>
        <v/>
      </c>
    </row>
    <row r="206" spans="1:19" x14ac:dyDescent="0.2">
      <c r="A206" s="4">
        <v>200</v>
      </c>
      <c r="B206" s="3" t="str">
        <f>IF(SortedPieces!$B202="","",SortedPieces!$B202)</f>
        <v/>
      </c>
      <c r="C206" s="4" t="str">
        <f>IF(SortedPieces!$C202="","",SortedPieces!$C202)</f>
        <v/>
      </c>
      <c r="D206" s="4" t="str">
        <f>IF(SortedPieces!$D202="","",SortedPieces!$D202)</f>
        <v/>
      </c>
      <c r="E206" s="3" t="str">
        <f>IF(SortedPieces!$E202="","",SortedPieces!$E202)</f>
        <v/>
      </c>
      <c r="F206" s="4" t="str">
        <f>IF($B206="","",IF($C206&lt;=$O206,$C206,IF(AND($E206="Y",$D206&lt;=$O206),$D206,IF(AND($E206="Y",$D206&lt;=Inputs!$B$15,$C206&lt;=Inputs!$B$15),IF($C206&lt;$D206,$D206,$C206),IF(AND($E206="Y",$D206&lt;=Inputs!$B$15),$D206,$C206)))))</f>
        <v/>
      </c>
      <c r="G206" s="4" t="str">
        <f>IF($B206="","",IF($C206&lt;=$O206,$D206,IF(AND($E206="Y",$D206&lt;=$O206),$C206,IF(AND($E206="Y",$D206&lt;=Inputs!$B$15,$C206&lt;=Inputs!$B$15),IF($C206&lt;$D206,$C206,$D206),IF(AND($E206="Y",$D206&lt;=Inputs!$B$15),$C206,$D206)))))</f>
        <v/>
      </c>
      <c r="H206" s="3" t="str">
        <f t="shared" si="27"/>
        <v/>
      </c>
      <c r="I206" s="4" t="str">
        <f t="shared" si="29"/>
        <v/>
      </c>
      <c r="J206" s="4" t="str">
        <f t="shared" si="30"/>
        <v/>
      </c>
      <c r="K206" s="4" t="str">
        <f t="shared" si="31"/>
        <v/>
      </c>
      <c r="L206" s="4" t="str">
        <f t="shared" si="32"/>
        <v/>
      </c>
      <c r="M206" s="4" t="str">
        <f t="shared" si="28"/>
        <v/>
      </c>
      <c r="N206" s="4" t="str">
        <f t="shared" si="33"/>
        <v/>
      </c>
      <c r="O206" s="4" t="str">
        <f>IF($B206="","",Inputs!$B$15-$M205)</f>
        <v/>
      </c>
      <c r="P206" s="3" t="str">
        <f t="shared" si="34"/>
        <v/>
      </c>
      <c r="Q206" s="3" t="str">
        <f t="shared" si="35"/>
        <v/>
      </c>
      <c r="R206" s="3" t="str">
        <f>IF($B206="","",IF($Q206,($L205+$N205+$G206)&gt;Inputs!$B$16,FALSE))</f>
        <v/>
      </c>
      <c r="S206" s="3" t="str">
        <f>IF($B206="","",IF(OR($F206&gt;Inputs!$B$15,$G206&gt;Inputs!$B$16),"TOO BIG",IF($R206,"NEW SHEET",IF($Q206,"NEW ROW","OK"))))</f>
        <v/>
      </c>
    </row>
    <row r="207" spans="1:19" x14ac:dyDescent="0.2">
      <c r="A207" s="4">
        <v>201</v>
      </c>
      <c r="B207" s="3" t="str">
        <f>IF(SortedPieces!$B203="","",SortedPieces!$B203)</f>
        <v/>
      </c>
      <c r="C207" s="4" t="str">
        <f>IF(SortedPieces!$C203="","",SortedPieces!$C203)</f>
        <v/>
      </c>
      <c r="D207" s="4" t="str">
        <f>IF(SortedPieces!$D203="","",SortedPieces!$D203)</f>
        <v/>
      </c>
      <c r="E207" s="3" t="str">
        <f>IF(SortedPieces!$E203="","",SortedPieces!$E203)</f>
        <v/>
      </c>
      <c r="F207" s="4" t="str">
        <f>IF($B207="","",IF($C207&lt;=$O207,$C207,IF(AND($E207="Y",$D207&lt;=$O207),$D207,IF(AND($E207="Y",$D207&lt;=Inputs!$B$15,$C207&lt;=Inputs!$B$15),IF($C207&lt;$D207,$D207,$C207),IF(AND($E207="Y",$D207&lt;=Inputs!$B$15),$D207,$C207)))))</f>
        <v/>
      </c>
      <c r="G207" s="4" t="str">
        <f>IF($B207="","",IF($C207&lt;=$O207,$D207,IF(AND($E207="Y",$D207&lt;=$O207),$C207,IF(AND($E207="Y",$D207&lt;=Inputs!$B$15,$C207&lt;=Inputs!$B$15),IF($C207&lt;$D207,$C207,$D207),IF(AND($E207="Y",$D207&lt;=Inputs!$B$15),$C207,$D207)))))</f>
        <v/>
      </c>
      <c r="H207" s="3" t="str">
        <f t="shared" si="27"/>
        <v/>
      </c>
      <c r="I207" s="4" t="str">
        <f t="shared" si="29"/>
        <v/>
      </c>
      <c r="J207" s="4" t="str">
        <f t="shared" si="30"/>
        <v/>
      </c>
      <c r="K207" s="4" t="str">
        <f t="shared" si="31"/>
        <v/>
      </c>
      <c r="L207" s="4" t="str">
        <f t="shared" si="32"/>
        <v/>
      </c>
      <c r="M207" s="4" t="str">
        <f t="shared" si="28"/>
        <v/>
      </c>
      <c r="N207" s="4" t="str">
        <f t="shared" si="33"/>
        <v/>
      </c>
      <c r="O207" s="4" t="str">
        <f>IF($B207="","",Inputs!$B$15-$M206)</f>
        <v/>
      </c>
      <c r="P207" s="3" t="str">
        <f t="shared" si="34"/>
        <v/>
      </c>
      <c r="Q207" s="3" t="str">
        <f t="shared" si="35"/>
        <v/>
      </c>
      <c r="R207" s="3" t="str">
        <f>IF($B207="","",IF($Q207,($L206+$N206+$G207)&gt;Inputs!$B$16,FALSE))</f>
        <v/>
      </c>
      <c r="S207" s="3" t="str">
        <f>IF($B207="","",IF(OR($F207&gt;Inputs!$B$15,$G207&gt;Inputs!$B$16),"TOO BIG",IF($R207,"NEW SHEET",IF($Q207,"NEW ROW","OK"))))</f>
        <v/>
      </c>
    </row>
    <row r="208" spans="1:19" x14ac:dyDescent="0.2">
      <c r="A208" s="4">
        <v>202</v>
      </c>
      <c r="B208" s="3" t="str">
        <f>IF(SortedPieces!$B204="","",SortedPieces!$B204)</f>
        <v/>
      </c>
      <c r="C208" s="4" t="str">
        <f>IF(SortedPieces!$C204="","",SortedPieces!$C204)</f>
        <v/>
      </c>
      <c r="D208" s="4" t="str">
        <f>IF(SortedPieces!$D204="","",SortedPieces!$D204)</f>
        <v/>
      </c>
      <c r="E208" s="3" t="str">
        <f>IF(SortedPieces!$E204="","",SortedPieces!$E204)</f>
        <v/>
      </c>
      <c r="F208" s="4" t="str">
        <f>IF($B208="","",IF($C208&lt;=$O208,$C208,IF(AND($E208="Y",$D208&lt;=$O208),$D208,IF(AND($E208="Y",$D208&lt;=Inputs!$B$15,$C208&lt;=Inputs!$B$15),IF($C208&lt;$D208,$D208,$C208),IF(AND($E208="Y",$D208&lt;=Inputs!$B$15),$D208,$C208)))))</f>
        <v/>
      </c>
      <c r="G208" s="4" t="str">
        <f>IF($B208="","",IF($C208&lt;=$O208,$D208,IF(AND($E208="Y",$D208&lt;=$O208),$C208,IF(AND($E208="Y",$D208&lt;=Inputs!$B$15,$C208&lt;=Inputs!$B$15),IF($C208&lt;$D208,$C208,$D208),IF(AND($E208="Y",$D208&lt;=Inputs!$B$15),$C208,$D208)))))</f>
        <v/>
      </c>
      <c r="H208" s="3" t="str">
        <f t="shared" si="27"/>
        <v/>
      </c>
      <c r="I208" s="4" t="str">
        <f t="shared" si="29"/>
        <v/>
      </c>
      <c r="J208" s="4" t="str">
        <f t="shared" si="30"/>
        <v/>
      </c>
      <c r="K208" s="4" t="str">
        <f t="shared" si="31"/>
        <v/>
      </c>
      <c r="L208" s="4" t="str">
        <f t="shared" si="32"/>
        <v/>
      </c>
      <c r="M208" s="4" t="str">
        <f t="shared" si="28"/>
        <v/>
      </c>
      <c r="N208" s="4" t="str">
        <f t="shared" si="33"/>
        <v/>
      </c>
      <c r="O208" s="4" t="str">
        <f>IF($B208="","",Inputs!$B$15-$M207)</f>
        <v/>
      </c>
      <c r="P208" s="3" t="str">
        <f t="shared" si="34"/>
        <v/>
      </c>
      <c r="Q208" s="3" t="str">
        <f t="shared" si="35"/>
        <v/>
      </c>
      <c r="R208" s="3" t="str">
        <f>IF($B208="","",IF($Q208,($L207+$N207+$G208)&gt;Inputs!$B$16,FALSE))</f>
        <v/>
      </c>
      <c r="S208" s="3" t="str">
        <f>IF($B208="","",IF(OR($F208&gt;Inputs!$B$15,$G208&gt;Inputs!$B$16),"TOO BIG",IF($R208,"NEW SHEET",IF($Q208,"NEW ROW","OK"))))</f>
        <v/>
      </c>
    </row>
    <row r="209" spans="1:19" x14ac:dyDescent="0.2">
      <c r="A209" s="4">
        <v>203</v>
      </c>
      <c r="B209" s="3" t="str">
        <f>IF(SortedPieces!$B205="","",SortedPieces!$B205)</f>
        <v/>
      </c>
      <c r="C209" s="4" t="str">
        <f>IF(SortedPieces!$C205="","",SortedPieces!$C205)</f>
        <v/>
      </c>
      <c r="D209" s="4" t="str">
        <f>IF(SortedPieces!$D205="","",SortedPieces!$D205)</f>
        <v/>
      </c>
      <c r="E209" s="3" t="str">
        <f>IF(SortedPieces!$E205="","",SortedPieces!$E205)</f>
        <v/>
      </c>
      <c r="F209" s="4" t="str">
        <f>IF($B209="","",IF($C209&lt;=$O209,$C209,IF(AND($E209="Y",$D209&lt;=$O209),$D209,IF(AND($E209="Y",$D209&lt;=Inputs!$B$15,$C209&lt;=Inputs!$B$15),IF($C209&lt;$D209,$D209,$C209),IF(AND($E209="Y",$D209&lt;=Inputs!$B$15),$D209,$C209)))))</f>
        <v/>
      </c>
      <c r="G209" s="4" t="str">
        <f>IF($B209="","",IF($C209&lt;=$O209,$D209,IF(AND($E209="Y",$D209&lt;=$O209),$C209,IF(AND($E209="Y",$D209&lt;=Inputs!$B$15,$C209&lt;=Inputs!$B$15),IF($C209&lt;$D209,$C209,$D209),IF(AND($E209="Y",$D209&lt;=Inputs!$B$15),$C209,$D209)))))</f>
        <v/>
      </c>
      <c r="H209" s="3" t="str">
        <f t="shared" si="27"/>
        <v/>
      </c>
      <c r="I209" s="4" t="str">
        <f t="shared" si="29"/>
        <v/>
      </c>
      <c r="J209" s="4" t="str">
        <f t="shared" si="30"/>
        <v/>
      </c>
      <c r="K209" s="4" t="str">
        <f t="shared" si="31"/>
        <v/>
      </c>
      <c r="L209" s="4" t="str">
        <f t="shared" si="32"/>
        <v/>
      </c>
      <c r="M209" s="4" t="str">
        <f t="shared" si="28"/>
        <v/>
      </c>
      <c r="N209" s="4" t="str">
        <f t="shared" si="33"/>
        <v/>
      </c>
      <c r="O209" s="4" t="str">
        <f>IF($B209="","",Inputs!$B$15-$M208)</f>
        <v/>
      </c>
      <c r="P209" s="3" t="str">
        <f t="shared" si="34"/>
        <v/>
      </c>
      <c r="Q209" s="3" t="str">
        <f t="shared" si="35"/>
        <v/>
      </c>
      <c r="R209" s="3" t="str">
        <f>IF($B209="","",IF($Q209,($L208+$N208+$G209)&gt;Inputs!$B$16,FALSE))</f>
        <v/>
      </c>
      <c r="S209" s="3" t="str">
        <f>IF($B209="","",IF(OR($F209&gt;Inputs!$B$15,$G209&gt;Inputs!$B$16),"TOO BIG",IF($R209,"NEW SHEET",IF($Q209,"NEW ROW","OK"))))</f>
        <v/>
      </c>
    </row>
    <row r="210" spans="1:19" x14ac:dyDescent="0.2">
      <c r="A210" s="4">
        <v>204</v>
      </c>
      <c r="B210" s="3" t="str">
        <f>IF(SortedPieces!$B206="","",SortedPieces!$B206)</f>
        <v/>
      </c>
      <c r="C210" s="4" t="str">
        <f>IF(SortedPieces!$C206="","",SortedPieces!$C206)</f>
        <v/>
      </c>
      <c r="D210" s="4" t="str">
        <f>IF(SortedPieces!$D206="","",SortedPieces!$D206)</f>
        <v/>
      </c>
      <c r="E210" s="3" t="str">
        <f>IF(SortedPieces!$E206="","",SortedPieces!$E206)</f>
        <v/>
      </c>
      <c r="F210" s="4" t="str">
        <f>IF($B210="","",IF($C210&lt;=$O210,$C210,IF(AND($E210="Y",$D210&lt;=$O210),$D210,IF(AND($E210="Y",$D210&lt;=Inputs!$B$15,$C210&lt;=Inputs!$B$15),IF($C210&lt;$D210,$D210,$C210),IF(AND($E210="Y",$D210&lt;=Inputs!$B$15),$D210,$C210)))))</f>
        <v/>
      </c>
      <c r="G210" s="4" t="str">
        <f>IF($B210="","",IF($C210&lt;=$O210,$D210,IF(AND($E210="Y",$D210&lt;=$O210),$C210,IF(AND($E210="Y",$D210&lt;=Inputs!$B$15,$C210&lt;=Inputs!$B$15),IF($C210&lt;$D210,$C210,$D210),IF(AND($E210="Y",$D210&lt;=Inputs!$B$15),$C210,$D210)))))</f>
        <v/>
      </c>
      <c r="H210" s="3" t="str">
        <f t="shared" si="27"/>
        <v/>
      </c>
      <c r="I210" s="4" t="str">
        <f t="shared" si="29"/>
        <v/>
      </c>
      <c r="J210" s="4" t="str">
        <f t="shared" si="30"/>
        <v/>
      </c>
      <c r="K210" s="4" t="str">
        <f t="shared" si="31"/>
        <v/>
      </c>
      <c r="L210" s="4" t="str">
        <f t="shared" si="32"/>
        <v/>
      </c>
      <c r="M210" s="4" t="str">
        <f t="shared" si="28"/>
        <v/>
      </c>
      <c r="N210" s="4" t="str">
        <f t="shared" si="33"/>
        <v/>
      </c>
      <c r="O210" s="4" t="str">
        <f>IF($B210="","",Inputs!$B$15-$M209)</f>
        <v/>
      </c>
      <c r="P210" s="3" t="str">
        <f t="shared" si="34"/>
        <v/>
      </c>
      <c r="Q210" s="3" t="str">
        <f t="shared" si="35"/>
        <v/>
      </c>
      <c r="R210" s="3" t="str">
        <f>IF($B210="","",IF($Q210,($L209+$N209+$G210)&gt;Inputs!$B$16,FALSE))</f>
        <v/>
      </c>
      <c r="S210" s="3" t="str">
        <f>IF($B210="","",IF(OR($F210&gt;Inputs!$B$15,$G210&gt;Inputs!$B$16),"TOO BIG",IF($R210,"NEW SHEET",IF($Q210,"NEW ROW","OK"))))</f>
        <v/>
      </c>
    </row>
    <row r="211" spans="1:19" x14ac:dyDescent="0.2">
      <c r="A211" s="4">
        <v>205</v>
      </c>
      <c r="B211" s="3" t="str">
        <f>IF(SortedPieces!$B207="","",SortedPieces!$B207)</f>
        <v/>
      </c>
      <c r="C211" s="4" t="str">
        <f>IF(SortedPieces!$C207="","",SortedPieces!$C207)</f>
        <v/>
      </c>
      <c r="D211" s="4" t="str">
        <f>IF(SortedPieces!$D207="","",SortedPieces!$D207)</f>
        <v/>
      </c>
      <c r="E211" s="3" t="str">
        <f>IF(SortedPieces!$E207="","",SortedPieces!$E207)</f>
        <v/>
      </c>
      <c r="F211" s="4" t="str">
        <f>IF($B211="","",IF($C211&lt;=$O211,$C211,IF(AND($E211="Y",$D211&lt;=$O211),$D211,IF(AND($E211="Y",$D211&lt;=Inputs!$B$15,$C211&lt;=Inputs!$B$15),IF($C211&lt;$D211,$D211,$C211),IF(AND($E211="Y",$D211&lt;=Inputs!$B$15),$D211,$C211)))))</f>
        <v/>
      </c>
      <c r="G211" s="4" t="str">
        <f>IF($B211="","",IF($C211&lt;=$O211,$D211,IF(AND($E211="Y",$D211&lt;=$O211),$C211,IF(AND($E211="Y",$D211&lt;=Inputs!$B$15,$C211&lt;=Inputs!$B$15),IF($C211&lt;$D211,$C211,$D211),IF(AND($E211="Y",$D211&lt;=Inputs!$B$15),$C211,$D211)))))</f>
        <v/>
      </c>
      <c r="H211" s="3" t="str">
        <f t="shared" si="27"/>
        <v/>
      </c>
      <c r="I211" s="4" t="str">
        <f t="shared" si="29"/>
        <v/>
      </c>
      <c r="J211" s="4" t="str">
        <f t="shared" si="30"/>
        <v/>
      </c>
      <c r="K211" s="4" t="str">
        <f t="shared" si="31"/>
        <v/>
      </c>
      <c r="L211" s="4" t="str">
        <f t="shared" si="32"/>
        <v/>
      </c>
      <c r="M211" s="4" t="str">
        <f t="shared" si="28"/>
        <v/>
      </c>
      <c r="N211" s="4" t="str">
        <f t="shared" si="33"/>
        <v/>
      </c>
      <c r="O211" s="4" t="str">
        <f>IF($B211="","",Inputs!$B$15-$M210)</f>
        <v/>
      </c>
      <c r="P211" s="3" t="str">
        <f t="shared" si="34"/>
        <v/>
      </c>
      <c r="Q211" s="3" t="str">
        <f t="shared" si="35"/>
        <v/>
      </c>
      <c r="R211" s="3" t="str">
        <f>IF($B211="","",IF($Q211,($L210+$N210+$G211)&gt;Inputs!$B$16,FALSE))</f>
        <v/>
      </c>
      <c r="S211" s="3" t="str">
        <f>IF($B211="","",IF(OR($F211&gt;Inputs!$B$15,$G211&gt;Inputs!$B$16),"TOO BIG",IF($R211,"NEW SHEET",IF($Q211,"NEW ROW","OK"))))</f>
        <v/>
      </c>
    </row>
    <row r="212" spans="1:19" x14ac:dyDescent="0.2">
      <c r="A212" s="4">
        <v>206</v>
      </c>
      <c r="B212" s="3" t="str">
        <f>IF(SortedPieces!$B208="","",SortedPieces!$B208)</f>
        <v/>
      </c>
      <c r="C212" s="4" t="str">
        <f>IF(SortedPieces!$C208="","",SortedPieces!$C208)</f>
        <v/>
      </c>
      <c r="D212" s="4" t="str">
        <f>IF(SortedPieces!$D208="","",SortedPieces!$D208)</f>
        <v/>
      </c>
      <c r="E212" s="3" t="str">
        <f>IF(SortedPieces!$E208="","",SortedPieces!$E208)</f>
        <v/>
      </c>
      <c r="F212" s="4" t="str">
        <f>IF($B212="","",IF($C212&lt;=$O212,$C212,IF(AND($E212="Y",$D212&lt;=$O212),$D212,IF(AND($E212="Y",$D212&lt;=Inputs!$B$15,$C212&lt;=Inputs!$B$15),IF($C212&lt;$D212,$D212,$C212),IF(AND($E212="Y",$D212&lt;=Inputs!$B$15),$D212,$C212)))))</f>
        <v/>
      </c>
      <c r="G212" s="4" t="str">
        <f>IF($B212="","",IF($C212&lt;=$O212,$D212,IF(AND($E212="Y",$D212&lt;=$O212),$C212,IF(AND($E212="Y",$D212&lt;=Inputs!$B$15,$C212&lt;=Inputs!$B$15),IF($C212&lt;$D212,$C212,$D212),IF(AND($E212="Y",$D212&lt;=Inputs!$B$15),$C212,$D212)))))</f>
        <v/>
      </c>
      <c r="H212" s="3" t="str">
        <f t="shared" si="27"/>
        <v/>
      </c>
      <c r="I212" s="4" t="str">
        <f t="shared" si="29"/>
        <v/>
      </c>
      <c r="J212" s="4" t="str">
        <f t="shared" si="30"/>
        <v/>
      </c>
      <c r="K212" s="4" t="str">
        <f t="shared" si="31"/>
        <v/>
      </c>
      <c r="L212" s="4" t="str">
        <f t="shared" si="32"/>
        <v/>
      </c>
      <c r="M212" s="4" t="str">
        <f t="shared" si="28"/>
        <v/>
      </c>
      <c r="N212" s="4" t="str">
        <f t="shared" si="33"/>
        <v/>
      </c>
      <c r="O212" s="4" t="str">
        <f>IF($B212="","",Inputs!$B$15-$M211)</f>
        <v/>
      </c>
      <c r="P212" s="3" t="str">
        <f t="shared" si="34"/>
        <v/>
      </c>
      <c r="Q212" s="3" t="str">
        <f t="shared" si="35"/>
        <v/>
      </c>
      <c r="R212" s="3" t="str">
        <f>IF($B212="","",IF($Q212,($L211+$N211+$G212)&gt;Inputs!$B$16,FALSE))</f>
        <v/>
      </c>
      <c r="S212" s="3" t="str">
        <f>IF($B212="","",IF(OR($F212&gt;Inputs!$B$15,$G212&gt;Inputs!$B$16),"TOO BIG",IF($R212,"NEW SHEET",IF($Q212,"NEW ROW","OK"))))</f>
        <v/>
      </c>
    </row>
    <row r="213" spans="1:19" x14ac:dyDescent="0.2">
      <c r="A213" s="4">
        <v>207</v>
      </c>
      <c r="B213" s="3" t="str">
        <f>IF(SortedPieces!$B209="","",SortedPieces!$B209)</f>
        <v/>
      </c>
      <c r="C213" s="4" t="str">
        <f>IF(SortedPieces!$C209="","",SortedPieces!$C209)</f>
        <v/>
      </c>
      <c r="D213" s="4" t="str">
        <f>IF(SortedPieces!$D209="","",SortedPieces!$D209)</f>
        <v/>
      </c>
      <c r="E213" s="3" t="str">
        <f>IF(SortedPieces!$E209="","",SortedPieces!$E209)</f>
        <v/>
      </c>
      <c r="F213" s="4" t="str">
        <f>IF($B213="","",IF($C213&lt;=$O213,$C213,IF(AND($E213="Y",$D213&lt;=$O213),$D213,IF(AND($E213="Y",$D213&lt;=Inputs!$B$15,$C213&lt;=Inputs!$B$15),IF($C213&lt;$D213,$D213,$C213),IF(AND($E213="Y",$D213&lt;=Inputs!$B$15),$D213,$C213)))))</f>
        <v/>
      </c>
      <c r="G213" s="4" t="str">
        <f>IF($B213="","",IF($C213&lt;=$O213,$D213,IF(AND($E213="Y",$D213&lt;=$O213),$C213,IF(AND($E213="Y",$D213&lt;=Inputs!$B$15,$C213&lt;=Inputs!$B$15),IF($C213&lt;$D213,$C213,$D213),IF(AND($E213="Y",$D213&lt;=Inputs!$B$15),$C213,$D213)))))</f>
        <v/>
      </c>
      <c r="H213" s="3" t="str">
        <f t="shared" si="27"/>
        <v/>
      </c>
      <c r="I213" s="4" t="str">
        <f t="shared" si="29"/>
        <v/>
      </c>
      <c r="J213" s="4" t="str">
        <f t="shared" si="30"/>
        <v/>
      </c>
      <c r="K213" s="4" t="str">
        <f t="shared" si="31"/>
        <v/>
      </c>
      <c r="L213" s="4" t="str">
        <f t="shared" si="32"/>
        <v/>
      </c>
      <c r="M213" s="4" t="str">
        <f t="shared" si="28"/>
        <v/>
      </c>
      <c r="N213" s="4" t="str">
        <f t="shared" si="33"/>
        <v/>
      </c>
      <c r="O213" s="4" t="str">
        <f>IF($B213="","",Inputs!$B$15-$M212)</f>
        <v/>
      </c>
      <c r="P213" s="3" t="str">
        <f t="shared" si="34"/>
        <v/>
      </c>
      <c r="Q213" s="3" t="str">
        <f t="shared" si="35"/>
        <v/>
      </c>
      <c r="R213" s="3" t="str">
        <f>IF($B213="","",IF($Q213,($L212+$N212+$G213)&gt;Inputs!$B$16,FALSE))</f>
        <v/>
      </c>
      <c r="S213" s="3" t="str">
        <f>IF($B213="","",IF(OR($F213&gt;Inputs!$B$15,$G213&gt;Inputs!$B$16),"TOO BIG",IF($R213,"NEW SHEET",IF($Q213,"NEW ROW","OK"))))</f>
        <v/>
      </c>
    </row>
    <row r="214" spans="1:19" x14ac:dyDescent="0.2">
      <c r="A214" s="4">
        <v>208</v>
      </c>
      <c r="B214" s="3" t="str">
        <f>IF(SortedPieces!$B210="","",SortedPieces!$B210)</f>
        <v/>
      </c>
      <c r="C214" s="4" t="str">
        <f>IF(SortedPieces!$C210="","",SortedPieces!$C210)</f>
        <v/>
      </c>
      <c r="D214" s="4" t="str">
        <f>IF(SortedPieces!$D210="","",SortedPieces!$D210)</f>
        <v/>
      </c>
      <c r="E214" s="3" t="str">
        <f>IF(SortedPieces!$E210="","",SortedPieces!$E210)</f>
        <v/>
      </c>
      <c r="F214" s="4" t="str">
        <f>IF($B214="","",IF($C214&lt;=$O214,$C214,IF(AND($E214="Y",$D214&lt;=$O214),$D214,IF(AND($E214="Y",$D214&lt;=Inputs!$B$15,$C214&lt;=Inputs!$B$15),IF($C214&lt;$D214,$D214,$C214),IF(AND($E214="Y",$D214&lt;=Inputs!$B$15),$D214,$C214)))))</f>
        <v/>
      </c>
      <c r="G214" s="4" t="str">
        <f>IF($B214="","",IF($C214&lt;=$O214,$D214,IF(AND($E214="Y",$D214&lt;=$O214),$C214,IF(AND($E214="Y",$D214&lt;=Inputs!$B$15,$C214&lt;=Inputs!$B$15),IF($C214&lt;$D214,$C214,$D214),IF(AND($E214="Y",$D214&lt;=Inputs!$B$15),$C214,$D214)))))</f>
        <v/>
      </c>
      <c r="H214" s="3" t="str">
        <f t="shared" si="27"/>
        <v/>
      </c>
      <c r="I214" s="4" t="str">
        <f t="shared" si="29"/>
        <v/>
      </c>
      <c r="J214" s="4" t="str">
        <f t="shared" si="30"/>
        <v/>
      </c>
      <c r="K214" s="4" t="str">
        <f t="shared" si="31"/>
        <v/>
      </c>
      <c r="L214" s="4" t="str">
        <f t="shared" si="32"/>
        <v/>
      </c>
      <c r="M214" s="4" t="str">
        <f t="shared" si="28"/>
        <v/>
      </c>
      <c r="N214" s="4" t="str">
        <f t="shared" si="33"/>
        <v/>
      </c>
      <c r="O214" s="4" t="str">
        <f>IF($B214="","",Inputs!$B$15-$M213)</f>
        <v/>
      </c>
      <c r="P214" s="3" t="str">
        <f t="shared" si="34"/>
        <v/>
      </c>
      <c r="Q214" s="3" t="str">
        <f t="shared" si="35"/>
        <v/>
      </c>
      <c r="R214" s="3" t="str">
        <f>IF($B214="","",IF($Q214,($L213+$N213+$G214)&gt;Inputs!$B$16,FALSE))</f>
        <v/>
      </c>
      <c r="S214" s="3" t="str">
        <f>IF($B214="","",IF(OR($F214&gt;Inputs!$B$15,$G214&gt;Inputs!$B$16),"TOO BIG",IF($R214,"NEW SHEET",IF($Q214,"NEW ROW","OK"))))</f>
        <v/>
      </c>
    </row>
    <row r="215" spans="1:19" x14ac:dyDescent="0.2">
      <c r="A215" s="4">
        <v>209</v>
      </c>
      <c r="B215" s="3" t="str">
        <f>IF(SortedPieces!$B211="","",SortedPieces!$B211)</f>
        <v/>
      </c>
      <c r="C215" s="4" t="str">
        <f>IF(SortedPieces!$C211="","",SortedPieces!$C211)</f>
        <v/>
      </c>
      <c r="D215" s="4" t="str">
        <f>IF(SortedPieces!$D211="","",SortedPieces!$D211)</f>
        <v/>
      </c>
      <c r="E215" s="3" t="str">
        <f>IF(SortedPieces!$E211="","",SortedPieces!$E211)</f>
        <v/>
      </c>
      <c r="F215" s="4" t="str">
        <f>IF($B215="","",IF($C215&lt;=$O215,$C215,IF(AND($E215="Y",$D215&lt;=$O215),$D215,IF(AND($E215="Y",$D215&lt;=Inputs!$B$15,$C215&lt;=Inputs!$B$15),IF($C215&lt;$D215,$D215,$C215),IF(AND($E215="Y",$D215&lt;=Inputs!$B$15),$D215,$C215)))))</f>
        <v/>
      </c>
      <c r="G215" s="4" t="str">
        <f>IF($B215="","",IF($C215&lt;=$O215,$D215,IF(AND($E215="Y",$D215&lt;=$O215),$C215,IF(AND($E215="Y",$D215&lt;=Inputs!$B$15,$C215&lt;=Inputs!$B$15),IF($C215&lt;$D215,$C215,$D215),IF(AND($E215="Y",$D215&lt;=Inputs!$B$15),$C215,$D215)))))</f>
        <v/>
      </c>
      <c r="H215" s="3" t="str">
        <f t="shared" si="27"/>
        <v/>
      </c>
      <c r="I215" s="4" t="str">
        <f t="shared" si="29"/>
        <v/>
      </c>
      <c r="J215" s="4" t="str">
        <f t="shared" si="30"/>
        <v/>
      </c>
      <c r="K215" s="4" t="str">
        <f t="shared" si="31"/>
        <v/>
      </c>
      <c r="L215" s="4" t="str">
        <f t="shared" si="32"/>
        <v/>
      </c>
      <c r="M215" s="4" t="str">
        <f t="shared" si="28"/>
        <v/>
      </c>
      <c r="N215" s="4" t="str">
        <f t="shared" si="33"/>
        <v/>
      </c>
      <c r="O215" s="4" t="str">
        <f>IF($B215="","",Inputs!$B$15-$M214)</f>
        <v/>
      </c>
      <c r="P215" s="3" t="str">
        <f t="shared" si="34"/>
        <v/>
      </c>
      <c r="Q215" s="3" t="str">
        <f t="shared" si="35"/>
        <v/>
      </c>
      <c r="R215" s="3" t="str">
        <f>IF($B215="","",IF($Q215,($L214+$N214+$G215)&gt;Inputs!$B$16,FALSE))</f>
        <v/>
      </c>
      <c r="S215" s="3" t="str">
        <f>IF($B215="","",IF(OR($F215&gt;Inputs!$B$15,$G215&gt;Inputs!$B$16),"TOO BIG",IF($R215,"NEW SHEET",IF($Q215,"NEW ROW","OK"))))</f>
        <v/>
      </c>
    </row>
    <row r="216" spans="1:19" x14ac:dyDescent="0.2">
      <c r="A216" s="4">
        <v>210</v>
      </c>
      <c r="B216" s="3" t="str">
        <f>IF(SortedPieces!$B212="","",SortedPieces!$B212)</f>
        <v/>
      </c>
      <c r="C216" s="4" t="str">
        <f>IF(SortedPieces!$C212="","",SortedPieces!$C212)</f>
        <v/>
      </c>
      <c r="D216" s="4" t="str">
        <f>IF(SortedPieces!$D212="","",SortedPieces!$D212)</f>
        <v/>
      </c>
      <c r="E216" s="3" t="str">
        <f>IF(SortedPieces!$E212="","",SortedPieces!$E212)</f>
        <v/>
      </c>
      <c r="F216" s="4" t="str">
        <f>IF($B216="","",IF($C216&lt;=$O216,$C216,IF(AND($E216="Y",$D216&lt;=$O216),$D216,IF(AND($E216="Y",$D216&lt;=Inputs!$B$15,$C216&lt;=Inputs!$B$15),IF($C216&lt;$D216,$D216,$C216),IF(AND($E216="Y",$D216&lt;=Inputs!$B$15),$D216,$C216)))))</f>
        <v/>
      </c>
      <c r="G216" s="4" t="str">
        <f>IF($B216="","",IF($C216&lt;=$O216,$D216,IF(AND($E216="Y",$D216&lt;=$O216),$C216,IF(AND($E216="Y",$D216&lt;=Inputs!$B$15,$C216&lt;=Inputs!$B$15),IF($C216&lt;$D216,$C216,$D216),IF(AND($E216="Y",$D216&lt;=Inputs!$B$15),$C216,$D216)))))</f>
        <v/>
      </c>
      <c r="H216" s="3" t="str">
        <f t="shared" si="27"/>
        <v/>
      </c>
      <c r="I216" s="4" t="str">
        <f t="shared" si="29"/>
        <v/>
      </c>
      <c r="J216" s="4" t="str">
        <f t="shared" si="30"/>
        <v/>
      </c>
      <c r="K216" s="4" t="str">
        <f t="shared" si="31"/>
        <v/>
      </c>
      <c r="L216" s="4" t="str">
        <f t="shared" si="32"/>
        <v/>
      </c>
      <c r="M216" s="4" t="str">
        <f t="shared" si="28"/>
        <v/>
      </c>
      <c r="N216" s="4" t="str">
        <f t="shared" si="33"/>
        <v/>
      </c>
      <c r="O216" s="4" t="str">
        <f>IF($B216="","",Inputs!$B$15-$M215)</f>
        <v/>
      </c>
      <c r="P216" s="3" t="str">
        <f t="shared" si="34"/>
        <v/>
      </c>
      <c r="Q216" s="3" t="str">
        <f t="shared" si="35"/>
        <v/>
      </c>
      <c r="R216" s="3" t="str">
        <f>IF($B216="","",IF($Q216,($L215+$N215+$G216)&gt;Inputs!$B$16,FALSE))</f>
        <v/>
      </c>
      <c r="S216" s="3" t="str">
        <f>IF($B216="","",IF(OR($F216&gt;Inputs!$B$15,$G216&gt;Inputs!$B$16),"TOO BIG",IF($R216,"NEW SHEET",IF($Q216,"NEW ROW","OK"))))</f>
        <v/>
      </c>
    </row>
    <row r="217" spans="1:19" x14ac:dyDescent="0.2">
      <c r="A217" s="4">
        <v>211</v>
      </c>
      <c r="B217" s="3" t="str">
        <f>IF(SortedPieces!$B213="","",SortedPieces!$B213)</f>
        <v/>
      </c>
      <c r="C217" s="4" t="str">
        <f>IF(SortedPieces!$C213="","",SortedPieces!$C213)</f>
        <v/>
      </c>
      <c r="D217" s="4" t="str">
        <f>IF(SortedPieces!$D213="","",SortedPieces!$D213)</f>
        <v/>
      </c>
      <c r="E217" s="3" t="str">
        <f>IF(SortedPieces!$E213="","",SortedPieces!$E213)</f>
        <v/>
      </c>
      <c r="F217" s="4" t="str">
        <f>IF($B217="","",IF($C217&lt;=$O217,$C217,IF(AND($E217="Y",$D217&lt;=$O217),$D217,IF(AND($E217="Y",$D217&lt;=Inputs!$B$15,$C217&lt;=Inputs!$B$15),IF($C217&lt;$D217,$D217,$C217),IF(AND($E217="Y",$D217&lt;=Inputs!$B$15),$D217,$C217)))))</f>
        <v/>
      </c>
      <c r="G217" s="4" t="str">
        <f>IF($B217="","",IF($C217&lt;=$O217,$D217,IF(AND($E217="Y",$D217&lt;=$O217),$C217,IF(AND($E217="Y",$D217&lt;=Inputs!$B$15,$C217&lt;=Inputs!$B$15),IF($C217&lt;$D217,$C217,$D217),IF(AND($E217="Y",$D217&lt;=Inputs!$B$15),$C217,$D217)))))</f>
        <v/>
      </c>
      <c r="H217" s="3" t="str">
        <f t="shared" si="27"/>
        <v/>
      </c>
      <c r="I217" s="4" t="str">
        <f t="shared" si="29"/>
        <v/>
      </c>
      <c r="J217" s="4" t="str">
        <f t="shared" si="30"/>
        <v/>
      </c>
      <c r="K217" s="4" t="str">
        <f t="shared" si="31"/>
        <v/>
      </c>
      <c r="L217" s="4" t="str">
        <f t="shared" si="32"/>
        <v/>
      </c>
      <c r="M217" s="4" t="str">
        <f t="shared" si="28"/>
        <v/>
      </c>
      <c r="N217" s="4" t="str">
        <f t="shared" si="33"/>
        <v/>
      </c>
      <c r="O217" s="4" t="str">
        <f>IF($B217="","",Inputs!$B$15-$M216)</f>
        <v/>
      </c>
      <c r="P217" s="3" t="str">
        <f t="shared" si="34"/>
        <v/>
      </c>
      <c r="Q217" s="3" t="str">
        <f t="shared" si="35"/>
        <v/>
      </c>
      <c r="R217" s="3" t="str">
        <f>IF($B217="","",IF($Q217,($L216+$N216+$G217)&gt;Inputs!$B$16,FALSE))</f>
        <v/>
      </c>
      <c r="S217" s="3" t="str">
        <f>IF($B217="","",IF(OR($F217&gt;Inputs!$B$15,$G217&gt;Inputs!$B$16),"TOO BIG",IF($R217,"NEW SHEET",IF($Q217,"NEW ROW","OK"))))</f>
        <v/>
      </c>
    </row>
    <row r="218" spans="1:19" x14ac:dyDescent="0.2">
      <c r="A218" s="4">
        <v>212</v>
      </c>
      <c r="B218" s="3" t="str">
        <f>IF(SortedPieces!$B214="","",SortedPieces!$B214)</f>
        <v/>
      </c>
      <c r="C218" s="4" t="str">
        <f>IF(SortedPieces!$C214="","",SortedPieces!$C214)</f>
        <v/>
      </c>
      <c r="D218" s="4" t="str">
        <f>IF(SortedPieces!$D214="","",SortedPieces!$D214)</f>
        <v/>
      </c>
      <c r="E218" s="3" t="str">
        <f>IF(SortedPieces!$E214="","",SortedPieces!$E214)</f>
        <v/>
      </c>
      <c r="F218" s="4" t="str">
        <f>IF($B218="","",IF($C218&lt;=$O218,$C218,IF(AND($E218="Y",$D218&lt;=$O218),$D218,IF(AND($E218="Y",$D218&lt;=Inputs!$B$15,$C218&lt;=Inputs!$B$15),IF($C218&lt;$D218,$D218,$C218),IF(AND($E218="Y",$D218&lt;=Inputs!$B$15),$D218,$C218)))))</f>
        <v/>
      </c>
      <c r="G218" s="4" t="str">
        <f>IF($B218="","",IF($C218&lt;=$O218,$D218,IF(AND($E218="Y",$D218&lt;=$O218),$C218,IF(AND($E218="Y",$D218&lt;=Inputs!$B$15,$C218&lt;=Inputs!$B$15),IF($C218&lt;$D218,$C218,$D218),IF(AND($E218="Y",$D218&lt;=Inputs!$B$15),$C218,$D218)))))</f>
        <v/>
      </c>
      <c r="H218" s="3" t="str">
        <f t="shared" si="27"/>
        <v/>
      </c>
      <c r="I218" s="4" t="str">
        <f t="shared" si="29"/>
        <v/>
      </c>
      <c r="J218" s="4" t="str">
        <f t="shared" si="30"/>
        <v/>
      </c>
      <c r="K218" s="4" t="str">
        <f t="shared" si="31"/>
        <v/>
      </c>
      <c r="L218" s="4" t="str">
        <f t="shared" si="32"/>
        <v/>
      </c>
      <c r="M218" s="4" t="str">
        <f t="shared" si="28"/>
        <v/>
      </c>
      <c r="N218" s="4" t="str">
        <f t="shared" si="33"/>
        <v/>
      </c>
      <c r="O218" s="4" t="str">
        <f>IF($B218="","",Inputs!$B$15-$M217)</f>
        <v/>
      </c>
      <c r="P218" s="3" t="str">
        <f t="shared" si="34"/>
        <v/>
      </c>
      <c r="Q218" s="3" t="str">
        <f t="shared" si="35"/>
        <v/>
      </c>
      <c r="R218" s="3" t="str">
        <f>IF($B218="","",IF($Q218,($L217+$N217+$G218)&gt;Inputs!$B$16,FALSE))</f>
        <v/>
      </c>
      <c r="S218" s="3" t="str">
        <f>IF($B218="","",IF(OR($F218&gt;Inputs!$B$15,$G218&gt;Inputs!$B$16),"TOO BIG",IF($R218,"NEW SHEET",IF($Q218,"NEW ROW","OK"))))</f>
        <v/>
      </c>
    </row>
    <row r="219" spans="1:19" x14ac:dyDescent="0.2">
      <c r="A219" s="4">
        <v>213</v>
      </c>
      <c r="B219" s="3" t="str">
        <f>IF(SortedPieces!$B215="","",SortedPieces!$B215)</f>
        <v/>
      </c>
      <c r="C219" s="4" t="str">
        <f>IF(SortedPieces!$C215="","",SortedPieces!$C215)</f>
        <v/>
      </c>
      <c r="D219" s="4" t="str">
        <f>IF(SortedPieces!$D215="","",SortedPieces!$D215)</f>
        <v/>
      </c>
      <c r="E219" s="3" t="str">
        <f>IF(SortedPieces!$E215="","",SortedPieces!$E215)</f>
        <v/>
      </c>
      <c r="F219" s="4" t="str">
        <f>IF($B219="","",IF($C219&lt;=$O219,$C219,IF(AND($E219="Y",$D219&lt;=$O219),$D219,IF(AND($E219="Y",$D219&lt;=Inputs!$B$15,$C219&lt;=Inputs!$B$15),IF($C219&lt;$D219,$D219,$C219),IF(AND($E219="Y",$D219&lt;=Inputs!$B$15),$D219,$C219)))))</f>
        <v/>
      </c>
      <c r="G219" s="4" t="str">
        <f>IF($B219="","",IF($C219&lt;=$O219,$D219,IF(AND($E219="Y",$D219&lt;=$O219),$C219,IF(AND($E219="Y",$D219&lt;=Inputs!$B$15,$C219&lt;=Inputs!$B$15),IF($C219&lt;$D219,$C219,$D219),IF(AND($E219="Y",$D219&lt;=Inputs!$B$15),$C219,$D219)))))</f>
        <v/>
      </c>
      <c r="H219" s="3" t="str">
        <f t="shared" si="27"/>
        <v/>
      </c>
      <c r="I219" s="4" t="str">
        <f t="shared" si="29"/>
        <v/>
      </c>
      <c r="J219" s="4" t="str">
        <f t="shared" si="30"/>
        <v/>
      </c>
      <c r="K219" s="4" t="str">
        <f t="shared" si="31"/>
        <v/>
      </c>
      <c r="L219" s="4" t="str">
        <f t="shared" si="32"/>
        <v/>
      </c>
      <c r="M219" s="4" t="str">
        <f t="shared" si="28"/>
        <v/>
      </c>
      <c r="N219" s="4" t="str">
        <f t="shared" si="33"/>
        <v/>
      </c>
      <c r="O219" s="4" t="str">
        <f>IF($B219="","",Inputs!$B$15-$M218)</f>
        <v/>
      </c>
      <c r="P219" s="3" t="str">
        <f t="shared" si="34"/>
        <v/>
      </c>
      <c r="Q219" s="3" t="str">
        <f t="shared" si="35"/>
        <v/>
      </c>
      <c r="R219" s="3" t="str">
        <f>IF($B219="","",IF($Q219,($L218+$N218+$G219)&gt;Inputs!$B$16,FALSE))</f>
        <v/>
      </c>
      <c r="S219" s="3" t="str">
        <f>IF($B219="","",IF(OR($F219&gt;Inputs!$B$15,$G219&gt;Inputs!$B$16),"TOO BIG",IF($R219,"NEW SHEET",IF($Q219,"NEW ROW","OK"))))</f>
        <v/>
      </c>
    </row>
    <row r="220" spans="1:19" x14ac:dyDescent="0.2">
      <c r="A220" s="4">
        <v>214</v>
      </c>
      <c r="B220" s="3" t="str">
        <f>IF(SortedPieces!$B216="","",SortedPieces!$B216)</f>
        <v/>
      </c>
      <c r="C220" s="4" t="str">
        <f>IF(SortedPieces!$C216="","",SortedPieces!$C216)</f>
        <v/>
      </c>
      <c r="D220" s="4" t="str">
        <f>IF(SortedPieces!$D216="","",SortedPieces!$D216)</f>
        <v/>
      </c>
      <c r="E220" s="3" t="str">
        <f>IF(SortedPieces!$E216="","",SortedPieces!$E216)</f>
        <v/>
      </c>
      <c r="F220" s="4" t="str">
        <f>IF($B220="","",IF($C220&lt;=$O220,$C220,IF(AND($E220="Y",$D220&lt;=$O220),$D220,IF(AND($E220="Y",$D220&lt;=Inputs!$B$15,$C220&lt;=Inputs!$B$15),IF($C220&lt;$D220,$D220,$C220),IF(AND($E220="Y",$D220&lt;=Inputs!$B$15),$D220,$C220)))))</f>
        <v/>
      </c>
      <c r="G220" s="4" t="str">
        <f>IF($B220="","",IF($C220&lt;=$O220,$D220,IF(AND($E220="Y",$D220&lt;=$O220),$C220,IF(AND($E220="Y",$D220&lt;=Inputs!$B$15,$C220&lt;=Inputs!$B$15),IF($C220&lt;$D220,$C220,$D220),IF(AND($E220="Y",$D220&lt;=Inputs!$B$15),$C220,$D220)))))</f>
        <v/>
      </c>
      <c r="H220" s="3" t="str">
        <f t="shared" si="27"/>
        <v/>
      </c>
      <c r="I220" s="4" t="str">
        <f t="shared" si="29"/>
        <v/>
      </c>
      <c r="J220" s="4" t="str">
        <f t="shared" si="30"/>
        <v/>
      </c>
      <c r="K220" s="4" t="str">
        <f t="shared" si="31"/>
        <v/>
      </c>
      <c r="L220" s="4" t="str">
        <f t="shared" si="32"/>
        <v/>
      </c>
      <c r="M220" s="4" t="str">
        <f t="shared" si="28"/>
        <v/>
      </c>
      <c r="N220" s="4" t="str">
        <f t="shared" si="33"/>
        <v/>
      </c>
      <c r="O220" s="4" t="str">
        <f>IF($B220="","",Inputs!$B$15-$M219)</f>
        <v/>
      </c>
      <c r="P220" s="3" t="str">
        <f t="shared" si="34"/>
        <v/>
      </c>
      <c r="Q220" s="3" t="str">
        <f t="shared" si="35"/>
        <v/>
      </c>
      <c r="R220" s="3" t="str">
        <f>IF($B220="","",IF($Q220,($L219+$N219+$G220)&gt;Inputs!$B$16,FALSE))</f>
        <v/>
      </c>
      <c r="S220" s="3" t="str">
        <f>IF($B220="","",IF(OR($F220&gt;Inputs!$B$15,$G220&gt;Inputs!$B$16),"TOO BIG",IF($R220,"NEW SHEET",IF($Q220,"NEW ROW","OK"))))</f>
        <v/>
      </c>
    </row>
    <row r="221" spans="1:19" x14ac:dyDescent="0.2">
      <c r="A221" s="4">
        <v>215</v>
      </c>
      <c r="B221" s="3" t="str">
        <f>IF(SortedPieces!$B217="","",SortedPieces!$B217)</f>
        <v/>
      </c>
      <c r="C221" s="4" t="str">
        <f>IF(SortedPieces!$C217="","",SortedPieces!$C217)</f>
        <v/>
      </c>
      <c r="D221" s="4" t="str">
        <f>IF(SortedPieces!$D217="","",SortedPieces!$D217)</f>
        <v/>
      </c>
      <c r="E221" s="3" t="str">
        <f>IF(SortedPieces!$E217="","",SortedPieces!$E217)</f>
        <v/>
      </c>
      <c r="F221" s="4" t="str">
        <f>IF($B221="","",IF($C221&lt;=$O221,$C221,IF(AND($E221="Y",$D221&lt;=$O221),$D221,IF(AND($E221="Y",$D221&lt;=Inputs!$B$15,$C221&lt;=Inputs!$B$15),IF($C221&lt;$D221,$D221,$C221),IF(AND($E221="Y",$D221&lt;=Inputs!$B$15),$D221,$C221)))))</f>
        <v/>
      </c>
      <c r="G221" s="4" t="str">
        <f>IF($B221="","",IF($C221&lt;=$O221,$D221,IF(AND($E221="Y",$D221&lt;=$O221),$C221,IF(AND($E221="Y",$D221&lt;=Inputs!$B$15,$C221&lt;=Inputs!$B$15),IF($C221&lt;$D221,$C221,$D221),IF(AND($E221="Y",$D221&lt;=Inputs!$B$15),$C221,$D221)))))</f>
        <v/>
      </c>
      <c r="H221" s="3" t="str">
        <f t="shared" si="27"/>
        <v/>
      </c>
      <c r="I221" s="4" t="str">
        <f t="shared" si="29"/>
        <v/>
      </c>
      <c r="J221" s="4" t="str">
        <f t="shared" si="30"/>
        <v/>
      </c>
      <c r="K221" s="4" t="str">
        <f t="shared" si="31"/>
        <v/>
      </c>
      <c r="L221" s="4" t="str">
        <f t="shared" si="32"/>
        <v/>
      </c>
      <c r="M221" s="4" t="str">
        <f t="shared" si="28"/>
        <v/>
      </c>
      <c r="N221" s="4" t="str">
        <f t="shared" si="33"/>
        <v/>
      </c>
      <c r="O221" s="4" t="str">
        <f>IF($B221="","",Inputs!$B$15-$M220)</f>
        <v/>
      </c>
      <c r="P221" s="3" t="str">
        <f t="shared" si="34"/>
        <v/>
      </c>
      <c r="Q221" s="3" t="str">
        <f t="shared" si="35"/>
        <v/>
      </c>
      <c r="R221" s="3" t="str">
        <f>IF($B221="","",IF($Q221,($L220+$N220+$G221)&gt;Inputs!$B$16,FALSE))</f>
        <v/>
      </c>
      <c r="S221" s="3" t="str">
        <f>IF($B221="","",IF(OR($F221&gt;Inputs!$B$15,$G221&gt;Inputs!$B$16),"TOO BIG",IF($R221,"NEW SHEET",IF($Q221,"NEW ROW","OK"))))</f>
        <v/>
      </c>
    </row>
    <row r="222" spans="1:19" x14ac:dyDescent="0.2">
      <c r="A222" s="4">
        <v>216</v>
      </c>
      <c r="B222" s="3" t="str">
        <f>IF(SortedPieces!$B218="","",SortedPieces!$B218)</f>
        <v/>
      </c>
      <c r="C222" s="4" t="str">
        <f>IF(SortedPieces!$C218="","",SortedPieces!$C218)</f>
        <v/>
      </c>
      <c r="D222" s="4" t="str">
        <f>IF(SortedPieces!$D218="","",SortedPieces!$D218)</f>
        <v/>
      </c>
      <c r="E222" s="3" t="str">
        <f>IF(SortedPieces!$E218="","",SortedPieces!$E218)</f>
        <v/>
      </c>
      <c r="F222" s="4" t="str">
        <f>IF($B222="","",IF($C222&lt;=$O222,$C222,IF(AND($E222="Y",$D222&lt;=$O222),$D222,IF(AND($E222="Y",$D222&lt;=Inputs!$B$15,$C222&lt;=Inputs!$B$15),IF($C222&lt;$D222,$D222,$C222),IF(AND($E222="Y",$D222&lt;=Inputs!$B$15),$D222,$C222)))))</f>
        <v/>
      </c>
      <c r="G222" s="4" t="str">
        <f>IF($B222="","",IF($C222&lt;=$O222,$D222,IF(AND($E222="Y",$D222&lt;=$O222),$C222,IF(AND($E222="Y",$D222&lt;=Inputs!$B$15,$C222&lt;=Inputs!$B$15),IF($C222&lt;$D222,$C222,$D222),IF(AND($E222="Y",$D222&lt;=Inputs!$B$15),$C222,$D222)))))</f>
        <v/>
      </c>
      <c r="H222" s="3" t="str">
        <f t="shared" si="27"/>
        <v/>
      </c>
      <c r="I222" s="4" t="str">
        <f t="shared" si="29"/>
        <v/>
      </c>
      <c r="J222" s="4" t="str">
        <f t="shared" si="30"/>
        <v/>
      </c>
      <c r="K222" s="4" t="str">
        <f t="shared" si="31"/>
        <v/>
      </c>
      <c r="L222" s="4" t="str">
        <f t="shared" si="32"/>
        <v/>
      </c>
      <c r="M222" s="4" t="str">
        <f t="shared" si="28"/>
        <v/>
      </c>
      <c r="N222" s="4" t="str">
        <f t="shared" si="33"/>
        <v/>
      </c>
      <c r="O222" s="4" t="str">
        <f>IF($B222="","",Inputs!$B$15-$M221)</f>
        <v/>
      </c>
      <c r="P222" s="3" t="str">
        <f t="shared" si="34"/>
        <v/>
      </c>
      <c r="Q222" s="3" t="str">
        <f t="shared" si="35"/>
        <v/>
      </c>
      <c r="R222" s="3" t="str">
        <f>IF($B222="","",IF($Q222,($L221+$N221+$G222)&gt;Inputs!$B$16,FALSE))</f>
        <v/>
      </c>
      <c r="S222" s="3" t="str">
        <f>IF($B222="","",IF(OR($F222&gt;Inputs!$B$15,$G222&gt;Inputs!$B$16),"TOO BIG",IF($R222,"NEW SHEET",IF($Q222,"NEW ROW","OK"))))</f>
        <v/>
      </c>
    </row>
    <row r="223" spans="1:19" x14ac:dyDescent="0.2">
      <c r="A223" s="4">
        <v>217</v>
      </c>
      <c r="B223" s="3" t="str">
        <f>IF(SortedPieces!$B219="","",SortedPieces!$B219)</f>
        <v/>
      </c>
      <c r="C223" s="4" t="str">
        <f>IF(SortedPieces!$C219="","",SortedPieces!$C219)</f>
        <v/>
      </c>
      <c r="D223" s="4" t="str">
        <f>IF(SortedPieces!$D219="","",SortedPieces!$D219)</f>
        <v/>
      </c>
      <c r="E223" s="3" t="str">
        <f>IF(SortedPieces!$E219="","",SortedPieces!$E219)</f>
        <v/>
      </c>
      <c r="F223" s="4" t="str">
        <f>IF($B223="","",IF($C223&lt;=$O223,$C223,IF(AND($E223="Y",$D223&lt;=$O223),$D223,IF(AND($E223="Y",$D223&lt;=Inputs!$B$15,$C223&lt;=Inputs!$B$15),IF($C223&lt;$D223,$D223,$C223),IF(AND($E223="Y",$D223&lt;=Inputs!$B$15),$D223,$C223)))))</f>
        <v/>
      </c>
      <c r="G223" s="4" t="str">
        <f>IF($B223="","",IF($C223&lt;=$O223,$D223,IF(AND($E223="Y",$D223&lt;=$O223),$C223,IF(AND($E223="Y",$D223&lt;=Inputs!$B$15,$C223&lt;=Inputs!$B$15),IF($C223&lt;$D223,$C223,$D223),IF(AND($E223="Y",$D223&lt;=Inputs!$B$15),$C223,$D223)))))</f>
        <v/>
      </c>
      <c r="H223" s="3" t="str">
        <f t="shared" si="27"/>
        <v/>
      </c>
      <c r="I223" s="4" t="str">
        <f t="shared" si="29"/>
        <v/>
      </c>
      <c r="J223" s="4" t="str">
        <f t="shared" si="30"/>
        <v/>
      </c>
      <c r="K223" s="4" t="str">
        <f t="shared" si="31"/>
        <v/>
      </c>
      <c r="L223" s="4" t="str">
        <f t="shared" si="32"/>
        <v/>
      </c>
      <c r="M223" s="4" t="str">
        <f t="shared" si="28"/>
        <v/>
      </c>
      <c r="N223" s="4" t="str">
        <f t="shared" si="33"/>
        <v/>
      </c>
      <c r="O223" s="4" t="str">
        <f>IF($B223="","",Inputs!$B$15-$M222)</f>
        <v/>
      </c>
      <c r="P223" s="3" t="str">
        <f t="shared" si="34"/>
        <v/>
      </c>
      <c r="Q223" s="3" t="str">
        <f t="shared" si="35"/>
        <v/>
      </c>
      <c r="R223" s="3" t="str">
        <f>IF($B223="","",IF($Q223,($L222+$N222+$G223)&gt;Inputs!$B$16,FALSE))</f>
        <v/>
      </c>
      <c r="S223" s="3" t="str">
        <f>IF($B223="","",IF(OR($F223&gt;Inputs!$B$15,$G223&gt;Inputs!$B$16),"TOO BIG",IF($R223,"NEW SHEET",IF($Q223,"NEW ROW","OK"))))</f>
        <v/>
      </c>
    </row>
    <row r="224" spans="1:19" x14ac:dyDescent="0.2">
      <c r="A224" s="4">
        <v>218</v>
      </c>
      <c r="B224" s="3" t="str">
        <f>IF(SortedPieces!$B220="","",SortedPieces!$B220)</f>
        <v/>
      </c>
      <c r="C224" s="4" t="str">
        <f>IF(SortedPieces!$C220="","",SortedPieces!$C220)</f>
        <v/>
      </c>
      <c r="D224" s="4" t="str">
        <f>IF(SortedPieces!$D220="","",SortedPieces!$D220)</f>
        <v/>
      </c>
      <c r="E224" s="3" t="str">
        <f>IF(SortedPieces!$E220="","",SortedPieces!$E220)</f>
        <v/>
      </c>
      <c r="F224" s="4" t="str">
        <f>IF($B224="","",IF($C224&lt;=$O224,$C224,IF(AND($E224="Y",$D224&lt;=$O224),$D224,IF(AND($E224="Y",$D224&lt;=Inputs!$B$15,$C224&lt;=Inputs!$B$15),IF($C224&lt;$D224,$D224,$C224),IF(AND($E224="Y",$D224&lt;=Inputs!$B$15),$D224,$C224)))))</f>
        <v/>
      </c>
      <c r="G224" s="4" t="str">
        <f>IF($B224="","",IF($C224&lt;=$O224,$D224,IF(AND($E224="Y",$D224&lt;=$O224),$C224,IF(AND($E224="Y",$D224&lt;=Inputs!$B$15,$C224&lt;=Inputs!$B$15),IF($C224&lt;$D224,$C224,$D224),IF(AND($E224="Y",$D224&lt;=Inputs!$B$15),$C224,$D224)))))</f>
        <v/>
      </c>
      <c r="H224" s="3" t="str">
        <f t="shared" si="27"/>
        <v/>
      </c>
      <c r="I224" s="4" t="str">
        <f t="shared" si="29"/>
        <v/>
      </c>
      <c r="J224" s="4" t="str">
        <f t="shared" si="30"/>
        <v/>
      </c>
      <c r="K224" s="4" t="str">
        <f t="shared" si="31"/>
        <v/>
      </c>
      <c r="L224" s="4" t="str">
        <f t="shared" si="32"/>
        <v/>
      </c>
      <c r="M224" s="4" t="str">
        <f t="shared" si="28"/>
        <v/>
      </c>
      <c r="N224" s="4" t="str">
        <f t="shared" si="33"/>
        <v/>
      </c>
      <c r="O224" s="4" t="str">
        <f>IF($B224="","",Inputs!$B$15-$M223)</f>
        <v/>
      </c>
      <c r="P224" s="3" t="str">
        <f t="shared" si="34"/>
        <v/>
      </c>
      <c r="Q224" s="3" t="str">
        <f t="shared" si="35"/>
        <v/>
      </c>
      <c r="R224" s="3" t="str">
        <f>IF($B224="","",IF($Q224,($L223+$N223+$G224)&gt;Inputs!$B$16,FALSE))</f>
        <v/>
      </c>
      <c r="S224" s="3" t="str">
        <f>IF($B224="","",IF(OR($F224&gt;Inputs!$B$15,$G224&gt;Inputs!$B$16),"TOO BIG",IF($R224,"NEW SHEET",IF($Q224,"NEW ROW","OK"))))</f>
        <v/>
      </c>
    </row>
    <row r="225" spans="1:19" x14ac:dyDescent="0.2">
      <c r="A225" s="4">
        <v>219</v>
      </c>
      <c r="B225" s="3" t="str">
        <f>IF(SortedPieces!$B221="","",SortedPieces!$B221)</f>
        <v/>
      </c>
      <c r="C225" s="4" t="str">
        <f>IF(SortedPieces!$C221="","",SortedPieces!$C221)</f>
        <v/>
      </c>
      <c r="D225" s="4" t="str">
        <f>IF(SortedPieces!$D221="","",SortedPieces!$D221)</f>
        <v/>
      </c>
      <c r="E225" s="3" t="str">
        <f>IF(SortedPieces!$E221="","",SortedPieces!$E221)</f>
        <v/>
      </c>
      <c r="F225" s="4" t="str">
        <f>IF($B225="","",IF($C225&lt;=$O225,$C225,IF(AND($E225="Y",$D225&lt;=$O225),$D225,IF(AND($E225="Y",$D225&lt;=Inputs!$B$15,$C225&lt;=Inputs!$B$15),IF($C225&lt;$D225,$D225,$C225),IF(AND($E225="Y",$D225&lt;=Inputs!$B$15),$D225,$C225)))))</f>
        <v/>
      </c>
      <c r="G225" s="4" t="str">
        <f>IF($B225="","",IF($C225&lt;=$O225,$D225,IF(AND($E225="Y",$D225&lt;=$O225),$C225,IF(AND($E225="Y",$D225&lt;=Inputs!$B$15,$C225&lt;=Inputs!$B$15),IF($C225&lt;$D225,$C225,$D225),IF(AND($E225="Y",$D225&lt;=Inputs!$B$15),$C225,$D225)))))</f>
        <v/>
      </c>
      <c r="H225" s="3" t="str">
        <f t="shared" si="27"/>
        <v/>
      </c>
      <c r="I225" s="4" t="str">
        <f t="shared" si="29"/>
        <v/>
      </c>
      <c r="J225" s="4" t="str">
        <f t="shared" si="30"/>
        <v/>
      </c>
      <c r="K225" s="4" t="str">
        <f t="shared" si="31"/>
        <v/>
      </c>
      <c r="L225" s="4" t="str">
        <f t="shared" si="32"/>
        <v/>
      </c>
      <c r="M225" s="4" t="str">
        <f t="shared" si="28"/>
        <v/>
      </c>
      <c r="N225" s="4" t="str">
        <f t="shared" si="33"/>
        <v/>
      </c>
      <c r="O225" s="4" t="str">
        <f>IF($B225="","",Inputs!$B$15-$M224)</f>
        <v/>
      </c>
      <c r="P225" s="3" t="str">
        <f t="shared" si="34"/>
        <v/>
      </c>
      <c r="Q225" s="3" t="str">
        <f t="shared" si="35"/>
        <v/>
      </c>
      <c r="R225" s="3" t="str">
        <f>IF($B225="","",IF($Q225,($L224+$N224+$G225)&gt;Inputs!$B$16,FALSE))</f>
        <v/>
      </c>
      <c r="S225" s="3" t="str">
        <f>IF($B225="","",IF(OR($F225&gt;Inputs!$B$15,$G225&gt;Inputs!$B$16),"TOO BIG",IF($R225,"NEW SHEET",IF($Q225,"NEW ROW","OK"))))</f>
        <v/>
      </c>
    </row>
    <row r="226" spans="1:19" x14ac:dyDescent="0.2">
      <c r="A226" s="4">
        <v>220</v>
      </c>
      <c r="B226" s="3" t="str">
        <f>IF(SortedPieces!$B222="","",SortedPieces!$B222)</f>
        <v/>
      </c>
      <c r="C226" s="4" t="str">
        <f>IF(SortedPieces!$C222="","",SortedPieces!$C222)</f>
        <v/>
      </c>
      <c r="D226" s="4" t="str">
        <f>IF(SortedPieces!$D222="","",SortedPieces!$D222)</f>
        <v/>
      </c>
      <c r="E226" s="3" t="str">
        <f>IF(SortedPieces!$E222="","",SortedPieces!$E222)</f>
        <v/>
      </c>
      <c r="F226" s="4" t="str">
        <f>IF($B226="","",IF($C226&lt;=$O226,$C226,IF(AND($E226="Y",$D226&lt;=$O226),$D226,IF(AND($E226="Y",$D226&lt;=Inputs!$B$15,$C226&lt;=Inputs!$B$15),IF($C226&lt;$D226,$D226,$C226),IF(AND($E226="Y",$D226&lt;=Inputs!$B$15),$D226,$C226)))))</f>
        <v/>
      </c>
      <c r="G226" s="4" t="str">
        <f>IF($B226="","",IF($C226&lt;=$O226,$D226,IF(AND($E226="Y",$D226&lt;=$O226),$C226,IF(AND($E226="Y",$D226&lt;=Inputs!$B$15,$C226&lt;=Inputs!$B$15),IF($C226&lt;$D226,$C226,$D226),IF(AND($E226="Y",$D226&lt;=Inputs!$B$15),$C226,$D226)))))</f>
        <v/>
      </c>
      <c r="H226" s="3" t="str">
        <f t="shared" si="27"/>
        <v/>
      </c>
      <c r="I226" s="4" t="str">
        <f t="shared" si="29"/>
        <v/>
      </c>
      <c r="J226" s="4" t="str">
        <f t="shared" si="30"/>
        <v/>
      </c>
      <c r="K226" s="4" t="str">
        <f t="shared" si="31"/>
        <v/>
      </c>
      <c r="L226" s="4" t="str">
        <f t="shared" si="32"/>
        <v/>
      </c>
      <c r="M226" s="4" t="str">
        <f t="shared" si="28"/>
        <v/>
      </c>
      <c r="N226" s="4" t="str">
        <f t="shared" si="33"/>
        <v/>
      </c>
      <c r="O226" s="4" t="str">
        <f>IF($B226="","",Inputs!$B$15-$M225)</f>
        <v/>
      </c>
      <c r="P226" s="3" t="str">
        <f t="shared" si="34"/>
        <v/>
      </c>
      <c r="Q226" s="3" t="str">
        <f t="shared" si="35"/>
        <v/>
      </c>
      <c r="R226" s="3" t="str">
        <f>IF($B226="","",IF($Q226,($L225+$N225+$G226)&gt;Inputs!$B$16,FALSE))</f>
        <v/>
      </c>
      <c r="S226" s="3" t="str">
        <f>IF($B226="","",IF(OR($F226&gt;Inputs!$B$15,$G226&gt;Inputs!$B$16),"TOO BIG",IF($R226,"NEW SHEET",IF($Q226,"NEW ROW","OK"))))</f>
        <v/>
      </c>
    </row>
    <row r="227" spans="1:19" x14ac:dyDescent="0.2">
      <c r="A227" s="4">
        <v>221</v>
      </c>
      <c r="B227" s="3" t="str">
        <f>IF(SortedPieces!$B223="","",SortedPieces!$B223)</f>
        <v/>
      </c>
      <c r="C227" s="4" t="str">
        <f>IF(SortedPieces!$C223="","",SortedPieces!$C223)</f>
        <v/>
      </c>
      <c r="D227" s="4" t="str">
        <f>IF(SortedPieces!$D223="","",SortedPieces!$D223)</f>
        <v/>
      </c>
      <c r="E227" s="3" t="str">
        <f>IF(SortedPieces!$E223="","",SortedPieces!$E223)</f>
        <v/>
      </c>
      <c r="F227" s="4" t="str">
        <f>IF($B227="","",IF($C227&lt;=$O227,$C227,IF(AND($E227="Y",$D227&lt;=$O227),$D227,IF(AND($E227="Y",$D227&lt;=Inputs!$B$15,$C227&lt;=Inputs!$B$15),IF($C227&lt;$D227,$D227,$C227),IF(AND($E227="Y",$D227&lt;=Inputs!$B$15),$D227,$C227)))))</f>
        <v/>
      </c>
      <c r="G227" s="4" t="str">
        <f>IF($B227="","",IF($C227&lt;=$O227,$D227,IF(AND($E227="Y",$D227&lt;=$O227),$C227,IF(AND($E227="Y",$D227&lt;=Inputs!$B$15,$C227&lt;=Inputs!$B$15),IF($C227&lt;$D227,$C227,$D227),IF(AND($E227="Y",$D227&lt;=Inputs!$B$15),$C227,$D227)))))</f>
        <v/>
      </c>
      <c r="H227" s="3" t="str">
        <f t="shared" si="27"/>
        <v/>
      </c>
      <c r="I227" s="4" t="str">
        <f t="shared" si="29"/>
        <v/>
      </c>
      <c r="J227" s="4" t="str">
        <f t="shared" si="30"/>
        <v/>
      </c>
      <c r="K227" s="4" t="str">
        <f t="shared" si="31"/>
        <v/>
      </c>
      <c r="L227" s="4" t="str">
        <f t="shared" si="32"/>
        <v/>
      </c>
      <c r="M227" s="4" t="str">
        <f t="shared" si="28"/>
        <v/>
      </c>
      <c r="N227" s="4" t="str">
        <f t="shared" si="33"/>
        <v/>
      </c>
      <c r="O227" s="4" t="str">
        <f>IF($B227="","",Inputs!$B$15-$M226)</f>
        <v/>
      </c>
      <c r="P227" s="3" t="str">
        <f t="shared" si="34"/>
        <v/>
      </c>
      <c r="Q227" s="3" t="str">
        <f t="shared" si="35"/>
        <v/>
      </c>
      <c r="R227" s="3" t="str">
        <f>IF($B227="","",IF($Q227,($L226+$N226+$G227)&gt;Inputs!$B$16,FALSE))</f>
        <v/>
      </c>
      <c r="S227" s="3" t="str">
        <f>IF($B227="","",IF(OR($F227&gt;Inputs!$B$15,$G227&gt;Inputs!$B$16),"TOO BIG",IF($R227,"NEW SHEET",IF($Q227,"NEW ROW","OK"))))</f>
        <v/>
      </c>
    </row>
    <row r="228" spans="1:19" x14ac:dyDescent="0.2">
      <c r="A228" s="4">
        <v>222</v>
      </c>
      <c r="B228" s="3" t="str">
        <f>IF(SortedPieces!$B224="","",SortedPieces!$B224)</f>
        <v/>
      </c>
      <c r="C228" s="4" t="str">
        <f>IF(SortedPieces!$C224="","",SortedPieces!$C224)</f>
        <v/>
      </c>
      <c r="D228" s="4" t="str">
        <f>IF(SortedPieces!$D224="","",SortedPieces!$D224)</f>
        <v/>
      </c>
      <c r="E228" s="3" t="str">
        <f>IF(SortedPieces!$E224="","",SortedPieces!$E224)</f>
        <v/>
      </c>
      <c r="F228" s="4" t="str">
        <f>IF($B228="","",IF($C228&lt;=$O228,$C228,IF(AND($E228="Y",$D228&lt;=$O228),$D228,IF(AND($E228="Y",$D228&lt;=Inputs!$B$15,$C228&lt;=Inputs!$B$15),IF($C228&lt;$D228,$D228,$C228),IF(AND($E228="Y",$D228&lt;=Inputs!$B$15),$D228,$C228)))))</f>
        <v/>
      </c>
      <c r="G228" s="4" t="str">
        <f>IF($B228="","",IF($C228&lt;=$O228,$D228,IF(AND($E228="Y",$D228&lt;=$O228),$C228,IF(AND($E228="Y",$D228&lt;=Inputs!$B$15,$C228&lt;=Inputs!$B$15),IF($C228&lt;$D228,$C228,$D228),IF(AND($E228="Y",$D228&lt;=Inputs!$B$15),$C228,$D228)))))</f>
        <v/>
      </c>
      <c r="H228" s="3" t="str">
        <f t="shared" si="27"/>
        <v/>
      </c>
      <c r="I228" s="4" t="str">
        <f t="shared" si="29"/>
        <v/>
      </c>
      <c r="J228" s="4" t="str">
        <f t="shared" si="30"/>
        <v/>
      </c>
      <c r="K228" s="4" t="str">
        <f t="shared" si="31"/>
        <v/>
      </c>
      <c r="L228" s="4" t="str">
        <f t="shared" si="32"/>
        <v/>
      </c>
      <c r="M228" s="4" t="str">
        <f t="shared" si="28"/>
        <v/>
      </c>
      <c r="N228" s="4" t="str">
        <f t="shared" si="33"/>
        <v/>
      </c>
      <c r="O228" s="4" t="str">
        <f>IF($B228="","",Inputs!$B$15-$M227)</f>
        <v/>
      </c>
      <c r="P228" s="3" t="str">
        <f t="shared" si="34"/>
        <v/>
      </c>
      <c r="Q228" s="3" t="str">
        <f t="shared" si="35"/>
        <v/>
      </c>
      <c r="R228" s="3" t="str">
        <f>IF($B228="","",IF($Q228,($L227+$N227+$G228)&gt;Inputs!$B$16,FALSE))</f>
        <v/>
      </c>
      <c r="S228" s="3" t="str">
        <f>IF($B228="","",IF(OR($F228&gt;Inputs!$B$15,$G228&gt;Inputs!$B$16),"TOO BIG",IF($R228,"NEW SHEET",IF($Q228,"NEW ROW","OK"))))</f>
        <v/>
      </c>
    </row>
    <row r="229" spans="1:19" x14ac:dyDescent="0.2">
      <c r="A229" s="4">
        <v>223</v>
      </c>
      <c r="B229" s="3" t="str">
        <f>IF(SortedPieces!$B225="","",SortedPieces!$B225)</f>
        <v/>
      </c>
      <c r="C229" s="4" t="str">
        <f>IF(SortedPieces!$C225="","",SortedPieces!$C225)</f>
        <v/>
      </c>
      <c r="D229" s="4" t="str">
        <f>IF(SortedPieces!$D225="","",SortedPieces!$D225)</f>
        <v/>
      </c>
      <c r="E229" s="3" t="str">
        <f>IF(SortedPieces!$E225="","",SortedPieces!$E225)</f>
        <v/>
      </c>
      <c r="F229" s="4" t="str">
        <f>IF($B229="","",IF($C229&lt;=$O229,$C229,IF(AND($E229="Y",$D229&lt;=$O229),$D229,IF(AND($E229="Y",$D229&lt;=Inputs!$B$15,$C229&lt;=Inputs!$B$15),IF($C229&lt;$D229,$D229,$C229),IF(AND($E229="Y",$D229&lt;=Inputs!$B$15),$D229,$C229)))))</f>
        <v/>
      </c>
      <c r="G229" s="4" t="str">
        <f>IF($B229="","",IF($C229&lt;=$O229,$D229,IF(AND($E229="Y",$D229&lt;=$O229),$C229,IF(AND($E229="Y",$D229&lt;=Inputs!$B$15,$C229&lt;=Inputs!$B$15),IF($C229&lt;$D229,$C229,$D229),IF(AND($E229="Y",$D229&lt;=Inputs!$B$15),$C229,$D229)))))</f>
        <v/>
      </c>
      <c r="H229" s="3" t="str">
        <f t="shared" si="27"/>
        <v/>
      </c>
      <c r="I229" s="4" t="str">
        <f t="shared" si="29"/>
        <v/>
      </c>
      <c r="J229" s="4" t="str">
        <f t="shared" si="30"/>
        <v/>
      </c>
      <c r="K229" s="4" t="str">
        <f t="shared" si="31"/>
        <v/>
      </c>
      <c r="L229" s="4" t="str">
        <f t="shared" si="32"/>
        <v/>
      </c>
      <c r="M229" s="4" t="str">
        <f t="shared" si="28"/>
        <v/>
      </c>
      <c r="N229" s="4" t="str">
        <f t="shared" si="33"/>
        <v/>
      </c>
      <c r="O229" s="4" t="str">
        <f>IF($B229="","",Inputs!$B$15-$M228)</f>
        <v/>
      </c>
      <c r="P229" s="3" t="str">
        <f t="shared" si="34"/>
        <v/>
      </c>
      <c r="Q229" s="3" t="str">
        <f t="shared" si="35"/>
        <v/>
      </c>
      <c r="R229" s="3" t="str">
        <f>IF($B229="","",IF($Q229,($L228+$N228+$G229)&gt;Inputs!$B$16,FALSE))</f>
        <v/>
      </c>
      <c r="S229" s="3" t="str">
        <f>IF($B229="","",IF(OR($F229&gt;Inputs!$B$15,$G229&gt;Inputs!$B$16),"TOO BIG",IF($R229,"NEW SHEET",IF($Q229,"NEW ROW","OK"))))</f>
        <v/>
      </c>
    </row>
    <row r="230" spans="1:19" x14ac:dyDescent="0.2">
      <c r="A230" s="4">
        <v>224</v>
      </c>
      <c r="B230" s="3" t="str">
        <f>IF(SortedPieces!$B226="","",SortedPieces!$B226)</f>
        <v/>
      </c>
      <c r="C230" s="4" t="str">
        <f>IF(SortedPieces!$C226="","",SortedPieces!$C226)</f>
        <v/>
      </c>
      <c r="D230" s="4" t="str">
        <f>IF(SortedPieces!$D226="","",SortedPieces!$D226)</f>
        <v/>
      </c>
      <c r="E230" s="3" t="str">
        <f>IF(SortedPieces!$E226="","",SortedPieces!$E226)</f>
        <v/>
      </c>
      <c r="F230" s="4" t="str">
        <f>IF($B230="","",IF($C230&lt;=$O230,$C230,IF(AND($E230="Y",$D230&lt;=$O230),$D230,IF(AND($E230="Y",$D230&lt;=Inputs!$B$15,$C230&lt;=Inputs!$B$15),IF($C230&lt;$D230,$D230,$C230),IF(AND($E230="Y",$D230&lt;=Inputs!$B$15),$D230,$C230)))))</f>
        <v/>
      </c>
      <c r="G230" s="4" t="str">
        <f>IF($B230="","",IF($C230&lt;=$O230,$D230,IF(AND($E230="Y",$D230&lt;=$O230),$C230,IF(AND($E230="Y",$D230&lt;=Inputs!$B$15,$C230&lt;=Inputs!$B$15),IF($C230&lt;$D230,$C230,$D230),IF(AND($E230="Y",$D230&lt;=Inputs!$B$15),$C230,$D230)))))</f>
        <v/>
      </c>
      <c r="H230" s="3" t="str">
        <f t="shared" si="27"/>
        <v/>
      </c>
      <c r="I230" s="4" t="str">
        <f t="shared" si="29"/>
        <v/>
      </c>
      <c r="J230" s="4" t="str">
        <f t="shared" si="30"/>
        <v/>
      </c>
      <c r="K230" s="4" t="str">
        <f t="shared" si="31"/>
        <v/>
      </c>
      <c r="L230" s="4" t="str">
        <f t="shared" si="32"/>
        <v/>
      </c>
      <c r="M230" s="4" t="str">
        <f t="shared" si="28"/>
        <v/>
      </c>
      <c r="N230" s="4" t="str">
        <f t="shared" si="33"/>
        <v/>
      </c>
      <c r="O230" s="4" t="str">
        <f>IF($B230="","",Inputs!$B$15-$M229)</f>
        <v/>
      </c>
      <c r="P230" s="3" t="str">
        <f t="shared" si="34"/>
        <v/>
      </c>
      <c r="Q230" s="3" t="str">
        <f t="shared" si="35"/>
        <v/>
      </c>
      <c r="R230" s="3" t="str">
        <f>IF($B230="","",IF($Q230,($L229+$N229+$G230)&gt;Inputs!$B$16,FALSE))</f>
        <v/>
      </c>
      <c r="S230" s="3" t="str">
        <f>IF($B230="","",IF(OR($F230&gt;Inputs!$B$15,$G230&gt;Inputs!$B$16),"TOO BIG",IF($R230,"NEW SHEET",IF($Q230,"NEW ROW","OK"))))</f>
        <v/>
      </c>
    </row>
    <row r="231" spans="1:19" x14ac:dyDescent="0.2">
      <c r="A231" s="4">
        <v>225</v>
      </c>
      <c r="B231" s="3" t="str">
        <f>IF(SortedPieces!$B227="","",SortedPieces!$B227)</f>
        <v/>
      </c>
      <c r="C231" s="4" t="str">
        <f>IF(SortedPieces!$C227="","",SortedPieces!$C227)</f>
        <v/>
      </c>
      <c r="D231" s="4" t="str">
        <f>IF(SortedPieces!$D227="","",SortedPieces!$D227)</f>
        <v/>
      </c>
      <c r="E231" s="3" t="str">
        <f>IF(SortedPieces!$E227="","",SortedPieces!$E227)</f>
        <v/>
      </c>
      <c r="F231" s="4" t="str">
        <f>IF($B231="","",IF($C231&lt;=$O231,$C231,IF(AND($E231="Y",$D231&lt;=$O231),$D231,IF(AND($E231="Y",$D231&lt;=Inputs!$B$15,$C231&lt;=Inputs!$B$15),IF($C231&lt;$D231,$D231,$C231),IF(AND($E231="Y",$D231&lt;=Inputs!$B$15),$D231,$C231)))))</f>
        <v/>
      </c>
      <c r="G231" s="4" t="str">
        <f>IF($B231="","",IF($C231&lt;=$O231,$D231,IF(AND($E231="Y",$D231&lt;=$O231),$C231,IF(AND($E231="Y",$D231&lt;=Inputs!$B$15,$C231&lt;=Inputs!$B$15),IF($C231&lt;$D231,$C231,$D231),IF(AND($E231="Y",$D231&lt;=Inputs!$B$15),$C231,$D231)))))</f>
        <v/>
      </c>
      <c r="H231" s="3" t="str">
        <f t="shared" si="27"/>
        <v/>
      </c>
      <c r="I231" s="4" t="str">
        <f t="shared" si="29"/>
        <v/>
      </c>
      <c r="J231" s="4" t="str">
        <f t="shared" si="30"/>
        <v/>
      </c>
      <c r="K231" s="4" t="str">
        <f t="shared" si="31"/>
        <v/>
      </c>
      <c r="L231" s="4" t="str">
        <f t="shared" si="32"/>
        <v/>
      </c>
      <c r="M231" s="4" t="str">
        <f t="shared" si="28"/>
        <v/>
      </c>
      <c r="N231" s="4" t="str">
        <f t="shared" si="33"/>
        <v/>
      </c>
      <c r="O231" s="4" t="str">
        <f>IF($B231="","",Inputs!$B$15-$M230)</f>
        <v/>
      </c>
      <c r="P231" s="3" t="str">
        <f t="shared" si="34"/>
        <v/>
      </c>
      <c r="Q231" s="3" t="str">
        <f t="shared" si="35"/>
        <v/>
      </c>
      <c r="R231" s="3" t="str">
        <f>IF($B231="","",IF($Q231,($L230+$N230+$G231)&gt;Inputs!$B$16,FALSE))</f>
        <v/>
      </c>
      <c r="S231" s="3" t="str">
        <f>IF($B231="","",IF(OR($F231&gt;Inputs!$B$15,$G231&gt;Inputs!$B$16),"TOO BIG",IF($R231,"NEW SHEET",IF($Q231,"NEW ROW","OK"))))</f>
        <v/>
      </c>
    </row>
    <row r="232" spans="1:19" x14ac:dyDescent="0.2">
      <c r="A232" s="4">
        <v>226</v>
      </c>
      <c r="B232" s="3" t="str">
        <f>IF(SortedPieces!$B228="","",SortedPieces!$B228)</f>
        <v/>
      </c>
      <c r="C232" s="4" t="str">
        <f>IF(SortedPieces!$C228="","",SortedPieces!$C228)</f>
        <v/>
      </c>
      <c r="D232" s="4" t="str">
        <f>IF(SortedPieces!$D228="","",SortedPieces!$D228)</f>
        <v/>
      </c>
      <c r="E232" s="3" t="str">
        <f>IF(SortedPieces!$E228="","",SortedPieces!$E228)</f>
        <v/>
      </c>
      <c r="F232" s="4" t="str">
        <f>IF($B232="","",IF($C232&lt;=$O232,$C232,IF(AND($E232="Y",$D232&lt;=$O232),$D232,IF(AND($E232="Y",$D232&lt;=Inputs!$B$15,$C232&lt;=Inputs!$B$15),IF($C232&lt;$D232,$D232,$C232),IF(AND($E232="Y",$D232&lt;=Inputs!$B$15),$D232,$C232)))))</f>
        <v/>
      </c>
      <c r="G232" s="4" t="str">
        <f>IF($B232="","",IF($C232&lt;=$O232,$D232,IF(AND($E232="Y",$D232&lt;=$O232),$C232,IF(AND($E232="Y",$D232&lt;=Inputs!$B$15,$C232&lt;=Inputs!$B$15),IF($C232&lt;$D232,$C232,$D232),IF(AND($E232="Y",$D232&lt;=Inputs!$B$15),$C232,$D232)))))</f>
        <v/>
      </c>
      <c r="H232" s="3" t="str">
        <f t="shared" si="27"/>
        <v/>
      </c>
      <c r="I232" s="4" t="str">
        <f t="shared" si="29"/>
        <v/>
      </c>
      <c r="J232" s="4" t="str">
        <f t="shared" si="30"/>
        <v/>
      </c>
      <c r="K232" s="4" t="str">
        <f t="shared" si="31"/>
        <v/>
      </c>
      <c r="L232" s="4" t="str">
        <f t="shared" si="32"/>
        <v/>
      </c>
      <c r="M232" s="4" t="str">
        <f t="shared" si="28"/>
        <v/>
      </c>
      <c r="N232" s="4" t="str">
        <f t="shared" si="33"/>
        <v/>
      </c>
      <c r="O232" s="4" t="str">
        <f>IF($B232="","",Inputs!$B$15-$M231)</f>
        <v/>
      </c>
      <c r="P232" s="3" t="str">
        <f t="shared" si="34"/>
        <v/>
      </c>
      <c r="Q232" s="3" t="str">
        <f t="shared" si="35"/>
        <v/>
      </c>
      <c r="R232" s="3" t="str">
        <f>IF($B232="","",IF($Q232,($L231+$N231+$G232)&gt;Inputs!$B$16,FALSE))</f>
        <v/>
      </c>
      <c r="S232" s="3" t="str">
        <f>IF($B232="","",IF(OR($F232&gt;Inputs!$B$15,$G232&gt;Inputs!$B$16),"TOO BIG",IF($R232,"NEW SHEET",IF($Q232,"NEW ROW","OK"))))</f>
        <v/>
      </c>
    </row>
    <row r="233" spans="1:19" x14ac:dyDescent="0.2">
      <c r="A233" s="4">
        <v>227</v>
      </c>
      <c r="B233" s="3" t="str">
        <f>IF(SortedPieces!$B229="","",SortedPieces!$B229)</f>
        <v/>
      </c>
      <c r="C233" s="4" t="str">
        <f>IF(SortedPieces!$C229="","",SortedPieces!$C229)</f>
        <v/>
      </c>
      <c r="D233" s="4" t="str">
        <f>IF(SortedPieces!$D229="","",SortedPieces!$D229)</f>
        <v/>
      </c>
      <c r="E233" s="3" t="str">
        <f>IF(SortedPieces!$E229="","",SortedPieces!$E229)</f>
        <v/>
      </c>
      <c r="F233" s="4" t="str">
        <f>IF($B233="","",IF($C233&lt;=$O233,$C233,IF(AND($E233="Y",$D233&lt;=$O233),$D233,IF(AND($E233="Y",$D233&lt;=Inputs!$B$15,$C233&lt;=Inputs!$B$15),IF($C233&lt;$D233,$D233,$C233),IF(AND($E233="Y",$D233&lt;=Inputs!$B$15),$D233,$C233)))))</f>
        <v/>
      </c>
      <c r="G233" s="4" t="str">
        <f>IF($B233="","",IF($C233&lt;=$O233,$D233,IF(AND($E233="Y",$D233&lt;=$O233),$C233,IF(AND($E233="Y",$D233&lt;=Inputs!$B$15,$C233&lt;=Inputs!$B$15),IF($C233&lt;$D233,$C233,$D233),IF(AND($E233="Y",$D233&lt;=Inputs!$B$15),$C233,$D233)))))</f>
        <v/>
      </c>
      <c r="H233" s="3" t="str">
        <f t="shared" si="27"/>
        <v/>
      </c>
      <c r="I233" s="4" t="str">
        <f t="shared" si="29"/>
        <v/>
      </c>
      <c r="J233" s="4" t="str">
        <f t="shared" si="30"/>
        <v/>
      </c>
      <c r="K233" s="4" t="str">
        <f t="shared" si="31"/>
        <v/>
      </c>
      <c r="L233" s="4" t="str">
        <f t="shared" si="32"/>
        <v/>
      </c>
      <c r="M233" s="4" t="str">
        <f t="shared" si="28"/>
        <v/>
      </c>
      <c r="N233" s="4" t="str">
        <f t="shared" si="33"/>
        <v/>
      </c>
      <c r="O233" s="4" t="str">
        <f>IF($B233="","",Inputs!$B$15-$M232)</f>
        <v/>
      </c>
      <c r="P233" s="3" t="str">
        <f t="shared" si="34"/>
        <v/>
      </c>
      <c r="Q233" s="3" t="str">
        <f t="shared" si="35"/>
        <v/>
      </c>
      <c r="R233" s="3" t="str">
        <f>IF($B233="","",IF($Q233,($L232+$N232+$G233)&gt;Inputs!$B$16,FALSE))</f>
        <v/>
      </c>
      <c r="S233" s="3" t="str">
        <f>IF($B233="","",IF(OR($F233&gt;Inputs!$B$15,$G233&gt;Inputs!$B$16),"TOO BIG",IF($R233,"NEW SHEET",IF($Q233,"NEW ROW","OK"))))</f>
        <v/>
      </c>
    </row>
    <row r="234" spans="1:19" x14ac:dyDescent="0.2">
      <c r="A234" s="4">
        <v>228</v>
      </c>
      <c r="B234" s="3" t="str">
        <f>IF(SortedPieces!$B230="","",SortedPieces!$B230)</f>
        <v/>
      </c>
      <c r="C234" s="4" t="str">
        <f>IF(SortedPieces!$C230="","",SortedPieces!$C230)</f>
        <v/>
      </c>
      <c r="D234" s="4" t="str">
        <f>IF(SortedPieces!$D230="","",SortedPieces!$D230)</f>
        <v/>
      </c>
      <c r="E234" s="3" t="str">
        <f>IF(SortedPieces!$E230="","",SortedPieces!$E230)</f>
        <v/>
      </c>
      <c r="F234" s="4" t="str">
        <f>IF($B234="","",IF($C234&lt;=$O234,$C234,IF(AND($E234="Y",$D234&lt;=$O234),$D234,IF(AND($E234="Y",$D234&lt;=Inputs!$B$15,$C234&lt;=Inputs!$B$15),IF($C234&lt;$D234,$D234,$C234),IF(AND($E234="Y",$D234&lt;=Inputs!$B$15),$D234,$C234)))))</f>
        <v/>
      </c>
      <c r="G234" s="4" t="str">
        <f>IF($B234="","",IF($C234&lt;=$O234,$D234,IF(AND($E234="Y",$D234&lt;=$O234),$C234,IF(AND($E234="Y",$D234&lt;=Inputs!$B$15,$C234&lt;=Inputs!$B$15),IF($C234&lt;$D234,$C234,$D234),IF(AND($E234="Y",$D234&lt;=Inputs!$B$15),$C234,$D234)))))</f>
        <v/>
      </c>
      <c r="H234" s="3" t="str">
        <f t="shared" si="27"/>
        <v/>
      </c>
      <c r="I234" s="4" t="str">
        <f t="shared" si="29"/>
        <v/>
      </c>
      <c r="J234" s="4" t="str">
        <f t="shared" si="30"/>
        <v/>
      </c>
      <c r="K234" s="4" t="str">
        <f t="shared" si="31"/>
        <v/>
      </c>
      <c r="L234" s="4" t="str">
        <f t="shared" si="32"/>
        <v/>
      </c>
      <c r="M234" s="4" t="str">
        <f t="shared" si="28"/>
        <v/>
      </c>
      <c r="N234" s="4" t="str">
        <f t="shared" si="33"/>
        <v/>
      </c>
      <c r="O234" s="4" t="str">
        <f>IF($B234="","",Inputs!$B$15-$M233)</f>
        <v/>
      </c>
      <c r="P234" s="3" t="str">
        <f t="shared" si="34"/>
        <v/>
      </c>
      <c r="Q234" s="3" t="str">
        <f t="shared" si="35"/>
        <v/>
      </c>
      <c r="R234" s="3" t="str">
        <f>IF($B234="","",IF($Q234,($L233+$N233+$G234)&gt;Inputs!$B$16,FALSE))</f>
        <v/>
      </c>
      <c r="S234" s="3" t="str">
        <f>IF($B234="","",IF(OR($F234&gt;Inputs!$B$15,$G234&gt;Inputs!$B$16),"TOO BIG",IF($R234,"NEW SHEET",IF($Q234,"NEW ROW","OK"))))</f>
        <v/>
      </c>
    </row>
    <row r="235" spans="1:19" x14ac:dyDescent="0.2">
      <c r="A235" s="4">
        <v>229</v>
      </c>
      <c r="B235" s="3" t="str">
        <f>IF(SortedPieces!$B231="","",SortedPieces!$B231)</f>
        <v/>
      </c>
      <c r="C235" s="4" t="str">
        <f>IF(SortedPieces!$C231="","",SortedPieces!$C231)</f>
        <v/>
      </c>
      <c r="D235" s="4" t="str">
        <f>IF(SortedPieces!$D231="","",SortedPieces!$D231)</f>
        <v/>
      </c>
      <c r="E235" s="3" t="str">
        <f>IF(SortedPieces!$E231="","",SortedPieces!$E231)</f>
        <v/>
      </c>
      <c r="F235" s="4" t="str">
        <f>IF($B235="","",IF($C235&lt;=$O235,$C235,IF(AND($E235="Y",$D235&lt;=$O235),$D235,IF(AND($E235="Y",$D235&lt;=Inputs!$B$15,$C235&lt;=Inputs!$B$15),IF($C235&lt;$D235,$D235,$C235),IF(AND($E235="Y",$D235&lt;=Inputs!$B$15),$D235,$C235)))))</f>
        <v/>
      </c>
      <c r="G235" s="4" t="str">
        <f>IF($B235="","",IF($C235&lt;=$O235,$D235,IF(AND($E235="Y",$D235&lt;=$O235),$C235,IF(AND($E235="Y",$D235&lt;=Inputs!$B$15,$C235&lt;=Inputs!$B$15),IF($C235&lt;$D235,$C235,$D235),IF(AND($E235="Y",$D235&lt;=Inputs!$B$15),$C235,$D235)))))</f>
        <v/>
      </c>
      <c r="H235" s="3" t="str">
        <f t="shared" si="27"/>
        <v/>
      </c>
      <c r="I235" s="4" t="str">
        <f t="shared" si="29"/>
        <v/>
      </c>
      <c r="J235" s="4" t="str">
        <f t="shared" si="30"/>
        <v/>
      </c>
      <c r="K235" s="4" t="str">
        <f t="shared" si="31"/>
        <v/>
      </c>
      <c r="L235" s="4" t="str">
        <f t="shared" si="32"/>
        <v/>
      </c>
      <c r="M235" s="4" t="str">
        <f t="shared" si="28"/>
        <v/>
      </c>
      <c r="N235" s="4" t="str">
        <f t="shared" si="33"/>
        <v/>
      </c>
      <c r="O235" s="4" t="str">
        <f>IF($B235="","",Inputs!$B$15-$M234)</f>
        <v/>
      </c>
      <c r="P235" s="3" t="str">
        <f t="shared" si="34"/>
        <v/>
      </c>
      <c r="Q235" s="3" t="str">
        <f t="shared" si="35"/>
        <v/>
      </c>
      <c r="R235" s="3" t="str">
        <f>IF($B235="","",IF($Q235,($L234+$N234+$G235)&gt;Inputs!$B$16,FALSE))</f>
        <v/>
      </c>
      <c r="S235" s="3" t="str">
        <f>IF($B235="","",IF(OR($F235&gt;Inputs!$B$15,$G235&gt;Inputs!$B$16),"TOO BIG",IF($R235,"NEW SHEET",IF($Q235,"NEW ROW","OK"))))</f>
        <v/>
      </c>
    </row>
    <row r="236" spans="1:19" x14ac:dyDescent="0.2">
      <c r="A236" s="4">
        <v>230</v>
      </c>
      <c r="B236" s="3" t="str">
        <f>IF(SortedPieces!$B232="","",SortedPieces!$B232)</f>
        <v/>
      </c>
      <c r="C236" s="4" t="str">
        <f>IF(SortedPieces!$C232="","",SortedPieces!$C232)</f>
        <v/>
      </c>
      <c r="D236" s="4" t="str">
        <f>IF(SortedPieces!$D232="","",SortedPieces!$D232)</f>
        <v/>
      </c>
      <c r="E236" s="3" t="str">
        <f>IF(SortedPieces!$E232="","",SortedPieces!$E232)</f>
        <v/>
      </c>
      <c r="F236" s="4" t="str">
        <f>IF($B236="","",IF($C236&lt;=$O236,$C236,IF(AND($E236="Y",$D236&lt;=$O236),$D236,IF(AND($E236="Y",$D236&lt;=Inputs!$B$15,$C236&lt;=Inputs!$B$15),IF($C236&lt;$D236,$D236,$C236),IF(AND($E236="Y",$D236&lt;=Inputs!$B$15),$D236,$C236)))))</f>
        <v/>
      </c>
      <c r="G236" s="4" t="str">
        <f>IF($B236="","",IF($C236&lt;=$O236,$D236,IF(AND($E236="Y",$D236&lt;=$O236),$C236,IF(AND($E236="Y",$D236&lt;=Inputs!$B$15,$C236&lt;=Inputs!$B$15),IF($C236&lt;$D236,$C236,$D236),IF(AND($E236="Y",$D236&lt;=Inputs!$B$15),$C236,$D236)))))</f>
        <v/>
      </c>
      <c r="H236" s="3" t="str">
        <f t="shared" si="27"/>
        <v/>
      </c>
      <c r="I236" s="4" t="str">
        <f t="shared" si="29"/>
        <v/>
      </c>
      <c r="J236" s="4" t="str">
        <f t="shared" si="30"/>
        <v/>
      </c>
      <c r="K236" s="4" t="str">
        <f t="shared" si="31"/>
        <v/>
      </c>
      <c r="L236" s="4" t="str">
        <f t="shared" si="32"/>
        <v/>
      </c>
      <c r="M236" s="4" t="str">
        <f t="shared" si="28"/>
        <v/>
      </c>
      <c r="N236" s="4" t="str">
        <f t="shared" si="33"/>
        <v/>
      </c>
      <c r="O236" s="4" t="str">
        <f>IF($B236="","",Inputs!$B$15-$M235)</f>
        <v/>
      </c>
      <c r="P236" s="3" t="str">
        <f t="shared" si="34"/>
        <v/>
      </c>
      <c r="Q236" s="3" t="str">
        <f t="shared" si="35"/>
        <v/>
      </c>
      <c r="R236" s="3" t="str">
        <f>IF($B236="","",IF($Q236,($L235+$N235+$G236)&gt;Inputs!$B$16,FALSE))</f>
        <v/>
      </c>
      <c r="S236" s="3" t="str">
        <f>IF($B236="","",IF(OR($F236&gt;Inputs!$B$15,$G236&gt;Inputs!$B$16),"TOO BIG",IF($R236,"NEW SHEET",IF($Q236,"NEW ROW","OK"))))</f>
        <v/>
      </c>
    </row>
    <row r="237" spans="1:19" x14ac:dyDescent="0.2">
      <c r="A237" s="4">
        <v>231</v>
      </c>
      <c r="B237" s="3" t="str">
        <f>IF(SortedPieces!$B233="","",SortedPieces!$B233)</f>
        <v/>
      </c>
      <c r="C237" s="4" t="str">
        <f>IF(SortedPieces!$C233="","",SortedPieces!$C233)</f>
        <v/>
      </c>
      <c r="D237" s="4" t="str">
        <f>IF(SortedPieces!$D233="","",SortedPieces!$D233)</f>
        <v/>
      </c>
      <c r="E237" s="3" t="str">
        <f>IF(SortedPieces!$E233="","",SortedPieces!$E233)</f>
        <v/>
      </c>
      <c r="F237" s="4" t="str">
        <f>IF($B237="","",IF($C237&lt;=$O237,$C237,IF(AND($E237="Y",$D237&lt;=$O237),$D237,IF(AND($E237="Y",$D237&lt;=Inputs!$B$15,$C237&lt;=Inputs!$B$15),IF($C237&lt;$D237,$D237,$C237),IF(AND($E237="Y",$D237&lt;=Inputs!$B$15),$D237,$C237)))))</f>
        <v/>
      </c>
      <c r="G237" s="4" t="str">
        <f>IF($B237="","",IF($C237&lt;=$O237,$D237,IF(AND($E237="Y",$D237&lt;=$O237),$C237,IF(AND($E237="Y",$D237&lt;=Inputs!$B$15,$C237&lt;=Inputs!$B$15),IF($C237&lt;$D237,$C237,$D237),IF(AND($E237="Y",$D237&lt;=Inputs!$B$15),$C237,$D237)))))</f>
        <v/>
      </c>
      <c r="H237" s="3" t="str">
        <f t="shared" si="27"/>
        <v/>
      </c>
      <c r="I237" s="4" t="str">
        <f t="shared" si="29"/>
        <v/>
      </c>
      <c r="J237" s="4" t="str">
        <f t="shared" si="30"/>
        <v/>
      </c>
      <c r="K237" s="4" t="str">
        <f t="shared" si="31"/>
        <v/>
      </c>
      <c r="L237" s="4" t="str">
        <f t="shared" si="32"/>
        <v/>
      </c>
      <c r="M237" s="4" t="str">
        <f t="shared" si="28"/>
        <v/>
      </c>
      <c r="N237" s="4" t="str">
        <f t="shared" si="33"/>
        <v/>
      </c>
      <c r="O237" s="4" t="str">
        <f>IF($B237="","",Inputs!$B$15-$M236)</f>
        <v/>
      </c>
      <c r="P237" s="3" t="str">
        <f t="shared" si="34"/>
        <v/>
      </c>
      <c r="Q237" s="3" t="str">
        <f t="shared" si="35"/>
        <v/>
      </c>
      <c r="R237" s="3" t="str">
        <f>IF($B237="","",IF($Q237,($L236+$N236+$G237)&gt;Inputs!$B$16,FALSE))</f>
        <v/>
      </c>
      <c r="S237" s="3" t="str">
        <f>IF($B237="","",IF(OR($F237&gt;Inputs!$B$15,$G237&gt;Inputs!$B$16),"TOO BIG",IF($R237,"NEW SHEET",IF($Q237,"NEW ROW","OK"))))</f>
        <v/>
      </c>
    </row>
    <row r="238" spans="1:19" x14ac:dyDescent="0.2">
      <c r="A238" s="4">
        <v>232</v>
      </c>
      <c r="B238" s="3" t="str">
        <f>IF(SortedPieces!$B234="","",SortedPieces!$B234)</f>
        <v/>
      </c>
      <c r="C238" s="4" t="str">
        <f>IF(SortedPieces!$C234="","",SortedPieces!$C234)</f>
        <v/>
      </c>
      <c r="D238" s="4" t="str">
        <f>IF(SortedPieces!$D234="","",SortedPieces!$D234)</f>
        <v/>
      </c>
      <c r="E238" s="3" t="str">
        <f>IF(SortedPieces!$E234="","",SortedPieces!$E234)</f>
        <v/>
      </c>
      <c r="F238" s="4" t="str">
        <f>IF($B238="","",IF($C238&lt;=$O238,$C238,IF(AND($E238="Y",$D238&lt;=$O238),$D238,IF(AND($E238="Y",$D238&lt;=Inputs!$B$15,$C238&lt;=Inputs!$B$15),IF($C238&lt;$D238,$D238,$C238),IF(AND($E238="Y",$D238&lt;=Inputs!$B$15),$D238,$C238)))))</f>
        <v/>
      </c>
      <c r="G238" s="4" t="str">
        <f>IF($B238="","",IF($C238&lt;=$O238,$D238,IF(AND($E238="Y",$D238&lt;=$O238),$C238,IF(AND($E238="Y",$D238&lt;=Inputs!$B$15,$C238&lt;=Inputs!$B$15),IF($C238&lt;$D238,$C238,$D238),IF(AND($E238="Y",$D238&lt;=Inputs!$B$15),$C238,$D238)))))</f>
        <v/>
      </c>
      <c r="H238" s="3" t="str">
        <f t="shared" si="27"/>
        <v/>
      </c>
      <c r="I238" s="4" t="str">
        <f t="shared" si="29"/>
        <v/>
      </c>
      <c r="J238" s="4" t="str">
        <f t="shared" si="30"/>
        <v/>
      </c>
      <c r="K238" s="4" t="str">
        <f t="shared" si="31"/>
        <v/>
      </c>
      <c r="L238" s="4" t="str">
        <f t="shared" si="32"/>
        <v/>
      </c>
      <c r="M238" s="4" t="str">
        <f t="shared" si="28"/>
        <v/>
      </c>
      <c r="N238" s="4" t="str">
        <f t="shared" si="33"/>
        <v/>
      </c>
      <c r="O238" s="4" t="str">
        <f>IF($B238="","",Inputs!$B$15-$M237)</f>
        <v/>
      </c>
      <c r="P238" s="3" t="str">
        <f t="shared" si="34"/>
        <v/>
      </c>
      <c r="Q238" s="3" t="str">
        <f t="shared" si="35"/>
        <v/>
      </c>
      <c r="R238" s="3" t="str">
        <f>IF($B238="","",IF($Q238,($L237+$N237+$G238)&gt;Inputs!$B$16,FALSE))</f>
        <v/>
      </c>
      <c r="S238" s="3" t="str">
        <f>IF($B238="","",IF(OR($F238&gt;Inputs!$B$15,$G238&gt;Inputs!$B$16),"TOO BIG",IF($R238,"NEW SHEET",IF($Q238,"NEW ROW","OK"))))</f>
        <v/>
      </c>
    </row>
    <row r="239" spans="1:19" x14ac:dyDescent="0.2">
      <c r="A239" s="4">
        <v>233</v>
      </c>
      <c r="B239" s="3" t="str">
        <f>IF(SortedPieces!$B235="","",SortedPieces!$B235)</f>
        <v/>
      </c>
      <c r="C239" s="4" t="str">
        <f>IF(SortedPieces!$C235="","",SortedPieces!$C235)</f>
        <v/>
      </c>
      <c r="D239" s="4" t="str">
        <f>IF(SortedPieces!$D235="","",SortedPieces!$D235)</f>
        <v/>
      </c>
      <c r="E239" s="3" t="str">
        <f>IF(SortedPieces!$E235="","",SortedPieces!$E235)</f>
        <v/>
      </c>
      <c r="F239" s="4" t="str">
        <f>IF($B239="","",IF($C239&lt;=$O239,$C239,IF(AND($E239="Y",$D239&lt;=$O239),$D239,IF(AND($E239="Y",$D239&lt;=Inputs!$B$15,$C239&lt;=Inputs!$B$15),IF($C239&lt;$D239,$D239,$C239),IF(AND($E239="Y",$D239&lt;=Inputs!$B$15),$D239,$C239)))))</f>
        <v/>
      </c>
      <c r="G239" s="4" t="str">
        <f>IF($B239="","",IF($C239&lt;=$O239,$D239,IF(AND($E239="Y",$D239&lt;=$O239),$C239,IF(AND($E239="Y",$D239&lt;=Inputs!$B$15,$C239&lt;=Inputs!$B$15),IF($C239&lt;$D239,$C239,$D239),IF(AND($E239="Y",$D239&lt;=Inputs!$B$15),$C239,$D239)))))</f>
        <v/>
      </c>
      <c r="H239" s="3" t="str">
        <f t="shared" si="27"/>
        <v/>
      </c>
      <c r="I239" s="4" t="str">
        <f t="shared" si="29"/>
        <v/>
      </c>
      <c r="J239" s="4" t="str">
        <f t="shared" si="30"/>
        <v/>
      </c>
      <c r="K239" s="4" t="str">
        <f t="shared" si="31"/>
        <v/>
      </c>
      <c r="L239" s="4" t="str">
        <f t="shared" si="32"/>
        <v/>
      </c>
      <c r="M239" s="4" t="str">
        <f t="shared" si="28"/>
        <v/>
      </c>
      <c r="N239" s="4" t="str">
        <f t="shared" si="33"/>
        <v/>
      </c>
      <c r="O239" s="4" t="str">
        <f>IF($B239="","",Inputs!$B$15-$M238)</f>
        <v/>
      </c>
      <c r="P239" s="3" t="str">
        <f t="shared" si="34"/>
        <v/>
      </c>
      <c r="Q239" s="3" t="str">
        <f t="shared" si="35"/>
        <v/>
      </c>
      <c r="R239" s="3" t="str">
        <f>IF($B239="","",IF($Q239,($L238+$N238+$G239)&gt;Inputs!$B$16,FALSE))</f>
        <v/>
      </c>
      <c r="S239" s="3" t="str">
        <f>IF($B239="","",IF(OR($F239&gt;Inputs!$B$15,$G239&gt;Inputs!$B$16),"TOO BIG",IF($R239,"NEW SHEET",IF($Q239,"NEW ROW","OK"))))</f>
        <v/>
      </c>
    </row>
    <row r="240" spans="1:19" x14ac:dyDescent="0.2">
      <c r="A240" s="4">
        <v>234</v>
      </c>
      <c r="B240" s="3" t="str">
        <f>IF(SortedPieces!$B236="","",SortedPieces!$B236)</f>
        <v/>
      </c>
      <c r="C240" s="4" t="str">
        <f>IF(SortedPieces!$C236="","",SortedPieces!$C236)</f>
        <v/>
      </c>
      <c r="D240" s="4" t="str">
        <f>IF(SortedPieces!$D236="","",SortedPieces!$D236)</f>
        <v/>
      </c>
      <c r="E240" s="3" t="str">
        <f>IF(SortedPieces!$E236="","",SortedPieces!$E236)</f>
        <v/>
      </c>
      <c r="F240" s="4" t="str">
        <f>IF($B240="","",IF($C240&lt;=$O240,$C240,IF(AND($E240="Y",$D240&lt;=$O240),$D240,IF(AND($E240="Y",$D240&lt;=Inputs!$B$15,$C240&lt;=Inputs!$B$15),IF($C240&lt;$D240,$D240,$C240),IF(AND($E240="Y",$D240&lt;=Inputs!$B$15),$D240,$C240)))))</f>
        <v/>
      </c>
      <c r="G240" s="4" t="str">
        <f>IF($B240="","",IF($C240&lt;=$O240,$D240,IF(AND($E240="Y",$D240&lt;=$O240),$C240,IF(AND($E240="Y",$D240&lt;=Inputs!$B$15,$C240&lt;=Inputs!$B$15),IF($C240&lt;$D240,$C240,$D240),IF(AND($E240="Y",$D240&lt;=Inputs!$B$15),$C240,$D240)))))</f>
        <v/>
      </c>
      <c r="H240" s="3" t="str">
        <f t="shared" si="27"/>
        <v/>
      </c>
      <c r="I240" s="4" t="str">
        <f t="shared" si="29"/>
        <v/>
      </c>
      <c r="J240" s="4" t="str">
        <f t="shared" si="30"/>
        <v/>
      </c>
      <c r="K240" s="4" t="str">
        <f t="shared" si="31"/>
        <v/>
      </c>
      <c r="L240" s="4" t="str">
        <f t="shared" si="32"/>
        <v/>
      </c>
      <c r="M240" s="4" t="str">
        <f t="shared" si="28"/>
        <v/>
      </c>
      <c r="N240" s="4" t="str">
        <f t="shared" si="33"/>
        <v/>
      </c>
      <c r="O240" s="4" t="str">
        <f>IF($B240="","",Inputs!$B$15-$M239)</f>
        <v/>
      </c>
      <c r="P240" s="3" t="str">
        <f t="shared" si="34"/>
        <v/>
      </c>
      <c r="Q240" s="3" t="str">
        <f t="shared" si="35"/>
        <v/>
      </c>
      <c r="R240" s="3" t="str">
        <f>IF($B240="","",IF($Q240,($L239+$N239+$G240)&gt;Inputs!$B$16,FALSE))</f>
        <v/>
      </c>
      <c r="S240" s="3" t="str">
        <f>IF($B240="","",IF(OR($F240&gt;Inputs!$B$15,$G240&gt;Inputs!$B$16),"TOO BIG",IF($R240,"NEW SHEET",IF($Q240,"NEW ROW","OK"))))</f>
        <v/>
      </c>
    </row>
    <row r="241" spans="1:19" x14ac:dyDescent="0.2">
      <c r="A241" s="4">
        <v>235</v>
      </c>
      <c r="B241" s="3" t="str">
        <f>IF(SortedPieces!$B237="","",SortedPieces!$B237)</f>
        <v/>
      </c>
      <c r="C241" s="4" t="str">
        <f>IF(SortedPieces!$C237="","",SortedPieces!$C237)</f>
        <v/>
      </c>
      <c r="D241" s="4" t="str">
        <f>IF(SortedPieces!$D237="","",SortedPieces!$D237)</f>
        <v/>
      </c>
      <c r="E241" s="3" t="str">
        <f>IF(SortedPieces!$E237="","",SortedPieces!$E237)</f>
        <v/>
      </c>
      <c r="F241" s="4" t="str">
        <f>IF($B241="","",IF($C241&lt;=$O241,$C241,IF(AND($E241="Y",$D241&lt;=$O241),$D241,IF(AND($E241="Y",$D241&lt;=Inputs!$B$15,$C241&lt;=Inputs!$B$15),IF($C241&lt;$D241,$D241,$C241),IF(AND($E241="Y",$D241&lt;=Inputs!$B$15),$D241,$C241)))))</f>
        <v/>
      </c>
      <c r="G241" s="4" t="str">
        <f>IF($B241="","",IF($C241&lt;=$O241,$D241,IF(AND($E241="Y",$D241&lt;=$O241),$C241,IF(AND($E241="Y",$D241&lt;=Inputs!$B$15,$C241&lt;=Inputs!$B$15),IF($C241&lt;$D241,$C241,$D241),IF(AND($E241="Y",$D241&lt;=Inputs!$B$15),$C241,$D241)))))</f>
        <v/>
      </c>
      <c r="H241" s="3" t="str">
        <f t="shared" si="27"/>
        <v/>
      </c>
      <c r="I241" s="4" t="str">
        <f t="shared" si="29"/>
        <v/>
      </c>
      <c r="J241" s="4" t="str">
        <f t="shared" si="30"/>
        <v/>
      </c>
      <c r="K241" s="4" t="str">
        <f t="shared" si="31"/>
        <v/>
      </c>
      <c r="L241" s="4" t="str">
        <f t="shared" si="32"/>
        <v/>
      </c>
      <c r="M241" s="4" t="str">
        <f t="shared" si="28"/>
        <v/>
      </c>
      <c r="N241" s="4" t="str">
        <f t="shared" si="33"/>
        <v/>
      </c>
      <c r="O241" s="4" t="str">
        <f>IF($B241="","",Inputs!$B$15-$M240)</f>
        <v/>
      </c>
      <c r="P241" s="3" t="str">
        <f t="shared" si="34"/>
        <v/>
      </c>
      <c r="Q241" s="3" t="str">
        <f t="shared" si="35"/>
        <v/>
      </c>
      <c r="R241" s="3" t="str">
        <f>IF($B241="","",IF($Q241,($L240+$N240+$G241)&gt;Inputs!$B$16,FALSE))</f>
        <v/>
      </c>
      <c r="S241" s="3" t="str">
        <f>IF($B241="","",IF(OR($F241&gt;Inputs!$B$15,$G241&gt;Inputs!$B$16),"TOO BIG",IF($R241,"NEW SHEET",IF($Q241,"NEW ROW","OK"))))</f>
        <v/>
      </c>
    </row>
    <row r="242" spans="1:19" x14ac:dyDescent="0.2">
      <c r="A242" s="4">
        <v>236</v>
      </c>
      <c r="B242" s="3" t="str">
        <f>IF(SortedPieces!$B238="","",SortedPieces!$B238)</f>
        <v/>
      </c>
      <c r="C242" s="4" t="str">
        <f>IF(SortedPieces!$C238="","",SortedPieces!$C238)</f>
        <v/>
      </c>
      <c r="D242" s="4" t="str">
        <f>IF(SortedPieces!$D238="","",SortedPieces!$D238)</f>
        <v/>
      </c>
      <c r="E242" s="3" t="str">
        <f>IF(SortedPieces!$E238="","",SortedPieces!$E238)</f>
        <v/>
      </c>
      <c r="F242" s="4" t="str">
        <f>IF($B242="","",IF($C242&lt;=$O242,$C242,IF(AND($E242="Y",$D242&lt;=$O242),$D242,IF(AND($E242="Y",$D242&lt;=Inputs!$B$15,$C242&lt;=Inputs!$B$15),IF($C242&lt;$D242,$D242,$C242),IF(AND($E242="Y",$D242&lt;=Inputs!$B$15),$D242,$C242)))))</f>
        <v/>
      </c>
      <c r="G242" s="4" t="str">
        <f>IF($B242="","",IF($C242&lt;=$O242,$D242,IF(AND($E242="Y",$D242&lt;=$O242),$C242,IF(AND($E242="Y",$D242&lt;=Inputs!$B$15,$C242&lt;=Inputs!$B$15),IF($C242&lt;$D242,$C242,$D242),IF(AND($E242="Y",$D242&lt;=Inputs!$B$15),$C242,$D242)))))</f>
        <v/>
      </c>
      <c r="H242" s="3" t="str">
        <f t="shared" si="27"/>
        <v/>
      </c>
      <c r="I242" s="4" t="str">
        <f t="shared" si="29"/>
        <v/>
      </c>
      <c r="J242" s="4" t="str">
        <f t="shared" si="30"/>
        <v/>
      </c>
      <c r="K242" s="4" t="str">
        <f t="shared" si="31"/>
        <v/>
      </c>
      <c r="L242" s="4" t="str">
        <f t="shared" si="32"/>
        <v/>
      </c>
      <c r="M242" s="4" t="str">
        <f t="shared" si="28"/>
        <v/>
      </c>
      <c r="N242" s="4" t="str">
        <f t="shared" si="33"/>
        <v/>
      </c>
      <c r="O242" s="4" t="str">
        <f>IF($B242="","",Inputs!$B$15-$M241)</f>
        <v/>
      </c>
      <c r="P242" s="3" t="str">
        <f t="shared" si="34"/>
        <v/>
      </c>
      <c r="Q242" s="3" t="str">
        <f t="shared" si="35"/>
        <v/>
      </c>
      <c r="R242" s="3" t="str">
        <f>IF($B242="","",IF($Q242,($L241+$N241+$G242)&gt;Inputs!$B$16,FALSE))</f>
        <v/>
      </c>
      <c r="S242" s="3" t="str">
        <f>IF($B242="","",IF(OR($F242&gt;Inputs!$B$15,$G242&gt;Inputs!$B$16),"TOO BIG",IF($R242,"NEW SHEET",IF($Q242,"NEW ROW","OK"))))</f>
        <v/>
      </c>
    </row>
    <row r="243" spans="1:19" x14ac:dyDescent="0.2">
      <c r="A243" s="4">
        <v>237</v>
      </c>
      <c r="B243" s="3" t="str">
        <f>IF(SortedPieces!$B239="","",SortedPieces!$B239)</f>
        <v/>
      </c>
      <c r="C243" s="4" t="str">
        <f>IF(SortedPieces!$C239="","",SortedPieces!$C239)</f>
        <v/>
      </c>
      <c r="D243" s="4" t="str">
        <f>IF(SortedPieces!$D239="","",SortedPieces!$D239)</f>
        <v/>
      </c>
      <c r="E243" s="3" t="str">
        <f>IF(SortedPieces!$E239="","",SortedPieces!$E239)</f>
        <v/>
      </c>
      <c r="F243" s="4" t="str">
        <f>IF($B243="","",IF($C243&lt;=$O243,$C243,IF(AND($E243="Y",$D243&lt;=$O243),$D243,IF(AND($E243="Y",$D243&lt;=Inputs!$B$15,$C243&lt;=Inputs!$B$15),IF($C243&lt;$D243,$D243,$C243),IF(AND($E243="Y",$D243&lt;=Inputs!$B$15),$D243,$C243)))))</f>
        <v/>
      </c>
      <c r="G243" s="4" t="str">
        <f>IF($B243="","",IF($C243&lt;=$O243,$D243,IF(AND($E243="Y",$D243&lt;=$O243),$C243,IF(AND($E243="Y",$D243&lt;=Inputs!$B$15,$C243&lt;=Inputs!$B$15),IF($C243&lt;$D243,$C243,$D243),IF(AND($E243="Y",$D243&lt;=Inputs!$B$15),$C243,$D243)))))</f>
        <v/>
      </c>
      <c r="H243" s="3" t="str">
        <f t="shared" si="27"/>
        <v/>
      </c>
      <c r="I243" s="4" t="str">
        <f t="shared" si="29"/>
        <v/>
      </c>
      <c r="J243" s="4" t="str">
        <f t="shared" si="30"/>
        <v/>
      </c>
      <c r="K243" s="4" t="str">
        <f t="shared" si="31"/>
        <v/>
      </c>
      <c r="L243" s="4" t="str">
        <f t="shared" si="32"/>
        <v/>
      </c>
      <c r="M243" s="4" t="str">
        <f t="shared" si="28"/>
        <v/>
      </c>
      <c r="N243" s="4" t="str">
        <f t="shared" si="33"/>
        <v/>
      </c>
      <c r="O243" s="4" t="str">
        <f>IF($B243="","",Inputs!$B$15-$M242)</f>
        <v/>
      </c>
      <c r="P243" s="3" t="str">
        <f t="shared" si="34"/>
        <v/>
      </c>
      <c r="Q243" s="3" t="str">
        <f t="shared" si="35"/>
        <v/>
      </c>
      <c r="R243" s="3" t="str">
        <f>IF($B243="","",IF($Q243,($L242+$N242+$G243)&gt;Inputs!$B$16,FALSE))</f>
        <v/>
      </c>
      <c r="S243" s="3" t="str">
        <f>IF($B243="","",IF(OR($F243&gt;Inputs!$B$15,$G243&gt;Inputs!$B$16),"TOO BIG",IF($R243,"NEW SHEET",IF($Q243,"NEW ROW","OK"))))</f>
        <v/>
      </c>
    </row>
    <row r="244" spans="1:19" x14ac:dyDescent="0.2">
      <c r="A244" s="4">
        <v>238</v>
      </c>
      <c r="B244" s="3" t="str">
        <f>IF(SortedPieces!$B240="","",SortedPieces!$B240)</f>
        <v/>
      </c>
      <c r="C244" s="4" t="str">
        <f>IF(SortedPieces!$C240="","",SortedPieces!$C240)</f>
        <v/>
      </c>
      <c r="D244" s="4" t="str">
        <f>IF(SortedPieces!$D240="","",SortedPieces!$D240)</f>
        <v/>
      </c>
      <c r="E244" s="3" t="str">
        <f>IF(SortedPieces!$E240="","",SortedPieces!$E240)</f>
        <v/>
      </c>
      <c r="F244" s="4" t="str">
        <f>IF($B244="","",IF($C244&lt;=$O244,$C244,IF(AND($E244="Y",$D244&lt;=$O244),$D244,IF(AND($E244="Y",$D244&lt;=Inputs!$B$15,$C244&lt;=Inputs!$B$15),IF($C244&lt;$D244,$D244,$C244),IF(AND($E244="Y",$D244&lt;=Inputs!$B$15),$D244,$C244)))))</f>
        <v/>
      </c>
      <c r="G244" s="4" t="str">
        <f>IF($B244="","",IF($C244&lt;=$O244,$D244,IF(AND($E244="Y",$D244&lt;=$O244),$C244,IF(AND($E244="Y",$D244&lt;=Inputs!$B$15,$C244&lt;=Inputs!$B$15),IF($C244&lt;$D244,$C244,$D244),IF(AND($E244="Y",$D244&lt;=Inputs!$B$15),$C244,$D244)))))</f>
        <v/>
      </c>
      <c r="H244" s="3" t="str">
        <f t="shared" si="27"/>
        <v/>
      </c>
      <c r="I244" s="4" t="str">
        <f t="shared" si="29"/>
        <v/>
      </c>
      <c r="J244" s="4" t="str">
        <f t="shared" si="30"/>
        <v/>
      </c>
      <c r="K244" s="4" t="str">
        <f t="shared" si="31"/>
        <v/>
      </c>
      <c r="L244" s="4" t="str">
        <f t="shared" si="32"/>
        <v/>
      </c>
      <c r="M244" s="4" t="str">
        <f t="shared" si="28"/>
        <v/>
      </c>
      <c r="N244" s="4" t="str">
        <f t="shared" si="33"/>
        <v/>
      </c>
      <c r="O244" s="4" t="str">
        <f>IF($B244="","",Inputs!$B$15-$M243)</f>
        <v/>
      </c>
      <c r="P244" s="3" t="str">
        <f t="shared" si="34"/>
        <v/>
      </c>
      <c r="Q244" s="3" t="str">
        <f t="shared" si="35"/>
        <v/>
      </c>
      <c r="R244" s="3" t="str">
        <f>IF($B244="","",IF($Q244,($L243+$N243+$G244)&gt;Inputs!$B$16,FALSE))</f>
        <v/>
      </c>
      <c r="S244" s="3" t="str">
        <f>IF($B244="","",IF(OR($F244&gt;Inputs!$B$15,$G244&gt;Inputs!$B$16),"TOO BIG",IF($R244,"NEW SHEET",IF($Q244,"NEW ROW","OK"))))</f>
        <v/>
      </c>
    </row>
    <row r="245" spans="1:19" x14ac:dyDescent="0.2">
      <c r="A245" s="4">
        <v>239</v>
      </c>
      <c r="B245" s="3" t="str">
        <f>IF(SortedPieces!$B241="","",SortedPieces!$B241)</f>
        <v/>
      </c>
      <c r="C245" s="4" t="str">
        <f>IF(SortedPieces!$C241="","",SortedPieces!$C241)</f>
        <v/>
      </c>
      <c r="D245" s="4" t="str">
        <f>IF(SortedPieces!$D241="","",SortedPieces!$D241)</f>
        <v/>
      </c>
      <c r="E245" s="3" t="str">
        <f>IF(SortedPieces!$E241="","",SortedPieces!$E241)</f>
        <v/>
      </c>
      <c r="F245" s="4" t="str">
        <f>IF($B245="","",IF($C245&lt;=$O245,$C245,IF(AND($E245="Y",$D245&lt;=$O245),$D245,IF(AND($E245="Y",$D245&lt;=Inputs!$B$15,$C245&lt;=Inputs!$B$15),IF($C245&lt;$D245,$D245,$C245),IF(AND($E245="Y",$D245&lt;=Inputs!$B$15),$D245,$C245)))))</f>
        <v/>
      </c>
      <c r="G245" s="4" t="str">
        <f>IF($B245="","",IF($C245&lt;=$O245,$D245,IF(AND($E245="Y",$D245&lt;=$O245),$C245,IF(AND($E245="Y",$D245&lt;=Inputs!$B$15,$C245&lt;=Inputs!$B$15),IF($C245&lt;$D245,$C245,$D245),IF(AND($E245="Y",$D245&lt;=Inputs!$B$15),$C245,$D245)))))</f>
        <v/>
      </c>
      <c r="H245" s="3" t="str">
        <f t="shared" si="27"/>
        <v/>
      </c>
      <c r="I245" s="4" t="str">
        <f t="shared" si="29"/>
        <v/>
      </c>
      <c r="J245" s="4" t="str">
        <f t="shared" si="30"/>
        <v/>
      </c>
      <c r="K245" s="4" t="str">
        <f t="shared" si="31"/>
        <v/>
      </c>
      <c r="L245" s="4" t="str">
        <f t="shared" si="32"/>
        <v/>
      </c>
      <c r="M245" s="4" t="str">
        <f t="shared" si="28"/>
        <v/>
      </c>
      <c r="N245" s="4" t="str">
        <f t="shared" si="33"/>
        <v/>
      </c>
      <c r="O245" s="4" t="str">
        <f>IF($B245="","",Inputs!$B$15-$M244)</f>
        <v/>
      </c>
      <c r="P245" s="3" t="str">
        <f t="shared" si="34"/>
        <v/>
      </c>
      <c r="Q245" s="3" t="str">
        <f t="shared" si="35"/>
        <v/>
      </c>
      <c r="R245" s="3" t="str">
        <f>IF($B245="","",IF($Q245,($L244+$N244+$G245)&gt;Inputs!$B$16,FALSE))</f>
        <v/>
      </c>
      <c r="S245" s="3" t="str">
        <f>IF($B245="","",IF(OR($F245&gt;Inputs!$B$15,$G245&gt;Inputs!$B$16),"TOO BIG",IF($R245,"NEW SHEET",IF($Q245,"NEW ROW","OK"))))</f>
        <v/>
      </c>
    </row>
    <row r="246" spans="1:19" x14ac:dyDescent="0.2">
      <c r="A246" s="4">
        <v>240</v>
      </c>
      <c r="B246" s="3" t="str">
        <f>IF(SortedPieces!$B242="","",SortedPieces!$B242)</f>
        <v/>
      </c>
      <c r="C246" s="4" t="str">
        <f>IF(SortedPieces!$C242="","",SortedPieces!$C242)</f>
        <v/>
      </c>
      <c r="D246" s="4" t="str">
        <f>IF(SortedPieces!$D242="","",SortedPieces!$D242)</f>
        <v/>
      </c>
      <c r="E246" s="3" t="str">
        <f>IF(SortedPieces!$E242="","",SortedPieces!$E242)</f>
        <v/>
      </c>
      <c r="F246" s="4" t="str">
        <f>IF($B246="","",IF($C246&lt;=$O246,$C246,IF(AND($E246="Y",$D246&lt;=$O246),$D246,IF(AND($E246="Y",$D246&lt;=Inputs!$B$15,$C246&lt;=Inputs!$B$15),IF($C246&lt;$D246,$D246,$C246),IF(AND($E246="Y",$D246&lt;=Inputs!$B$15),$D246,$C246)))))</f>
        <v/>
      </c>
      <c r="G246" s="4" t="str">
        <f>IF($B246="","",IF($C246&lt;=$O246,$D246,IF(AND($E246="Y",$D246&lt;=$O246),$C246,IF(AND($E246="Y",$D246&lt;=Inputs!$B$15,$C246&lt;=Inputs!$B$15),IF($C246&lt;$D246,$C246,$D246),IF(AND($E246="Y",$D246&lt;=Inputs!$B$15),$C246,$D246)))))</f>
        <v/>
      </c>
      <c r="H246" s="3" t="str">
        <f t="shared" si="27"/>
        <v/>
      </c>
      <c r="I246" s="4" t="str">
        <f t="shared" si="29"/>
        <v/>
      </c>
      <c r="J246" s="4" t="str">
        <f t="shared" si="30"/>
        <v/>
      </c>
      <c r="K246" s="4" t="str">
        <f t="shared" si="31"/>
        <v/>
      </c>
      <c r="L246" s="4" t="str">
        <f t="shared" si="32"/>
        <v/>
      </c>
      <c r="M246" s="4" t="str">
        <f t="shared" si="28"/>
        <v/>
      </c>
      <c r="N246" s="4" t="str">
        <f t="shared" si="33"/>
        <v/>
      </c>
      <c r="O246" s="4" t="str">
        <f>IF($B246="","",Inputs!$B$15-$M245)</f>
        <v/>
      </c>
      <c r="P246" s="3" t="str">
        <f t="shared" si="34"/>
        <v/>
      </c>
      <c r="Q246" s="3" t="str">
        <f t="shared" si="35"/>
        <v/>
      </c>
      <c r="R246" s="3" t="str">
        <f>IF($B246="","",IF($Q246,($L245+$N245+$G246)&gt;Inputs!$B$16,FALSE))</f>
        <v/>
      </c>
      <c r="S246" s="3" t="str">
        <f>IF($B246="","",IF(OR($F246&gt;Inputs!$B$15,$G246&gt;Inputs!$B$16),"TOO BIG",IF($R246,"NEW SHEET",IF($Q246,"NEW ROW","OK"))))</f>
        <v/>
      </c>
    </row>
    <row r="247" spans="1:19" x14ac:dyDescent="0.2">
      <c r="A247" s="4">
        <v>241</v>
      </c>
      <c r="B247" s="3" t="str">
        <f>IF(SortedPieces!$B243="","",SortedPieces!$B243)</f>
        <v/>
      </c>
      <c r="C247" s="4" t="str">
        <f>IF(SortedPieces!$C243="","",SortedPieces!$C243)</f>
        <v/>
      </c>
      <c r="D247" s="4" t="str">
        <f>IF(SortedPieces!$D243="","",SortedPieces!$D243)</f>
        <v/>
      </c>
      <c r="E247" s="3" t="str">
        <f>IF(SortedPieces!$E243="","",SortedPieces!$E243)</f>
        <v/>
      </c>
      <c r="F247" s="4" t="str">
        <f>IF($B247="","",IF($C247&lt;=$O247,$C247,IF(AND($E247="Y",$D247&lt;=$O247),$D247,IF(AND($E247="Y",$D247&lt;=Inputs!$B$15,$C247&lt;=Inputs!$B$15),IF($C247&lt;$D247,$D247,$C247),IF(AND($E247="Y",$D247&lt;=Inputs!$B$15),$D247,$C247)))))</f>
        <v/>
      </c>
      <c r="G247" s="4" t="str">
        <f>IF($B247="","",IF($C247&lt;=$O247,$D247,IF(AND($E247="Y",$D247&lt;=$O247),$C247,IF(AND($E247="Y",$D247&lt;=Inputs!$B$15,$C247&lt;=Inputs!$B$15),IF($C247&lt;$D247,$C247,$D247),IF(AND($E247="Y",$D247&lt;=Inputs!$B$15),$C247,$D247)))))</f>
        <v/>
      </c>
      <c r="H247" s="3" t="str">
        <f t="shared" si="27"/>
        <v/>
      </c>
      <c r="I247" s="4" t="str">
        <f t="shared" si="29"/>
        <v/>
      </c>
      <c r="J247" s="4" t="str">
        <f t="shared" si="30"/>
        <v/>
      </c>
      <c r="K247" s="4" t="str">
        <f t="shared" si="31"/>
        <v/>
      </c>
      <c r="L247" s="4" t="str">
        <f t="shared" si="32"/>
        <v/>
      </c>
      <c r="M247" s="4" t="str">
        <f t="shared" si="28"/>
        <v/>
      </c>
      <c r="N247" s="4" t="str">
        <f t="shared" si="33"/>
        <v/>
      </c>
      <c r="O247" s="4" t="str">
        <f>IF($B247="","",Inputs!$B$15-$M246)</f>
        <v/>
      </c>
      <c r="P247" s="3" t="str">
        <f t="shared" si="34"/>
        <v/>
      </c>
      <c r="Q247" s="3" t="str">
        <f t="shared" si="35"/>
        <v/>
      </c>
      <c r="R247" s="3" t="str">
        <f>IF($B247="","",IF($Q247,($L246+$N246+$G247)&gt;Inputs!$B$16,FALSE))</f>
        <v/>
      </c>
      <c r="S247" s="3" t="str">
        <f>IF($B247="","",IF(OR($F247&gt;Inputs!$B$15,$G247&gt;Inputs!$B$16),"TOO BIG",IF($R247,"NEW SHEET",IF($Q247,"NEW ROW","OK"))))</f>
        <v/>
      </c>
    </row>
    <row r="248" spans="1:19" x14ac:dyDescent="0.2">
      <c r="A248" s="4">
        <v>242</v>
      </c>
      <c r="B248" s="3" t="str">
        <f>IF(SortedPieces!$B244="","",SortedPieces!$B244)</f>
        <v/>
      </c>
      <c r="C248" s="4" t="str">
        <f>IF(SortedPieces!$C244="","",SortedPieces!$C244)</f>
        <v/>
      </c>
      <c r="D248" s="4" t="str">
        <f>IF(SortedPieces!$D244="","",SortedPieces!$D244)</f>
        <v/>
      </c>
      <c r="E248" s="3" t="str">
        <f>IF(SortedPieces!$E244="","",SortedPieces!$E244)</f>
        <v/>
      </c>
      <c r="F248" s="4" t="str">
        <f>IF($B248="","",IF($C248&lt;=$O248,$C248,IF(AND($E248="Y",$D248&lt;=$O248),$D248,IF(AND($E248="Y",$D248&lt;=Inputs!$B$15,$C248&lt;=Inputs!$B$15),IF($C248&lt;$D248,$D248,$C248),IF(AND($E248="Y",$D248&lt;=Inputs!$B$15),$D248,$C248)))))</f>
        <v/>
      </c>
      <c r="G248" s="4" t="str">
        <f>IF($B248="","",IF($C248&lt;=$O248,$D248,IF(AND($E248="Y",$D248&lt;=$O248),$C248,IF(AND($E248="Y",$D248&lt;=Inputs!$B$15,$C248&lt;=Inputs!$B$15),IF($C248&lt;$D248,$C248,$D248),IF(AND($E248="Y",$D248&lt;=Inputs!$B$15),$C248,$D248)))))</f>
        <v/>
      </c>
      <c r="H248" s="3" t="str">
        <f t="shared" si="27"/>
        <v/>
      </c>
      <c r="I248" s="4" t="str">
        <f t="shared" si="29"/>
        <v/>
      </c>
      <c r="J248" s="4" t="str">
        <f t="shared" si="30"/>
        <v/>
      </c>
      <c r="K248" s="4" t="str">
        <f t="shared" si="31"/>
        <v/>
      </c>
      <c r="L248" s="4" t="str">
        <f t="shared" si="32"/>
        <v/>
      </c>
      <c r="M248" s="4" t="str">
        <f t="shared" si="28"/>
        <v/>
      </c>
      <c r="N248" s="4" t="str">
        <f t="shared" si="33"/>
        <v/>
      </c>
      <c r="O248" s="4" t="str">
        <f>IF($B248="","",Inputs!$B$15-$M247)</f>
        <v/>
      </c>
      <c r="P248" s="3" t="str">
        <f t="shared" si="34"/>
        <v/>
      </c>
      <c r="Q248" s="3" t="str">
        <f t="shared" si="35"/>
        <v/>
      </c>
      <c r="R248" s="3" t="str">
        <f>IF($B248="","",IF($Q248,($L247+$N247+$G248)&gt;Inputs!$B$16,FALSE))</f>
        <v/>
      </c>
      <c r="S248" s="3" t="str">
        <f>IF($B248="","",IF(OR($F248&gt;Inputs!$B$15,$G248&gt;Inputs!$B$16),"TOO BIG",IF($R248,"NEW SHEET",IF($Q248,"NEW ROW","OK"))))</f>
        <v/>
      </c>
    </row>
    <row r="249" spans="1:19" x14ac:dyDescent="0.2">
      <c r="A249" s="4">
        <v>243</v>
      </c>
      <c r="B249" s="3" t="str">
        <f>IF(SortedPieces!$B245="","",SortedPieces!$B245)</f>
        <v/>
      </c>
      <c r="C249" s="4" t="str">
        <f>IF(SortedPieces!$C245="","",SortedPieces!$C245)</f>
        <v/>
      </c>
      <c r="D249" s="4" t="str">
        <f>IF(SortedPieces!$D245="","",SortedPieces!$D245)</f>
        <v/>
      </c>
      <c r="E249" s="3" t="str">
        <f>IF(SortedPieces!$E245="","",SortedPieces!$E245)</f>
        <v/>
      </c>
      <c r="F249" s="4" t="str">
        <f>IF($B249="","",IF($C249&lt;=$O249,$C249,IF(AND($E249="Y",$D249&lt;=$O249),$D249,IF(AND($E249="Y",$D249&lt;=Inputs!$B$15,$C249&lt;=Inputs!$B$15),IF($C249&lt;$D249,$D249,$C249),IF(AND($E249="Y",$D249&lt;=Inputs!$B$15),$D249,$C249)))))</f>
        <v/>
      </c>
      <c r="G249" s="4" t="str">
        <f>IF($B249="","",IF($C249&lt;=$O249,$D249,IF(AND($E249="Y",$D249&lt;=$O249),$C249,IF(AND($E249="Y",$D249&lt;=Inputs!$B$15,$C249&lt;=Inputs!$B$15),IF($C249&lt;$D249,$C249,$D249),IF(AND($E249="Y",$D249&lt;=Inputs!$B$15),$C249,$D249)))))</f>
        <v/>
      </c>
      <c r="H249" s="3" t="str">
        <f t="shared" si="27"/>
        <v/>
      </c>
      <c r="I249" s="4" t="str">
        <f t="shared" si="29"/>
        <v/>
      </c>
      <c r="J249" s="4" t="str">
        <f t="shared" si="30"/>
        <v/>
      </c>
      <c r="K249" s="4" t="str">
        <f t="shared" si="31"/>
        <v/>
      </c>
      <c r="L249" s="4" t="str">
        <f t="shared" si="32"/>
        <v/>
      </c>
      <c r="M249" s="4" t="str">
        <f t="shared" si="28"/>
        <v/>
      </c>
      <c r="N249" s="4" t="str">
        <f t="shared" si="33"/>
        <v/>
      </c>
      <c r="O249" s="4" t="str">
        <f>IF($B249="","",Inputs!$B$15-$M248)</f>
        <v/>
      </c>
      <c r="P249" s="3" t="str">
        <f t="shared" si="34"/>
        <v/>
      </c>
      <c r="Q249" s="3" t="str">
        <f t="shared" si="35"/>
        <v/>
      </c>
      <c r="R249" s="3" t="str">
        <f>IF($B249="","",IF($Q249,($L248+$N248+$G249)&gt;Inputs!$B$16,FALSE))</f>
        <v/>
      </c>
      <c r="S249" s="3" t="str">
        <f>IF($B249="","",IF(OR($F249&gt;Inputs!$B$15,$G249&gt;Inputs!$B$16),"TOO BIG",IF($R249,"NEW SHEET",IF($Q249,"NEW ROW","OK"))))</f>
        <v/>
      </c>
    </row>
    <row r="250" spans="1:19" x14ac:dyDescent="0.2">
      <c r="A250" s="4">
        <v>244</v>
      </c>
      <c r="B250" s="3" t="str">
        <f>IF(SortedPieces!$B246="","",SortedPieces!$B246)</f>
        <v/>
      </c>
      <c r="C250" s="4" t="str">
        <f>IF(SortedPieces!$C246="","",SortedPieces!$C246)</f>
        <v/>
      </c>
      <c r="D250" s="4" t="str">
        <f>IF(SortedPieces!$D246="","",SortedPieces!$D246)</f>
        <v/>
      </c>
      <c r="E250" s="3" t="str">
        <f>IF(SortedPieces!$E246="","",SortedPieces!$E246)</f>
        <v/>
      </c>
      <c r="F250" s="4" t="str">
        <f>IF($B250="","",IF($C250&lt;=$O250,$C250,IF(AND($E250="Y",$D250&lt;=$O250),$D250,IF(AND($E250="Y",$D250&lt;=Inputs!$B$15,$C250&lt;=Inputs!$B$15),IF($C250&lt;$D250,$D250,$C250),IF(AND($E250="Y",$D250&lt;=Inputs!$B$15),$D250,$C250)))))</f>
        <v/>
      </c>
      <c r="G250" s="4" t="str">
        <f>IF($B250="","",IF($C250&lt;=$O250,$D250,IF(AND($E250="Y",$D250&lt;=$O250),$C250,IF(AND($E250="Y",$D250&lt;=Inputs!$B$15,$C250&lt;=Inputs!$B$15),IF($C250&lt;$D250,$C250,$D250),IF(AND($E250="Y",$D250&lt;=Inputs!$B$15),$C250,$D250)))))</f>
        <v/>
      </c>
      <c r="H250" s="3" t="str">
        <f t="shared" si="27"/>
        <v/>
      </c>
      <c r="I250" s="4" t="str">
        <f t="shared" si="29"/>
        <v/>
      </c>
      <c r="J250" s="4" t="str">
        <f t="shared" si="30"/>
        <v/>
      </c>
      <c r="K250" s="4" t="str">
        <f t="shared" si="31"/>
        <v/>
      </c>
      <c r="L250" s="4" t="str">
        <f t="shared" si="32"/>
        <v/>
      </c>
      <c r="M250" s="4" t="str">
        <f t="shared" si="28"/>
        <v/>
      </c>
      <c r="N250" s="4" t="str">
        <f t="shared" si="33"/>
        <v/>
      </c>
      <c r="O250" s="4" t="str">
        <f>IF($B250="","",Inputs!$B$15-$M249)</f>
        <v/>
      </c>
      <c r="P250" s="3" t="str">
        <f t="shared" si="34"/>
        <v/>
      </c>
      <c r="Q250" s="3" t="str">
        <f t="shared" si="35"/>
        <v/>
      </c>
      <c r="R250" s="3" t="str">
        <f>IF($B250="","",IF($Q250,($L249+$N249+$G250)&gt;Inputs!$B$16,FALSE))</f>
        <v/>
      </c>
      <c r="S250" s="3" t="str">
        <f>IF($B250="","",IF(OR($F250&gt;Inputs!$B$15,$G250&gt;Inputs!$B$16),"TOO BIG",IF($R250,"NEW SHEET",IF($Q250,"NEW ROW","OK"))))</f>
        <v/>
      </c>
    </row>
    <row r="251" spans="1:19" x14ac:dyDescent="0.2">
      <c r="A251" s="4">
        <v>245</v>
      </c>
      <c r="B251" s="3" t="str">
        <f>IF(SortedPieces!$B247="","",SortedPieces!$B247)</f>
        <v/>
      </c>
      <c r="C251" s="4" t="str">
        <f>IF(SortedPieces!$C247="","",SortedPieces!$C247)</f>
        <v/>
      </c>
      <c r="D251" s="4" t="str">
        <f>IF(SortedPieces!$D247="","",SortedPieces!$D247)</f>
        <v/>
      </c>
      <c r="E251" s="3" t="str">
        <f>IF(SortedPieces!$E247="","",SortedPieces!$E247)</f>
        <v/>
      </c>
      <c r="F251" s="4" t="str">
        <f>IF($B251="","",IF($C251&lt;=$O251,$C251,IF(AND($E251="Y",$D251&lt;=$O251),$D251,IF(AND($E251="Y",$D251&lt;=Inputs!$B$15,$C251&lt;=Inputs!$B$15),IF($C251&lt;$D251,$D251,$C251),IF(AND($E251="Y",$D251&lt;=Inputs!$B$15),$D251,$C251)))))</f>
        <v/>
      </c>
      <c r="G251" s="4" t="str">
        <f>IF($B251="","",IF($C251&lt;=$O251,$D251,IF(AND($E251="Y",$D251&lt;=$O251),$C251,IF(AND($E251="Y",$D251&lt;=Inputs!$B$15,$C251&lt;=Inputs!$B$15),IF($C251&lt;$D251,$C251,$D251),IF(AND($E251="Y",$D251&lt;=Inputs!$B$15),$C251,$D251)))))</f>
        <v/>
      </c>
      <c r="H251" s="3" t="str">
        <f t="shared" si="27"/>
        <v/>
      </c>
      <c r="I251" s="4" t="str">
        <f t="shared" si="29"/>
        <v/>
      </c>
      <c r="J251" s="4" t="str">
        <f t="shared" si="30"/>
        <v/>
      </c>
      <c r="K251" s="4" t="str">
        <f t="shared" si="31"/>
        <v/>
      </c>
      <c r="L251" s="4" t="str">
        <f t="shared" si="32"/>
        <v/>
      </c>
      <c r="M251" s="4" t="str">
        <f t="shared" si="28"/>
        <v/>
      </c>
      <c r="N251" s="4" t="str">
        <f t="shared" si="33"/>
        <v/>
      </c>
      <c r="O251" s="4" t="str">
        <f>IF($B251="","",Inputs!$B$15-$M250)</f>
        <v/>
      </c>
      <c r="P251" s="3" t="str">
        <f t="shared" si="34"/>
        <v/>
      </c>
      <c r="Q251" s="3" t="str">
        <f t="shared" si="35"/>
        <v/>
      </c>
      <c r="R251" s="3" t="str">
        <f>IF($B251="","",IF($Q251,($L250+$N250+$G251)&gt;Inputs!$B$16,FALSE))</f>
        <v/>
      </c>
      <c r="S251" s="3" t="str">
        <f>IF($B251="","",IF(OR($F251&gt;Inputs!$B$15,$G251&gt;Inputs!$B$16),"TOO BIG",IF($R251,"NEW SHEET",IF($Q251,"NEW ROW","OK"))))</f>
        <v/>
      </c>
    </row>
    <row r="252" spans="1:19" x14ac:dyDescent="0.2">
      <c r="A252" s="4">
        <v>246</v>
      </c>
      <c r="B252" s="3" t="str">
        <f>IF(SortedPieces!$B248="","",SortedPieces!$B248)</f>
        <v/>
      </c>
      <c r="C252" s="4" t="str">
        <f>IF(SortedPieces!$C248="","",SortedPieces!$C248)</f>
        <v/>
      </c>
      <c r="D252" s="4" t="str">
        <f>IF(SortedPieces!$D248="","",SortedPieces!$D248)</f>
        <v/>
      </c>
      <c r="E252" s="3" t="str">
        <f>IF(SortedPieces!$E248="","",SortedPieces!$E248)</f>
        <v/>
      </c>
      <c r="F252" s="4" t="str">
        <f>IF($B252="","",IF($C252&lt;=$O252,$C252,IF(AND($E252="Y",$D252&lt;=$O252),$D252,IF(AND($E252="Y",$D252&lt;=Inputs!$B$15,$C252&lt;=Inputs!$B$15),IF($C252&lt;$D252,$D252,$C252),IF(AND($E252="Y",$D252&lt;=Inputs!$B$15),$D252,$C252)))))</f>
        <v/>
      </c>
      <c r="G252" s="4" t="str">
        <f>IF($B252="","",IF($C252&lt;=$O252,$D252,IF(AND($E252="Y",$D252&lt;=$O252),$C252,IF(AND($E252="Y",$D252&lt;=Inputs!$B$15,$C252&lt;=Inputs!$B$15),IF($C252&lt;$D252,$C252,$D252),IF(AND($E252="Y",$D252&lt;=Inputs!$B$15),$C252,$D252)))))</f>
        <v/>
      </c>
      <c r="H252" s="3" t="str">
        <f t="shared" si="27"/>
        <v/>
      </c>
      <c r="I252" s="4" t="str">
        <f t="shared" si="29"/>
        <v/>
      </c>
      <c r="J252" s="4" t="str">
        <f t="shared" si="30"/>
        <v/>
      </c>
      <c r="K252" s="4" t="str">
        <f t="shared" si="31"/>
        <v/>
      </c>
      <c r="L252" s="4" t="str">
        <f t="shared" si="32"/>
        <v/>
      </c>
      <c r="M252" s="4" t="str">
        <f t="shared" si="28"/>
        <v/>
      </c>
      <c r="N252" s="4" t="str">
        <f t="shared" si="33"/>
        <v/>
      </c>
      <c r="O252" s="4" t="str">
        <f>IF($B252="","",Inputs!$B$15-$M251)</f>
        <v/>
      </c>
      <c r="P252" s="3" t="str">
        <f t="shared" si="34"/>
        <v/>
      </c>
      <c r="Q252" s="3" t="str">
        <f t="shared" si="35"/>
        <v/>
      </c>
      <c r="R252" s="3" t="str">
        <f>IF($B252="","",IF($Q252,($L251+$N251+$G252)&gt;Inputs!$B$16,FALSE))</f>
        <v/>
      </c>
      <c r="S252" s="3" t="str">
        <f>IF($B252="","",IF(OR($F252&gt;Inputs!$B$15,$G252&gt;Inputs!$B$16),"TOO BIG",IF($R252,"NEW SHEET",IF($Q252,"NEW ROW","OK"))))</f>
        <v/>
      </c>
    </row>
    <row r="253" spans="1:19" x14ac:dyDescent="0.2">
      <c r="A253" s="4">
        <v>247</v>
      </c>
      <c r="B253" s="3" t="str">
        <f>IF(SortedPieces!$B249="","",SortedPieces!$B249)</f>
        <v/>
      </c>
      <c r="C253" s="4" t="str">
        <f>IF(SortedPieces!$C249="","",SortedPieces!$C249)</f>
        <v/>
      </c>
      <c r="D253" s="4" t="str">
        <f>IF(SortedPieces!$D249="","",SortedPieces!$D249)</f>
        <v/>
      </c>
      <c r="E253" s="3" t="str">
        <f>IF(SortedPieces!$E249="","",SortedPieces!$E249)</f>
        <v/>
      </c>
      <c r="F253" s="4" t="str">
        <f>IF($B253="","",IF($C253&lt;=$O253,$C253,IF(AND($E253="Y",$D253&lt;=$O253),$D253,IF(AND($E253="Y",$D253&lt;=Inputs!$B$15,$C253&lt;=Inputs!$B$15),IF($C253&lt;$D253,$D253,$C253),IF(AND($E253="Y",$D253&lt;=Inputs!$B$15),$D253,$C253)))))</f>
        <v/>
      </c>
      <c r="G253" s="4" t="str">
        <f>IF($B253="","",IF($C253&lt;=$O253,$D253,IF(AND($E253="Y",$D253&lt;=$O253),$C253,IF(AND($E253="Y",$D253&lt;=Inputs!$B$15,$C253&lt;=Inputs!$B$15),IF($C253&lt;$D253,$C253,$D253),IF(AND($E253="Y",$D253&lt;=Inputs!$B$15),$C253,$D253)))))</f>
        <v/>
      </c>
      <c r="H253" s="3" t="str">
        <f t="shared" si="27"/>
        <v/>
      </c>
      <c r="I253" s="4" t="str">
        <f t="shared" si="29"/>
        <v/>
      </c>
      <c r="J253" s="4" t="str">
        <f t="shared" si="30"/>
        <v/>
      </c>
      <c r="K253" s="4" t="str">
        <f t="shared" si="31"/>
        <v/>
      </c>
      <c r="L253" s="4" t="str">
        <f t="shared" si="32"/>
        <v/>
      </c>
      <c r="M253" s="4" t="str">
        <f t="shared" si="28"/>
        <v/>
      </c>
      <c r="N253" s="4" t="str">
        <f t="shared" si="33"/>
        <v/>
      </c>
      <c r="O253" s="4" t="str">
        <f>IF($B253="","",Inputs!$B$15-$M252)</f>
        <v/>
      </c>
      <c r="P253" s="3" t="str">
        <f t="shared" si="34"/>
        <v/>
      </c>
      <c r="Q253" s="3" t="str">
        <f t="shared" si="35"/>
        <v/>
      </c>
      <c r="R253" s="3" t="str">
        <f>IF($B253="","",IF($Q253,($L252+$N252+$G253)&gt;Inputs!$B$16,FALSE))</f>
        <v/>
      </c>
      <c r="S253" s="3" t="str">
        <f>IF($B253="","",IF(OR($F253&gt;Inputs!$B$15,$G253&gt;Inputs!$B$16),"TOO BIG",IF($R253,"NEW SHEET",IF($Q253,"NEW ROW","OK"))))</f>
        <v/>
      </c>
    </row>
    <row r="254" spans="1:19" x14ac:dyDescent="0.2">
      <c r="A254" s="4">
        <v>248</v>
      </c>
      <c r="B254" s="3" t="str">
        <f>IF(SortedPieces!$B250="","",SortedPieces!$B250)</f>
        <v/>
      </c>
      <c r="C254" s="4" t="str">
        <f>IF(SortedPieces!$C250="","",SortedPieces!$C250)</f>
        <v/>
      </c>
      <c r="D254" s="4" t="str">
        <f>IF(SortedPieces!$D250="","",SortedPieces!$D250)</f>
        <v/>
      </c>
      <c r="E254" s="3" t="str">
        <f>IF(SortedPieces!$E250="","",SortedPieces!$E250)</f>
        <v/>
      </c>
      <c r="F254" s="4" t="str">
        <f>IF($B254="","",IF($C254&lt;=$O254,$C254,IF(AND($E254="Y",$D254&lt;=$O254),$D254,IF(AND($E254="Y",$D254&lt;=Inputs!$B$15,$C254&lt;=Inputs!$B$15),IF($C254&lt;$D254,$D254,$C254),IF(AND($E254="Y",$D254&lt;=Inputs!$B$15),$D254,$C254)))))</f>
        <v/>
      </c>
      <c r="G254" s="4" t="str">
        <f>IF($B254="","",IF($C254&lt;=$O254,$D254,IF(AND($E254="Y",$D254&lt;=$O254),$C254,IF(AND($E254="Y",$D254&lt;=Inputs!$B$15,$C254&lt;=Inputs!$B$15),IF($C254&lt;$D254,$C254,$D254),IF(AND($E254="Y",$D254&lt;=Inputs!$B$15),$C254,$D254)))))</f>
        <v/>
      </c>
      <c r="H254" s="3" t="str">
        <f t="shared" si="27"/>
        <v/>
      </c>
      <c r="I254" s="4" t="str">
        <f t="shared" si="29"/>
        <v/>
      </c>
      <c r="J254" s="4" t="str">
        <f t="shared" si="30"/>
        <v/>
      </c>
      <c r="K254" s="4" t="str">
        <f t="shared" si="31"/>
        <v/>
      </c>
      <c r="L254" s="4" t="str">
        <f t="shared" si="32"/>
        <v/>
      </c>
      <c r="M254" s="4" t="str">
        <f t="shared" si="28"/>
        <v/>
      </c>
      <c r="N254" s="4" t="str">
        <f t="shared" si="33"/>
        <v/>
      </c>
      <c r="O254" s="4" t="str">
        <f>IF($B254="","",Inputs!$B$15-$M253)</f>
        <v/>
      </c>
      <c r="P254" s="3" t="str">
        <f t="shared" si="34"/>
        <v/>
      </c>
      <c r="Q254" s="3" t="str">
        <f t="shared" si="35"/>
        <v/>
      </c>
      <c r="R254" s="3" t="str">
        <f>IF($B254="","",IF($Q254,($L253+$N253+$G254)&gt;Inputs!$B$16,FALSE))</f>
        <v/>
      </c>
      <c r="S254" s="3" t="str">
        <f>IF($B254="","",IF(OR($F254&gt;Inputs!$B$15,$G254&gt;Inputs!$B$16),"TOO BIG",IF($R254,"NEW SHEET",IF($Q254,"NEW ROW","OK"))))</f>
        <v/>
      </c>
    </row>
    <row r="255" spans="1:19" x14ac:dyDescent="0.2">
      <c r="A255" s="4">
        <v>249</v>
      </c>
      <c r="B255" s="3" t="str">
        <f>IF(SortedPieces!$B251="","",SortedPieces!$B251)</f>
        <v/>
      </c>
      <c r="C255" s="4" t="str">
        <f>IF(SortedPieces!$C251="","",SortedPieces!$C251)</f>
        <v/>
      </c>
      <c r="D255" s="4" t="str">
        <f>IF(SortedPieces!$D251="","",SortedPieces!$D251)</f>
        <v/>
      </c>
      <c r="E255" s="3" t="str">
        <f>IF(SortedPieces!$E251="","",SortedPieces!$E251)</f>
        <v/>
      </c>
      <c r="F255" s="4" t="str">
        <f>IF($B255="","",IF($C255&lt;=$O255,$C255,IF(AND($E255="Y",$D255&lt;=$O255),$D255,IF(AND($E255="Y",$D255&lt;=Inputs!$B$15,$C255&lt;=Inputs!$B$15),IF($C255&lt;$D255,$D255,$C255),IF(AND($E255="Y",$D255&lt;=Inputs!$B$15),$D255,$C255)))))</f>
        <v/>
      </c>
      <c r="G255" s="4" t="str">
        <f>IF($B255="","",IF($C255&lt;=$O255,$D255,IF(AND($E255="Y",$D255&lt;=$O255),$C255,IF(AND($E255="Y",$D255&lt;=Inputs!$B$15,$C255&lt;=Inputs!$B$15),IF($C255&lt;$D255,$C255,$D255),IF(AND($E255="Y",$D255&lt;=Inputs!$B$15),$C255,$D255)))))</f>
        <v/>
      </c>
      <c r="H255" s="3" t="str">
        <f t="shared" si="27"/>
        <v/>
      </c>
      <c r="I255" s="4" t="str">
        <f t="shared" si="29"/>
        <v/>
      </c>
      <c r="J255" s="4" t="str">
        <f t="shared" si="30"/>
        <v/>
      </c>
      <c r="K255" s="4" t="str">
        <f t="shared" si="31"/>
        <v/>
      </c>
      <c r="L255" s="4" t="str">
        <f t="shared" si="32"/>
        <v/>
      </c>
      <c r="M255" s="4" t="str">
        <f t="shared" si="28"/>
        <v/>
      </c>
      <c r="N255" s="4" t="str">
        <f t="shared" si="33"/>
        <v/>
      </c>
      <c r="O255" s="4" t="str">
        <f>IF($B255="","",Inputs!$B$15-$M254)</f>
        <v/>
      </c>
      <c r="P255" s="3" t="str">
        <f t="shared" si="34"/>
        <v/>
      </c>
      <c r="Q255" s="3" t="str">
        <f t="shared" si="35"/>
        <v/>
      </c>
      <c r="R255" s="3" t="str">
        <f>IF($B255="","",IF($Q255,($L254+$N254+$G255)&gt;Inputs!$B$16,FALSE))</f>
        <v/>
      </c>
      <c r="S255" s="3" t="str">
        <f>IF($B255="","",IF(OR($F255&gt;Inputs!$B$15,$G255&gt;Inputs!$B$16),"TOO BIG",IF($R255,"NEW SHEET",IF($Q255,"NEW ROW","OK"))))</f>
        <v/>
      </c>
    </row>
    <row r="256" spans="1:19" x14ac:dyDescent="0.2">
      <c r="A256" s="4">
        <v>250</v>
      </c>
      <c r="B256" s="3" t="str">
        <f>IF(SortedPieces!$B252="","",SortedPieces!$B252)</f>
        <v/>
      </c>
      <c r="C256" s="4" t="str">
        <f>IF(SortedPieces!$C252="","",SortedPieces!$C252)</f>
        <v/>
      </c>
      <c r="D256" s="4" t="str">
        <f>IF(SortedPieces!$D252="","",SortedPieces!$D252)</f>
        <v/>
      </c>
      <c r="E256" s="3" t="str">
        <f>IF(SortedPieces!$E252="","",SortedPieces!$E252)</f>
        <v/>
      </c>
      <c r="F256" s="4" t="str">
        <f>IF($B256="","",IF($C256&lt;=$O256,$C256,IF(AND($E256="Y",$D256&lt;=$O256),$D256,IF(AND($E256="Y",$D256&lt;=Inputs!$B$15,$C256&lt;=Inputs!$B$15),IF($C256&lt;$D256,$D256,$C256),IF(AND($E256="Y",$D256&lt;=Inputs!$B$15),$D256,$C256)))))</f>
        <v/>
      </c>
      <c r="G256" s="4" t="str">
        <f>IF($B256="","",IF($C256&lt;=$O256,$D256,IF(AND($E256="Y",$D256&lt;=$O256),$C256,IF(AND($E256="Y",$D256&lt;=Inputs!$B$15,$C256&lt;=Inputs!$B$15),IF($C256&lt;$D256,$C256,$D256),IF(AND($E256="Y",$D256&lt;=Inputs!$B$15),$C256,$D256)))))</f>
        <v/>
      </c>
      <c r="H256" s="3" t="str">
        <f t="shared" si="27"/>
        <v/>
      </c>
      <c r="I256" s="4" t="str">
        <f t="shared" si="29"/>
        <v/>
      </c>
      <c r="J256" s="4" t="str">
        <f t="shared" si="30"/>
        <v/>
      </c>
      <c r="K256" s="4" t="str">
        <f t="shared" si="31"/>
        <v/>
      </c>
      <c r="L256" s="4" t="str">
        <f t="shared" si="32"/>
        <v/>
      </c>
      <c r="M256" s="4" t="str">
        <f t="shared" si="28"/>
        <v/>
      </c>
      <c r="N256" s="4" t="str">
        <f t="shared" si="33"/>
        <v/>
      </c>
      <c r="O256" s="4" t="str">
        <f>IF($B256="","",Inputs!$B$15-$M255)</f>
        <v/>
      </c>
      <c r="P256" s="3" t="str">
        <f t="shared" si="34"/>
        <v/>
      </c>
      <c r="Q256" s="3" t="str">
        <f t="shared" si="35"/>
        <v/>
      </c>
      <c r="R256" s="3" t="str">
        <f>IF($B256="","",IF($Q256,($L255+$N255+$G256)&gt;Inputs!$B$16,FALSE))</f>
        <v/>
      </c>
      <c r="S256" s="3" t="str">
        <f>IF($B256="","",IF(OR($F256&gt;Inputs!$B$15,$G256&gt;Inputs!$B$16),"TOO BIG",IF($R256,"NEW SHEET",IF($Q256,"NEW ROW","OK"))))</f>
        <v/>
      </c>
    </row>
    <row r="257" spans="1:19" x14ac:dyDescent="0.2">
      <c r="A257" s="4">
        <v>251</v>
      </c>
      <c r="B257" s="3" t="str">
        <f>IF(SortedPieces!$B253="","",SortedPieces!$B253)</f>
        <v/>
      </c>
      <c r="C257" s="4" t="str">
        <f>IF(SortedPieces!$C253="","",SortedPieces!$C253)</f>
        <v/>
      </c>
      <c r="D257" s="4" t="str">
        <f>IF(SortedPieces!$D253="","",SortedPieces!$D253)</f>
        <v/>
      </c>
      <c r="E257" s="3" t="str">
        <f>IF(SortedPieces!$E253="","",SortedPieces!$E253)</f>
        <v/>
      </c>
      <c r="F257" s="4" t="str">
        <f>IF($B257="","",IF($C257&lt;=$O257,$C257,IF(AND($E257="Y",$D257&lt;=$O257),$D257,IF(AND($E257="Y",$D257&lt;=Inputs!$B$15,$C257&lt;=Inputs!$B$15),IF($C257&lt;$D257,$D257,$C257),IF(AND($E257="Y",$D257&lt;=Inputs!$B$15),$D257,$C257)))))</f>
        <v/>
      </c>
      <c r="G257" s="4" t="str">
        <f>IF($B257="","",IF($C257&lt;=$O257,$D257,IF(AND($E257="Y",$D257&lt;=$O257),$C257,IF(AND($E257="Y",$D257&lt;=Inputs!$B$15,$C257&lt;=Inputs!$B$15),IF($C257&lt;$D257,$C257,$D257),IF(AND($E257="Y",$D257&lt;=Inputs!$B$15),$C257,$D257)))))</f>
        <v/>
      </c>
      <c r="H257" s="3" t="str">
        <f t="shared" si="27"/>
        <v/>
      </c>
      <c r="I257" s="4" t="str">
        <f t="shared" si="29"/>
        <v/>
      </c>
      <c r="J257" s="4" t="str">
        <f t="shared" si="30"/>
        <v/>
      </c>
      <c r="K257" s="4" t="str">
        <f t="shared" si="31"/>
        <v/>
      </c>
      <c r="L257" s="4" t="str">
        <f t="shared" si="32"/>
        <v/>
      </c>
      <c r="M257" s="4" t="str">
        <f t="shared" si="28"/>
        <v/>
      </c>
      <c r="N257" s="4" t="str">
        <f t="shared" si="33"/>
        <v/>
      </c>
      <c r="O257" s="4" t="str">
        <f>IF($B257="","",Inputs!$B$15-$M256)</f>
        <v/>
      </c>
      <c r="P257" s="3" t="str">
        <f t="shared" si="34"/>
        <v/>
      </c>
      <c r="Q257" s="3" t="str">
        <f t="shared" si="35"/>
        <v/>
      </c>
      <c r="R257" s="3" t="str">
        <f>IF($B257="","",IF($Q257,($L256+$N256+$G257)&gt;Inputs!$B$16,FALSE))</f>
        <v/>
      </c>
      <c r="S257" s="3" t="str">
        <f>IF($B257="","",IF(OR($F257&gt;Inputs!$B$15,$G257&gt;Inputs!$B$16),"TOO BIG",IF($R257,"NEW SHEET",IF($Q257,"NEW ROW","OK"))))</f>
        <v/>
      </c>
    </row>
    <row r="258" spans="1:19" x14ac:dyDescent="0.2">
      <c r="A258" s="4">
        <v>252</v>
      </c>
      <c r="B258" s="3" t="str">
        <f>IF(SortedPieces!$B254="","",SortedPieces!$B254)</f>
        <v/>
      </c>
      <c r="C258" s="4" t="str">
        <f>IF(SortedPieces!$C254="","",SortedPieces!$C254)</f>
        <v/>
      </c>
      <c r="D258" s="4" t="str">
        <f>IF(SortedPieces!$D254="","",SortedPieces!$D254)</f>
        <v/>
      </c>
      <c r="E258" s="3" t="str">
        <f>IF(SortedPieces!$E254="","",SortedPieces!$E254)</f>
        <v/>
      </c>
      <c r="F258" s="4" t="str">
        <f>IF($B258="","",IF($C258&lt;=$O258,$C258,IF(AND($E258="Y",$D258&lt;=$O258),$D258,IF(AND($E258="Y",$D258&lt;=Inputs!$B$15,$C258&lt;=Inputs!$B$15),IF($C258&lt;$D258,$D258,$C258),IF(AND($E258="Y",$D258&lt;=Inputs!$B$15),$D258,$C258)))))</f>
        <v/>
      </c>
      <c r="G258" s="4" t="str">
        <f>IF($B258="","",IF($C258&lt;=$O258,$D258,IF(AND($E258="Y",$D258&lt;=$O258),$C258,IF(AND($E258="Y",$D258&lt;=Inputs!$B$15,$C258&lt;=Inputs!$B$15),IF($C258&lt;$D258,$C258,$D258),IF(AND($E258="Y",$D258&lt;=Inputs!$B$15),$C258,$D258)))))</f>
        <v/>
      </c>
      <c r="H258" s="3" t="str">
        <f t="shared" si="27"/>
        <v/>
      </c>
      <c r="I258" s="4" t="str">
        <f t="shared" si="29"/>
        <v/>
      </c>
      <c r="J258" s="4" t="str">
        <f t="shared" si="30"/>
        <v/>
      </c>
      <c r="K258" s="4" t="str">
        <f t="shared" si="31"/>
        <v/>
      </c>
      <c r="L258" s="4" t="str">
        <f t="shared" si="32"/>
        <v/>
      </c>
      <c r="M258" s="4" t="str">
        <f t="shared" si="28"/>
        <v/>
      </c>
      <c r="N258" s="4" t="str">
        <f t="shared" si="33"/>
        <v/>
      </c>
      <c r="O258" s="4" t="str">
        <f>IF($B258="","",Inputs!$B$15-$M257)</f>
        <v/>
      </c>
      <c r="P258" s="3" t="str">
        <f t="shared" si="34"/>
        <v/>
      </c>
      <c r="Q258" s="3" t="str">
        <f t="shared" si="35"/>
        <v/>
      </c>
      <c r="R258" s="3" t="str">
        <f>IF($B258="","",IF($Q258,($L257+$N257+$G258)&gt;Inputs!$B$16,FALSE))</f>
        <v/>
      </c>
      <c r="S258" s="3" t="str">
        <f>IF($B258="","",IF(OR($F258&gt;Inputs!$B$15,$G258&gt;Inputs!$B$16),"TOO BIG",IF($R258,"NEW SHEET",IF($Q258,"NEW ROW","OK"))))</f>
        <v/>
      </c>
    </row>
    <row r="259" spans="1:19" x14ac:dyDescent="0.2">
      <c r="A259" s="4">
        <v>253</v>
      </c>
      <c r="B259" s="3" t="str">
        <f>IF(SortedPieces!$B255="","",SortedPieces!$B255)</f>
        <v/>
      </c>
      <c r="C259" s="4" t="str">
        <f>IF(SortedPieces!$C255="","",SortedPieces!$C255)</f>
        <v/>
      </c>
      <c r="D259" s="4" t="str">
        <f>IF(SortedPieces!$D255="","",SortedPieces!$D255)</f>
        <v/>
      </c>
      <c r="E259" s="3" t="str">
        <f>IF(SortedPieces!$E255="","",SortedPieces!$E255)</f>
        <v/>
      </c>
      <c r="F259" s="4" t="str">
        <f>IF($B259="","",IF($C259&lt;=$O259,$C259,IF(AND($E259="Y",$D259&lt;=$O259),$D259,IF(AND($E259="Y",$D259&lt;=Inputs!$B$15,$C259&lt;=Inputs!$B$15),IF($C259&lt;$D259,$D259,$C259),IF(AND($E259="Y",$D259&lt;=Inputs!$B$15),$D259,$C259)))))</f>
        <v/>
      </c>
      <c r="G259" s="4" t="str">
        <f>IF($B259="","",IF($C259&lt;=$O259,$D259,IF(AND($E259="Y",$D259&lt;=$O259),$C259,IF(AND($E259="Y",$D259&lt;=Inputs!$B$15,$C259&lt;=Inputs!$B$15),IF($C259&lt;$D259,$C259,$D259),IF(AND($E259="Y",$D259&lt;=Inputs!$B$15),$C259,$D259)))))</f>
        <v/>
      </c>
      <c r="H259" s="3" t="str">
        <f t="shared" si="27"/>
        <v/>
      </c>
      <c r="I259" s="4" t="str">
        <f t="shared" si="29"/>
        <v/>
      </c>
      <c r="J259" s="4" t="str">
        <f t="shared" si="30"/>
        <v/>
      </c>
      <c r="K259" s="4" t="str">
        <f t="shared" si="31"/>
        <v/>
      </c>
      <c r="L259" s="4" t="str">
        <f t="shared" si="32"/>
        <v/>
      </c>
      <c r="M259" s="4" t="str">
        <f t="shared" si="28"/>
        <v/>
      </c>
      <c r="N259" s="4" t="str">
        <f t="shared" si="33"/>
        <v/>
      </c>
      <c r="O259" s="4" t="str">
        <f>IF($B259="","",Inputs!$B$15-$M258)</f>
        <v/>
      </c>
      <c r="P259" s="3" t="str">
        <f t="shared" si="34"/>
        <v/>
      </c>
      <c r="Q259" s="3" t="str">
        <f t="shared" si="35"/>
        <v/>
      </c>
      <c r="R259" s="3" t="str">
        <f>IF($B259="","",IF($Q259,($L258+$N258+$G259)&gt;Inputs!$B$16,FALSE))</f>
        <v/>
      </c>
      <c r="S259" s="3" t="str">
        <f>IF($B259="","",IF(OR($F259&gt;Inputs!$B$15,$G259&gt;Inputs!$B$16),"TOO BIG",IF($R259,"NEW SHEET",IF($Q259,"NEW ROW","OK"))))</f>
        <v/>
      </c>
    </row>
    <row r="260" spans="1:19" x14ac:dyDescent="0.2">
      <c r="A260" s="4">
        <v>254</v>
      </c>
      <c r="B260" s="3" t="str">
        <f>IF(SortedPieces!$B256="","",SortedPieces!$B256)</f>
        <v/>
      </c>
      <c r="C260" s="4" t="str">
        <f>IF(SortedPieces!$C256="","",SortedPieces!$C256)</f>
        <v/>
      </c>
      <c r="D260" s="4" t="str">
        <f>IF(SortedPieces!$D256="","",SortedPieces!$D256)</f>
        <v/>
      </c>
      <c r="E260" s="3" t="str">
        <f>IF(SortedPieces!$E256="","",SortedPieces!$E256)</f>
        <v/>
      </c>
      <c r="F260" s="4" t="str">
        <f>IF($B260="","",IF($C260&lt;=$O260,$C260,IF(AND($E260="Y",$D260&lt;=$O260),$D260,IF(AND($E260="Y",$D260&lt;=Inputs!$B$15,$C260&lt;=Inputs!$B$15),IF($C260&lt;$D260,$D260,$C260),IF(AND($E260="Y",$D260&lt;=Inputs!$B$15),$D260,$C260)))))</f>
        <v/>
      </c>
      <c r="G260" s="4" t="str">
        <f>IF($B260="","",IF($C260&lt;=$O260,$D260,IF(AND($E260="Y",$D260&lt;=$O260),$C260,IF(AND($E260="Y",$D260&lt;=Inputs!$B$15,$C260&lt;=Inputs!$B$15),IF($C260&lt;$D260,$C260,$D260),IF(AND($E260="Y",$D260&lt;=Inputs!$B$15),$C260,$D260)))))</f>
        <v/>
      </c>
      <c r="H260" s="3" t="str">
        <f t="shared" si="27"/>
        <v/>
      </c>
      <c r="I260" s="4" t="str">
        <f t="shared" si="29"/>
        <v/>
      </c>
      <c r="J260" s="4" t="str">
        <f t="shared" si="30"/>
        <v/>
      </c>
      <c r="K260" s="4" t="str">
        <f t="shared" si="31"/>
        <v/>
      </c>
      <c r="L260" s="4" t="str">
        <f t="shared" si="32"/>
        <v/>
      </c>
      <c r="M260" s="4" t="str">
        <f t="shared" si="28"/>
        <v/>
      </c>
      <c r="N260" s="4" t="str">
        <f t="shared" si="33"/>
        <v/>
      </c>
      <c r="O260" s="4" t="str">
        <f>IF($B260="","",Inputs!$B$15-$M259)</f>
        <v/>
      </c>
      <c r="P260" s="3" t="str">
        <f t="shared" si="34"/>
        <v/>
      </c>
      <c r="Q260" s="3" t="str">
        <f t="shared" si="35"/>
        <v/>
      </c>
      <c r="R260" s="3" t="str">
        <f>IF($B260="","",IF($Q260,($L259+$N259+$G260)&gt;Inputs!$B$16,FALSE))</f>
        <v/>
      </c>
      <c r="S260" s="3" t="str">
        <f>IF($B260="","",IF(OR($F260&gt;Inputs!$B$15,$G260&gt;Inputs!$B$16),"TOO BIG",IF($R260,"NEW SHEET",IF($Q260,"NEW ROW","OK"))))</f>
        <v/>
      </c>
    </row>
    <row r="261" spans="1:19" x14ac:dyDescent="0.2">
      <c r="A261" s="4">
        <v>255</v>
      </c>
      <c r="B261" s="3" t="str">
        <f>IF(SortedPieces!$B257="","",SortedPieces!$B257)</f>
        <v/>
      </c>
      <c r="C261" s="4" t="str">
        <f>IF(SortedPieces!$C257="","",SortedPieces!$C257)</f>
        <v/>
      </c>
      <c r="D261" s="4" t="str">
        <f>IF(SortedPieces!$D257="","",SortedPieces!$D257)</f>
        <v/>
      </c>
      <c r="E261" s="3" t="str">
        <f>IF(SortedPieces!$E257="","",SortedPieces!$E257)</f>
        <v/>
      </c>
      <c r="F261" s="4" t="str">
        <f>IF($B261="","",IF($C261&lt;=$O261,$C261,IF(AND($E261="Y",$D261&lt;=$O261),$D261,IF(AND($E261="Y",$D261&lt;=Inputs!$B$15,$C261&lt;=Inputs!$B$15),IF($C261&lt;$D261,$D261,$C261),IF(AND($E261="Y",$D261&lt;=Inputs!$B$15),$D261,$C261)))))</f>
        <v/>
      </c>
      <c r="G261" s="4" t="str">
        <f>IF($B261="","",IF($C261&lt;=$O261,$D261,IF(AND($E261="Y",$D261&lt;=$O261),$C261,IF(AND($E261="Y",$D261&lt;=Inputs!$B$15,$C261&lt;=Inputs!$B$15),IF($C261&lt;$D261,$C261,$D261),IF(AND($E261="Y",$D261&lt;=Inputs!$B$15),$C261,$D261)))))</f>
        <v/>
      </c>
      <c r="H261" s="3" t="str">
        <f t="shared" si="27"/>
        <v/>
      </c>
      <c r="I261" s="4" t="str">
        <f t="shared" si="29"/>
        <v/>
      </c>
      <c r="J261" s="4" t="str">
        <f t="shared" si="30"/>
        <v/>
      </c>
      <c r="K261" s="4" t="str">
        <f t="shared" si="31"/>
        <v/>
      </c>
      <c r="L261" s="4" t="str">
        <f t="shared" si="32"/>
        <v/>
      </c>
      <c r="M261" s="4" t="str">
        <f t="shared" si="28"/>
        <v/>
      </c>
      <c r="N261" s="4" t="str">
        <f t="shared" si="33"/>
        <v/>
      </c>
      <c r="O261" s="4" t="str">
        <f>IF($B261="","",Inputs!$B$15-$M260)</f>
        <v/>
      </c>
      <c r="P261" s="3" t="str">
        <f t="shared" si="34"/>
        <v/>
      </c>
      <c r="Q261" s="3" t="str">
        <f t="shared" si="35"/>
        <v/>
      </c>
      <c r="R261" s="3" t="str">
        <f>IF($B261="","",IF($Q261,($L260+$N260+$G261)&gt;Inputs!$B$16,FALSE))</f>
        <v/>
      </c>
      <c r="S261" s="3" t="str">
        <f>IF($B261="","",IF(OR($F261&gt;Inputs!$B$15,$G261&gt;Inputs!$B$16),"TOO BIG",IF($R261,"NEW SHEET",IF($Q261,"NEW ROW","OK"))))</f>
        <v/>
      </c>
    </row>
    <row r="262" spans="1:19" x14ac:dyDescent="0.2">
      <c r="A262" s="4">
        <v>256</v>
      </c>
      <c r="B262" s="3" t="str">
        <f>IF(SortedPieces!$B258="","",SortedPieces!$B258)</f>
        <v/>
      </c>
      <c r="C262" s="4" t="str">
        <f>IF(SortedPieces!$C258="","",SortedPieces!$C258)</f>
        <v/>
      </c>
      <c r="D262" s="4" t="str">
        <f>IF(SortedPieces!$D258="","",SortedPieces!$D258)</f>
        <v/>
      </c>
      <c r="E262" s="3" t="str">
        <f>IF(SortedPieces!$E258="","",SortedPieces!$E258)</f>
        <v/>
      </c>
      <c r="F262" s="4" t="str">
        <f>IF($B262="","",IF($C262&lt;=$O262,$C262,IF(AND($E262="Y",$D262&lt;=$O262),$D262,IF(AND($E262="Y",$D262&lt;=Inputs!$B$15,$C262&lt;=Inputs!$B$15),IF($C262&lt;$D262,$D262,$C262),IF(AND($E262="Y",$D262&lt;=Inputs!$B$15),$D262,$C262)))))</f>
        <v/>
      </c>
      <c r="G262" s="4" t="str">
        <f>IF($B262="","",IF($C262&lt;=$O262,$D262,IF(AND($E262="Y",$D262&lt;=$O262),$C262,IF(AND($E262="Y",$D262&lt;=Inputs!$B$15,$C262&lt;=Inputs!$B$15),IF($C262&lt;$D262,$C262,$D262),IF(AND($E262="Y",$D262&lt;=Inputs!$B$15),$C262,$D262)))))</f>
        <v/>
      </c>
      <c r="H262" s="3" t="str">
        <f t="shared" si="27"/>
        <v/>
      </c>
      <c r="I262" s="4" t="str">
        <f t="shared" si="29"/>
        <v/>
      </c>
      <c r="J262" s="4" t="str">
        <f t="shared" si="30"/>
        <v/>
      </c>
      <c r="K262" s="4" t="str">
        <f t="shared" si="31"/>
        <v/>
      </c>
      <c r="L262" s="4" t="str">
        <f t="shared" si="32"/>
        <v/>
      </c>
      <c r="M262" s="4" t="str">
        <f t="shared" si="28"/>
        <v/>
      </c>
      <c r="N262" s="4" t="str">
        <f t="shared" si="33"/>
        <v/>
      </c>
      <c r="O262" s="4" t="str">
        <f>IF($B262="","",Inputs!$B$15-$M261)</f>
        <v/>
      </c>
      <c r="P262" s="3" t="str">
        <f t="shared" si="34"/>
        <v/>
      </c>
      <c r="Q262" s="3" t="str">
        <f t="shared" si="35"/>
        <v/>
      </c>
      <c r="R262" s="3" t="str">
        <f>IF($B262="","",IF($Q262,($L261+$N261+$G262)&gt;Inputs!$B$16,FALSE))</f>
        <v/>
      </c>
      <c r="S262" s="3" t="str">
        <f>IF($B262="","",IF(OR($F262&gt;Inputs!$B$15,$G262&gt;Inputs!$B$16),"TOO BIG",IF($R262,"NEW SHEET",IF($Q262,"NEW ROW","OK"))))</f>
        <v/>
      </c>
    </row>
    <row r="263" spans="1:19" x14ac:dyDescent="0.2">
      <c r="A263" s="4">
        <v>257</v>
      </c>
      <c r="B263" s="3" t="str">
        <f>IF(SortedPieces!$B259="","",SortedPieces!$B259)</f>
        <v/>
      </c>
      <c r="C263" s="4" t="str">
        <f>IF(SortedPieces!$C259="","",SortedPieces!$C259)</f>
        <v/>
      </c>
      <c r="D263" s="4" t="str">
        <f>IF(SortedPieces!$D259="","",SortedPieces!$D259)</f>
        <v/>
      </c>
      <c r="E263" s="3" t="str">
        <f>IF(SortedPieces!$E259="","",SortedPieces!$E259)</f>
        <v/>
      </c>
      <c r="F263" s="4" t="str">
        <f>IF($B263="","",IF($C263&lt;=$O263,$C263,IF(AND($E263="Y",$D263&lt;=$O263),$D263,IF(AND($E263="Y",$D263&lt;=Inputs!$B$15,$C263&lt;=Inputs!$B$15),IF($C263&lt;$D263,$D263,$C263),IF(AND($E263="Y",$D263&lt;=Inputs!$B$15),$D263,$C263)))))</f>
        <v/>
      </c>
      <c r="G263" s="4" t="str">
        <f>IF($B263="","",IF($C263&lt;=$O263,$D263,IF(AND($E263="Y",$D263&lt;=$O263),$C263,IF(AND($E263="Y",$D263&lt;=Inputs!$B$15,$C263&lt;=Inputs!$B$15),IF($C263&lt;$D263,$C263,$D263),IF(AND($E263="Y",$D263&lt;=Inputs!$B$15),$C263,$D263)))))</f>
        <v/>
      </c>
      <c r="H263" s="3" t="str">
        <f t="shared" ref="H263:H326" si="36">IF($B263="","",IF(AND($E263="Y",$F263=$D263,$G263=$C263),"Y","N"))</f>
        <v/>
      </c>
      <c r="I263" s="4" t="str">
        <f t="shared" si="29"/>
        <v/>
      </c>
      <c r="J263" s="4" t="str">
        <f t="shared" si="30"/>
        <v/>
      </c>
      <c r="K263" s="4" t="str">
        <f t="shared" si="31"/>
        <v/>
      </c>
      <c r="L263" s="4" t="str">
        <f t="shared" si="32"/>
        <v/>
      </c>
      <c r="M263" s="4" t="str">
        <f t="shared" ref="M263:M326" si="37">IF($B263="","",$K263+$F263)</f>
        <v/>
      </c>
      <c r="N263" s="4" t="str">
        <f t="shared" si="33"/>
        <v/>
      </c>
      <c r="O263" s="4" t="str">
        <f>IF($B263="","",Inputs!$B$15-$M262)</f>
        <v/>
      </c>
      <c r="P263" s="3" t="str">
        <f t="shared" si="34"/>
        <v/>
      </c>
      <c r="Q263" s="3" t="str">
        <f t="shared" si="35"/>
        <v/>
      </c>
      <c r="R263" s="3" t="str">
        <f>IF($B263="","",IF($Q263,($L262+$N262+$G263)&gt;Inputs!$B$16,FALSE))</f>
        <v/>
      </c>
      <c r="S263" s="3" t="str">
        <f>IF($B263="","",IF(OR($F263&gt;Inputs!$B$15,$G263&gt;Inputs!$B$16),"TOO BIG",IF($R263,"NEW SHEET",IF($Q263,"NEW ROW","OK"))))</f>
        <v/>
      </c>
    </row>
    <row r="264" spans="1:19" x14ac:dyDescent="0.2">
      <c r="A264" s="4">
        <v>258</v>
      </c>
      <c r="B264" s="3" t="str">
        <f>IF(SortedPieces!$B260="","",SortedPieces!$B260)</f>
        <v/>
      </c>
      <c r="C264" s="4" t="str">
        <f>IF(SortedPieces!$C260="","",SortedPieces!$C260)</f>
        <v/>
      </c>
      <c r="D264" s="4" t="str">
        <f>IF(SortedPieces!$D260="","",SortedPieces!$D260)</f>
        <v/>
      </c>
      <c r="E264" s="3" t="str">
        <f>IF(SortedPieces!$E260="","",SortedPieces!$E260)</f>
        <v/>
      </c>
      <c r="F264" s="4" t="str">
        <f>IF($B264="","",IF($C264&lt;=$O264,$C264,IF(AND($E264="Y",$D264&lt;=$O264),$D264,IF(AND($E264="Y",$D264&lt;=Inputs!$B$15,$C264&lt;=Inputs!$B$15),IF($C264&lt;$D264,$D264,$C264),IF(AND($E264="Y",$D264&lt;=Inputs!$B$15),$D264,$C264)))))</f>
        <v/>
      </c>
      <c r="G264" s="4" t="str">
        <f>IF($B264="","",IF($C264&lt;=$O264,$D264,IF(AND($E264="Y",$D264&lt;=$O264),$C264,IF(AND($E264="Y",$D264&lt;=Inputs!$B$15,$C264&lt;=Inputs!$B$15),IF($C264&lt;$D264,$C264,$D264),IF(AND($E264="Y",$D264&lt;=Inputs!$B$15),$C264,$D264)))))</f>
        <v/>
      </c>
      <c r="H264" s="3" t="str">
        <f t="shared" si="36"/>
        <v/>
      </c>
      <c r="I264" s="4" t="str">
        <f t="shared" ref="I264:I327" si="38">IF($B264="","",IF($R264,$I263+1,$I263))</f>
        <v/>
      </c>
      <c r="J264" s="4" t="str">
        <f t="shared" ref="J264:J327" si="39">IF($B264="","",IF($R264,1,IF($Q264,$J263+1,$J263)))</f>
        <v/>
      </c>
      <c r="K264" s="4" t="str">
        <f t="shared" ref="K264:K327" si="40">IF($B264="","",IF($R264,0,IF($Q264,0,$M263)))</f>
        <v/>
      </c>
      <c r="L264" s="4" t="str">
        <f t="shared" ref="L264:L327" si="41">IF($B264="","",IF($R264,0,IF($Q264,$L263+$N263,$L263)))</f>
        <v/>
      </c>
      <c r="M264" s="4" t="str">
        <f t="shared" si="37"/>
        <v/>
      </c>
      <c r="N264" s="4" t="str">
        <f t="shared" ref="N264:N327" si="42">IF($B264="","",IF($R264,$G264,IF($Q264,$G264,MAX($N263,$G264))))</f>
        <v/>
      </c>
      <c r="O264" s="4" t="str">
        <f>IF($B264="","",Inputs!$B$15-$M263)</f>
        <v/>
      </c>
      <c r="P264" s="3" t="str">
        <f t="shared" ref="P264:P327" si="43">IF($B264="","",IF($F264&lt;=$O264,TRUE,FALSE))</f>
        <v/>
      </c>
      <c r="Q264" s="3" t="str">
        <f t="shared" ref="Q264:Q327" si="44">IF($B264="","",NOT($P264))</f>
        <v/>
      </c>
      <c r="R264" s="3" t="str">
        <f>IF($B264="","",IF($Q264,($L263+$N263+$G264)&gt;Inputs!$B$16,FALSE))</f>
        <v/>
      </c>
      <c r="S264" s="3" t="str">
        <f>IF($B264="","",IF(OR($F264&gt;Inputs!$B$15,$G264&gt;Inputs!$B$16),"TOO BIG",IF($R264,"NEW SHEET",IF($Q264,"NEW ROW","OK"))))</f>
        <v/>
      </c>
    </row>
    <row r="265" spans="1:19" x14ac:dyDescent="0.2">
      <c r="A265" s="4">
        <v>259</v>
      </c>
      <c r="B265" s="3" t="str">
        <f>IF(SortedPieces!$B261="","",SortedPieces!$B261)</f>
        <v/>
      </c>
      <c r="C265" s="4" t="str">
        <f>IF(SortedPieces!$C261="","",SortedPieces!$C261)</f>
        <v/>
      </c>
      <c r="D265" s="4" t="str">
        <f>IF(SortedPieces!$D261="","",SortedPieces!$D261)</f>
        <v/>
      </c>
      <c r="E265" s="3" t="str">
        <f>IF(SortedPieces!$E261="","",SortedPieces!$E261)</f>
        <v/>
      </c>
      <c r="F265" s="4" t="str">
        <f>IF($B265="","",IF($C265&lt;=$O265,$C265,IF(AND($E265="Y",$D265&lt;=$O265),$D265,IF(AND($E265="Y",$D265&lt;=Inputs!$B$15,$C265&lt;=Inputs!$B$15),IF($C265&lt;$D265,$D265,$C265),IF(AND($E265="Y",$D265&lt;=Inputs!$B$15),$D265,$C265)))))</f>
        <v/>
      </c>
      <c r="G265" s="4" t="str">
        <f>IF($B265="","",IF($C265&lt;=$O265,$D265,IF(AND($E265="Y",$D265&lt;=$O265),$C265,IF(AND($E265="Y",$D265&lt;=Inputs!$B$15,$C265&lt;=Inputs!$B$15),IF($C265&lt;$D265,$C265,$D265),IF(AND($E265="Y",$D265&lt;=Inputs!$B$15),$C265,$D265)))))</f>
        <v/>
      </c>
      <c r="H265" s="3" t="str">
        <f t="shared" si="36"/>
        <v/>
      </c>
      <c r="I265" s="4" t="str">
        <f t="shared" si="38"/>
        <v/>
      </c>
      <c r="J265" s="4" t="str">
        <f t="shared" si="39"/>
        <v/>
      </c>
      <c r="K265" s="4" t="str">
        <f t="shared" si="40"/>
        <v/>
      </c>
      <c r="L265" s="4" t="str">
        <f t="shared" si="41"/>
        <v/>
      </c>
      <c r="M265" s="4" t="str">
        <f t="shared" si="37"/>
        <v/>
      </c>
      <c r="N265" s="4" t="str">
        <f t="shared" si="42"/>
        <v/>
      </c>
      <c r="O265" s="4" t="str">
        <f>IF($B265="","",Inputs!$B$15-$M264)</f>
        <v/>
      </c>
      <c r="P265" s="3" t="str">
        <f t="shared" si="43"/>
        <v/>
      </c>
      <c r="Q265" s="3" t="str">
        <f t="shared" si="44"/>
        <v/>
      </c>
      <c r="R265" s="3" t="str">
        <f>IF($B265="","",IF($Q265,($L264+$N264+$G265)&gt;Inputs!$B$16,FALSE))</f>
        <v/>
      </c>
      <c r="S265" s="3" t="str">
        <f>IF($B265="","",IF(OR($F265&gt;Inputs!$B$15,$G265&gt;Inputs!$B$16),"TOO BIG",IF($R265,"NEW SHEET",IF($Q265,"NEW ROW","OK"))))</f>
        <v/>
      </c>
    </row>
    <row r="266" spans="1:19" x14ac:dyDescent="0.2">
      <c r="A266" s="4">
        <v>260</v>
      </c>
      <c r="B266" s="3" t="str">
        <f>IF(SortedPieces!$B262="","",SortedPieces!$B262)</f>
        <v/>
      </c>
      <c r="C266" s="4" t="str">
        <f>IF(SortedPieces!$C262="","",SortedPieces!$C262)</f>
        <v/>
      </c>
      <c r="D266" s="4" t="str">
        <f>IF(SortedPieces!$D262="","",SortedPieces!$D262)</f>
        <v/>
      </c>
      <c r="E266" s="3" t="str">
        <f>IF(SortedPieces!$E262="","",SortedPieces!$E262)</f>
        <v/>
      </c>
      <c r="F266" s="4" t="str">
        <f>IF($B266="","",IF($C266&lt;=$O266,$C266,IF(AND($E266="Y",$D266&lt;=$O266),$D266,IF(AND($E266="Y",$D266&lt;=Inputs!$B$15,$C266&lt;=Inputs!$B$15),IF($C266&lt;$D266,$D266,$C266),IF(AND($E266="Y",$D266&lt;=Inputs!$B$15),$D266,$C266)))))</f>
        <v/>
      </c>
      <c r="G266" s="4" t="str">
        <f>IF($B266="","",IF($C266&lt;=$O266,$D266,IF(AND($E266="Y",$D266&lt;=$O266),$C266,IF(AND($E266="Y",$D266&lt;=Inputs!$B$15,$C266&lt;=Inputs!$B$15),IF($C266&lt;$D266,$C266,$D266),IF(AND($E266="Y",$D266&lt;=Inputs!$B$15),$C266,$D266)))))</f>
        <v/>
      </c>
      <c r="H266" s="3" t="str">
        <f t="shared" si="36"/>
        <v/>
      </c>
      <c r="I266" s="4" t="str">
        <f t="shared" si="38"/>
        <v/>
      </c>
      <c r="J266" s="4" t="str">
        <f t="shared" si="39"/>
        <v/>
      </c>
      <c r="K266" s="4" t="str">
        <f t="shared" si="40"/>
        <v/>
      </c>
      <c r="L266" s="4" t="str">
        <f t="shared" si="41"/>
        <v/>
      </c>
      <c r="M266" s="4" t="str">
        <f t="shared" si="37"/>
        <v/>
      </c>
      <c r="N266" s="4" t="str">
        <f t="shared" si="42"/>
        <v/>
      </c>
      <c r="O266" s="4" t="str">
        <f>IF($B266="","",Inputs!$B$15-$M265)</f>
        <v/>
      </c>
      <c r="P266" s="3" t="str">
        <f t="shared" si="43"/>
        <v/>
      </c>
      <c r="Q266" s="3" t="str">
        <f t="shared" si="44"/>
        <v/>
      </c>
      <c r="R266" s="3" t="str">
        <f>IF($B266="","",IF($Q266,($L265+$N265+$G266)&gt;Inputs!$B$16,FALSE))</f>
        <v/>
      </c>
      <c r="S266" s="3" t="str">
        <f>IF($B266="","",IF(OR($F266&gt;Inputs!$B$15,$G266&gt;Inputs!$B$16),"TOO BIG",IF($R266,"NEW SHEET",IF($Q266,"NEW ROW","OK"))))</f>
        <v/>
      </c>
    </row>
    <row r="267" spans="1:19" x14ac:dyDescent="0.2">
      <c r="A267" s="4">
        <v>261</v>
      </c>
      <c r="B267" s="3" t="str">
        <f>IF(SortedPieces!$B263="","",SortedPieces!$B263)</f>
        <v/>
      </c>
      <c r="C267" s="4" t="str">
        <f>IF(SortedPieces!$C263="","",SortedPieces!$C263)</f>
        <v/>
      </c>
      <c r="D267" s="4" t="str">
        <f>IF(SortedPieces!$D263="","",SortedPieces!$D263)</f>
        <v/>
      </c>
      <c r="E267" s="3" t="str">
        <f>IF(SortedPieces!$E263="","",SortedPieces!$E263)</f>
        <v/>
      </c>
      <c r="F267" s="4" t="str">
        <f>IF($B267="","",IF($C267&lt;=$O267,$C267,IF(AND($E267="Y",$D267&lt;=$O267),$D267,IF(AND($E267="Y",$D267&lt;=Inputs!$B$15,$C267&lt;=Inputs!$B$15),IF($C267&lt;$D267,$D267,$C267),IF(AND($E267="Y",$D267&lt;=Inputs!$B$15),$D267,$C267)))))</f>
        <v/>
      </c>
      <c r="G267" s="4" t="str">
        <f>IF($B267="","",IF($C267&lt;=$O267,$D267,IF(AND($E267="Y",$D267&lt;=$O267),$C267,IF(AND($E267="Y",$D267&lt;=Inputs!$B$15,$C267&lt;=Inputs!$B$15),IF($C267&lt;$D267,$C267,$D267),IF(AND($E267="Y",$D267&lt;=Inputs!$B$15),$C267,$D267)))))</f>
        <v/>
      </c>
      <c r="H267" s="3" t="str">
        <f t="shared" si="36"/>
        <v/>
      </c>
      <c r="I267" s="4" t="str">
        <f t="shared" si="38"/>
        <v/>
      </c>
      <c r="J267" s="4" t="str">
        <f t="shared" si="39"/>
        <v/>
      </c>
      <c r="K267" s="4" t="str">
        <f t="shared" si="40"/>
        <v/>
      </c>
      <c r="L267" s="4" t="str">
        <f t="shared" si="41"/>
        <v/>
      </c>
      <c r="M267" s="4" t="str">
        <f t="shared" si="37"/>
        <v/>
      </c>
      <c r="N267" s="4" t="str">
        <f t="shared" si="42"/>
        <v/>
      </c>
      <c r="O267" s="4" t="str">
        <f>IF($B267="","",Inputs!$B$15-$M266)</f>
        <v/>
      </c>
      <c r="P267" s="3" t="str">
        <f t="shared" si="43"/>
        <v/>
      </c>
      <c r="Q267" s="3" t="str">
        <f t="shared" si="44"/>
        <v/>
      </c>
      <c r="R267" s="3" t="str">
        <f>IF($B267="","",IF($Q267,($L266+$N266+$G267)&gt;Inputs!$B$16,FALSE))</f>
        <v/>
      </c>
      <c r="S267" s="3" t="str">
        <f>IF($B267="","",IF(OR($F267&gt;Inputs!$B$15,$G267&gt;Inputs!$B$16),"TOO BIG",IF($R267,"NEW SHEET",IF($Q267,"NEW ROW","OK"))))</f>
        <v/>
      </c>
    </row>
    <row r="268" spans="1:19" x14ac:dyDescent="0.2">
      <c r="A268" s="4">
        <v>262</v>
      </c>
      <c r="B268" s="3" t="str">
        <f>IF(SortedPieces!$B264="","",SortedPieces!$B264)</f>
        <v/>
      </c>
      <c r="C268" s="4" t="str">
        <f>IF(SortedPieces!$C264="","",SortedPieces!$C264)</f>
        <v/>
      </c>
      <c r="D268" s="4" t="str">
        <f>IF(SortedPieces!$D264="","",SortedPieces!$D264)</f>
        <v/>
      </c>
      <c r="E268" s="3" t="str">
        <f>IF(SortedPieces!$E264="","",SortedPieces!$E264)</f>
        <v/>
      </c>
      <c r="F268" s="4" t="str">
        <f>IF($B268="","",IF($C268&lt;=$O268,$C268,IF(AND($E268="Y",$D268&lt;=$O268),$D268,IF(AND($E268="Y",$D268&lt;=Inputs!$B$15,$C268&lt;=Inputs!$B$15),IF($C268&lt;$D268,$D268,$C268),IF(AND($E268="Y",$D268&lt;=Inputs!$B$15),$D268,$C268)))))</f>
        <v/>
      </c>
      <c r="G268" s="4" t="str">
        <f>IF($B268="","",IF($C268&lt;=$O268,$D268,IF(AND($E268="Y",$D268&lt;=$O268),$C268,IF(AND($E268="Y",$D268&lt;=Inputs!$B$15,$C268&lt;=Inputs!$B$15),IF($C268&lt;$D268,$C268,$D268),IF(AND($E268="Y",$D268&lt;=Inputs!$B$15),$C268,$D268)))))</f>
        <v/>
      </c>
      <c r="H268" s="3" t="str">
        <f t="shared" si="36"/>
        <v/>
      </c>
      <c r="I268" s="4" t="str">
        <f t="shared" si="38"/>
        <v/>
      </c>
      <c r="J268" s="4" t="str">
        <f t="shared" si="39"/>
        <v/>
      </c>
      <c r="K268" s="4" t="str">
        <f t="shared" si="40"/>
        <v/>
      </c>
      <c r="L268" s="4" t="str">
        <f t="shared" si="41"/>
        <v/>
      </c>
      <c r="M268" s="4" t="str">
        <f t="shared" si="37"/>
        <v/>
      </c>
      <c r="N268" s="4" t="str">
        <f t="shared" si="42"/>
        <v/>
      </c>
      <c r="O268" s="4" t="str">
        <f>IF($B268="","",Inputs!$B$15-$M267)</f>
        <v/>
      </c>
      <c r="P268" s="3" t="str">
        <f t="shared" si="43"/>
        <v/>
      </c>
      <c r="Q268" s="3" t="str">
        <f t="shared" si="44"/>
        <v/>
      </c>
      <c r="R268" s="3" t="str">
        <f>IF($B268="","",IF($Q268,($L267+$N267+$G268)&gt;Inputs!$B$16,FALSE))</f>
        <v/>
      </c>
      <c r="S268" s="3" t="str">
        <f>IF($B268="","",IF(OR($F268&gt;Inputs!$B$15,$G268&gt;Inputs!$B$16),"TOO BIG",IF($R268,"NEW SHEET",IF($Q268,"NEW ROW","OK"))))</f>
        <v/>
      </c>
    </row>
    <row r="269" spans="1:19" x14ac:dyDescent="0.2">
      <c r="A269" s="4">
        <v>263</v>
      </c>
      <c r="B269" s="3" t="str">
        <f>IF(SortedPieces!$B265="","",SortedPieces!$B265)</f>
        <v/>
      </c>
      <c r="C269" s="4" t="str">
        <f>IF(SortedPieces!$C265="","",SortedPieces!$C265)</f>
        <v/>
      </c>
      <c r="D269" s="4" t="str">
        <f>IF(SortedPieces!$D265="","",SortedPieces!$D265)</f>
        <v/>
      </c>
      <c r="E269" s="3" t="str">
        <f>IF(SortedPieces!$E265="","",SortedPieces!$E265)</f>
        <v/>
      </c>
      <c r="F269" s="4" t="str">
        <f>IF($B269="","",IF($C269&lt;=$O269,$C269,IF(AND($E269="Y",$D269&lt;=$O269),$D269,IF(AND($E269="Y",$D269&lt;=Inputs!$B$15,$C269&lt;=Inputs!$B$15),IF($C269&lt;$D269,$D269,$C269),IF(AND($E269="Y",$D269&lt;=Inputs!$B$15),$D269,$C269)))))</f>
        <v/>
      </c>
      <c r="G269" s="4" t="str">
        <f>IF($B269="","",IF($C269&lt;=$O269,$D269,IF(AND($E269="Y",$D269&lt;=$O269),$C269,IF(AND($E269="Y",$D269&lt;=Inputs!$B$15,$C269&lt;=Inputs!$B$15),IF($C269&lt;$D269,$C269,$D269),IF(AND($E269="Y",$D269&lt;=Inputs!$B$15),$C269,$D269)))))</f>
        <v/>
      </c>
      <c r="H269" s="3" t="str">
        <f t="shared" si="36"/>
        <v/>
      </c>
      <c r="I269" s="4" t="str">
        <f t="shared" si="38"/>
        <v/>
      </c>
      <c r="J269" s="4" t="str">
        <f t="shared" si="39"/>
        <v/>
      </c>
      <c r="K269" s="4" t="str">
        <f t="shared" si="40"/>
        <v/>
      </c>
      <c r="L269" s="4" t="str">
        <f t="shared" si="41"/>
        <v/>
      </c>
      <c r="M269" s="4" t="str">
        <f t="shared" si="37"/>
        <v/>
      </c>
      <c r="N269" s="4" t="str">
        <f t="shared" si="42"/>
        <v/>
      </c>
      <c r="O269" s="4" t="str">
        <f>IF($B269="","",Inputs!$B$15-$M268)</f>
        <v/>
      </c>
      <c r="P269" s="3" t="str">
        <f t="shared" si="43"/>
        <v/>
      </c>
      <c r="Q269" s="3" t="str">
        <f t="shared" si="44"/>
        <v/>
      </c>
      <c r="R269" s="3" t="str">
        <f>IF($B269="","",IF($Q269,($L268+$N268+$G269)&gt;Inputs!$B$16,FALSE))</f>
        <v/>
      </c>
      <c r="S269" s="3" t="str">
        <f>IF($B269="","",IF(OR($F269&gt;Inputs!$B$15,$G269&gt;Inputs!$B$16),"TOO BIG",IF($R269,"NEW SHEET",IF($Q269,"NEW ROW","OK"))))</f>
        <v/>
      </c>
    </row>
    <row r="270" spans="1:19" x14ac:dyDescent="0.2">
      <c r="A270" s="4">
        <v>264</v>
      </c>
      <c r="B270" s="3" t="str">
        <f>IF(SortedPieces!$B266="","",SortedPieces!$B266)</f>
        <v/>
      </c>
      <c r="C270" s="4" t="str">
        <f>IF(SortedPieces!$C266="","",SortedPieces!$C266)</f>
        <v/>
      </c>
      <c r="D270" s="4" t="str">
        <f>IF(SortedPieces!$D266="","",SortedPieces!$D266)</f>
        <v/>
      </c>
      <c r="E270" s="3" t="str">
        <f>IF(SortedPieces!$E266="","",SortedPieces!$E266)</f>
        <v/>
      </c>
      <c r="F270" s="4" t="str">
        <f>IF($B270="","",IF($C270&lt;=$O270,$C270,IF(AND($E270="Y",$D270&lt;=$O270),$D270,IF(AND($E270="Y",$D270&lt;=Inputs!$B$15,$C270&lt;=Inputs!$B$15),IF($C270&lt;$D270,$D270,$C270),IF(AND($E270="Y",$D270&lt;=Inputs!$B$15),$D270,$C270)))))</f>
        <v/>
      </c>
      <c r="G270" s="4" t="str">
        <f>IF($B270="","",IF($C270&lt;=$O270,$D270,IF(AND($E270="Y",$D270&lt;=$O270),$C270,IF(AND($E270="Y",$D270&lt;=Inputs!$B$15,$C270&lt;=Inputs!$B$15),IF($C270&lt;$D270,$C270,$D270),IF(AND($E270="Y",$D270&lt;=Inputs!$B$15),$C270,$D270)))))</f>
        <v/>
      </c>
      <c r="H270" s="3" t="str">
        <f t="shared" si="36"/>
        <v/>
      </c>
      <c r="I270" s="4" t="str">
        <f t="shared" si="38"/>
        <v/>
      </c>
      <c r="J270" s="4" t="str">
        <f t="shared" si="39"/>
        <v/>
      </c>
      <c r="K270" s="4" t="str">
        <f t="shared" si="40"/>
        <v/>
      </c>
      <c r="L270" s="4" t="str">
        <f t="shared" si="41"/>
        <v/>
      </c>
      <c r="M270" s="4" t="str">
        <f t="shared" si="37"/>
        <v/>
      </c>
      <c r="N270" s="4" t="str">
        <f t="shared" si="42"/>
        <v/>
      </c>
      <c r="O270" s="4" t="str">
        <f>IF($B270="","",Inputs!$B$15-$M269)</f>
        <v/>
      </c>
      <c r="P270" s="3" t="str">
        <f t="shared" si="43"/>
        <v/>
      </c>
      <c r="Q270" s="3" t="str">
        <f t="shared" si="44"/>
        <v/>
      </c>
      <c r="R270" s="3" t="str">
        <f>IF($B270="","",IF($Q270,($L269+$N269+$G270)&gt;Inputs!$B$16,FALSE))</f>
        <v/>
      </c>
      <c r="S270" s="3" t="str">
        <f>IF($B270="","",IF(OR($F270&gt;Inputs!$B$15,$G270&gt;Inputs!$B$16),"TOO BIG",IF($R270,"NEW SHEET",IF($Q270,"NEW ROW","OK"))))</f>
        <v/>
      </c>
    </row>
    <row r="271" spans="1:19" x14ac:dyDescent="0.2">
      <c r="A271" s="4">
        <v>265</v>
      </c>
      <c r="B271" s="3" t="str">
        <f>IF(SortedPieces!$B267="","",SortedPieces!$B267)</f>
        <v/>
      </c>
      <c r="C271" s="4" t="str">
        <f>IF(SortedPieces!$C267="","",SortedPieces!$C267)</f>
        <v/>
      </c>
      <c r="D271" s="4" t="str">
        <f>IF(SortedPieces!$D267="","",SortedPieces!$D267)</f>
        <v/>
      </c>
      <c r="E271" s="3" t="str">
        <f>IF(SortedPieces!$E267="","",SortedPieces!$E267)</f>
        <v/>
      </c>
      <c r="F271" s="4" t="str">
        <f>IF($B271="","",IF($C271&lt;=$O271,$C271,IF(AND($E271="Y",$D271&lt;=$O271),$D271,IF(AND($E271="Y",$D271&lt;=Inputs!$B$15,$C271&lt;=Inputs!$B$15),IF($C271&lt;$D271,$D271,$C271),IF(AND($E271="Y",$D271&lt;=Inputs!$B$15),$D271,$C271)))))</f>
        <v/>
      </c>
      <c r="G271" s="4" t="str">
        <f>IF($B271="","",IF($C271&lt;=$O271,$D271,IF(AND($E271="Y",$D271&lt;=$O271),$C271,IF(AND($E271="Y",$D271&lt;=Inputs!$B$15,$C271&lt;=Inputs!$B$15),IF($C271&lt;$D271,$C271,$D271),IF(AND($E271="Y",$D271&lt;=Inputs!$B$15),$C271,$D271)))))</f>
        <v/>
      </c>
      <c r="H271" s="3" t="str">
        <f t="shared" si="36"/>
        <v/>
      </c>
      <c r="I271" s="4" t="str">
        <f t="shared" si="38"/>
        <v/>
      </c>
      <c r="J271" s="4" t="str">
        <f t="shared" si="39"/>
        <v/>
      </c>
      <c r="K271" s="4" t="str">
        <f t="shared" si="40"/>
        <v/>
      </c>
      <c r="L271" s="4" t="str">
        <f t="shared" si="41"/>
        <v/>
      </c>
      <c r="M271" s="4" t="str">
        <f t="shared" si="37"/>
        <v/>
      </c>
      <c r="N271" s="4" t="str">
        <f t="shared" si="42"/>
        <v/>
      </c>
      <c r="O271" s="4" t="str">
        <f>IF($B271="","",Inputs!$B$15-$M270)</f>
        <v/>
      </c>
      <c r="P271" s="3" t="str">
        <f t="shared" si="43"/>
        <v/>
      </c>
      <c r="Q271" s="3" t="str">
        <f t="shared" si="44"/>
        <v/>
      </c>
      <c r="R271" s="3" t="str">
        <f>IF($B271="","",IF($Q271,($L270+$N270+$G271)&gt;Inputs!$B$16,FALSE))</f>
        <v/>
      </c>
      <c r="S271" s="3" t="str">
        <f>IF($B271="","",IF(OR($F271&gt;Inputs!$B$15,$G271&gt;Inputs!$B$16),"TOO BIG",IF($R271,"NEW SHEET",IF($Q271,"NEW ROW","OK"))))</f>
        <v/>
      </c>
    </row>
    <row r="272" spans="1:19" x14ac:dyDescent="0.2">
      <c r="A272" s="4">
        <v>266</v>
      </c>
      <c r="B272" s="3" t="str">
        <f>IF(SortedPieces!$B268="","",SortedPieces!$B268)</f>
        <v/>
      </c>
      <c r="C272" s="4" t="str">
        <f>IF(SortedPieces!$C268="","",SortedPieces!$C268)</f>
        <v/>
      </c>
      <c r="D272" s="4" t="str">
        <f>IF(SortedPieces!$D268="","",SortedPieces!$D268)</f>
        <v/>
      </c>
      <c r="E272" s="3" t="str">
        <f>IF(SortedPieces!$E268="","",SortedPieces!$E268)</f>
        <v/>
      </c>
      <c r="F272" s="4" t="str">
        <f>IF($B272="","",IF($C272&lt;=$O272,$C272,IF(AND($E272="Y",$D272&lt;=$O272),$D272,IF(AND($E272="Y",$D272&lt;=Inputs!$B$15,$C272&lt;=Inputs!$B$15),IF($C272&lt;$D272,$D272,$C272),IF(AND($E272="Y",$D272&lt;=Inputs!$B$15),$D272,$C272)))))</f>
        <v/>
      </c>
      <c r="G272" s="4" t="str">
        <f>IF($B272="","",IF($C272&lt;=$O272,$D272,IF(AND($E272="Y",$D272&lt;=$O272),$C272,IF(AND($E272="Y",$D272&lt;=Inputs!$B$15,$C272&lt;=Inputs!$B$15),IF($C272&lt;$D272,$C272,$D272),IF(AND($E272="Y",$D272&lt;=Inputs!$B$15),$C272,$D272)))))</f>
        <v/>
      </c>
      <c r="H272" s="3" t="str">
        <f t="shared" si="36"/>
        <v/>
      </c>
      <c r="I272" s="4" t="str">
        <f t="shared" si="38"/>
        <v/>
      </c>
      <c r="J272" s="4" t="str">
        <f t="shared" si="39"/>
        <v/>
      </c>
      <c r="K272" s="4" t="str">
        <f t="shared" si="40"/>
        <v/>
      </c>
      <c r="L272" s="4" t="str">
        <f t="shared" si="41"/>
        <v/>
      </c>
      <c r="M272" s="4" t="str">
        <f t="shared" si="37"/>
        <v/>
      </c>
      <c r="N272" s="4" t="str">
        <f t="shared" si="42"/>
        <v/>
      </c>
      <c r="O272" s="4" t="str">
        <f>IF($B272="","",Inputs!$B$15-$M271)</f>
        <v/>
      </c>
      <c r="P272" s="3" t="str">
        <f t="shared" si="43"/>
        <v/>
      </c>
      <c r="Q272" s="3" t="str">
        <f t="shared" si="44"/>
        <v/>
      </c>
      <c r="R272" s="3" t="str">
        <f>IF($B272="","",IF($Q272,($L271+$N271+$G272)&gt;Inputs!$B$16,FALSE))</f>
        <v/>
      </c>
      <c r="S272" s="3" t="str">
        <f>IF($B272="","",IF(OR($F272&gt;Inputs!$B$15,$G272&gt;Inputs!$B$16),"TOO BIG",IF($R272,"NEW SHEET",IF($Q272,"NEW ROW","OK"))))</f>
        <v/>
      </c>
    </row>
    <row r="273" spans="1:19" x14ac:dyDescent="0.2">
      <c r="A273" s="4">
        <v>267</v>
      </c>
      <c r="B273" s="3" t="str">
        <f>IF(SortedPieces!$B269="","",SortedPieces!$B269)</f>
        <v/>
      </c>
      <c r="C273" s="4" t="str">
        <f>IF(SortedPieces!$C269="","",SortedPieces!$C269)</f>
        <v/>
      </c>
      <c r="D273" s="4" t="str">
        <f>IF(SortedPieces!$D269="","",SortedPieces!$D269)</f>
        <v/>
      </c>
      <c r="E273" s="3" t="str">
        <f>IF(SortedPieces!$E269="","",SortedPieces!$E269)</f>
        <v/>
      </c>
      <c r="F273" s="4" t="str">
        <f>IF($B273="","",IF($C273&lt;=$O273,$C273,IF(AND($E273="Y",$D273&lt;=$O273),$D273,IF(AND($E273="Y",$D273&lt;=Inputs!$B$15,$C273&lt;=Inputs!$B$15),IF($C273&lt;$D273,$D273,$C273),IF(AND($E273="Y",$D273&lt;=Inputs!$B$15),$D273,$C273)))))</f>
        <v/>
      </c>
      <c r="G273" s="4" t="str">
        <f>IF($B273="","",IF($C273&lt;=$O273,$D273,IF(AND($E273="Y",$D273&lt;=$O273),$C273,IF(AND($E273="Y",$D273&lt;=Inputs!$B$15,$C273&lt;=Inputs!$B$15),IF($C273&lt;$D273,$C273,$D273),IF(AND($E273="Y",$D273&lt;=Inputs!$B$15),$C273,$D273)))))</f>
        <v/>
      </c>
      <c r="H273" s="3" t="str">
        <f t="shared" si="36"/>
        <v/>
      </c>
      <c r="I273" s="4" t="str">
        <f t="shared" si="38"/>
        <v/>
      </c>
      <c r="J273" s="4" t="str">
        <f t="shared" si="39"/>
        <v/>
      </c>
      <c r="K273" s="4" t="str">
        <f t="shared" si="40"/>
        <v/>
      </c>
      <c r="L273" s="4" t="str">
        <f t="shared" si="41"/>
        <v/>
      </c>
      <c r="M273" s="4" t="str">
        <f t="shared" si="37"/>
        <v/>
      </c>
      <c r="N273" s="4" t="str">
        <f t="shared" si="42"/>
        <v/>
      </c>
      <c r="O273" s="4" t="str">
        <f>IF($B273="","",Inputs!$B$15-$M272)</f>
        <v/>
      </c>
      <c r="P273" s="3" t="str">
        <f t="shared" si="43"/>
        <v/>
      </c>
      <c r="Q273" s="3" t="str">
        <f t="shared" si="44"/>
        <v/>
      </c>
      <c r="R273" s="3" t="str">
        <f>IF($B273="","",IF($Q273,($L272+$N272+$G273)&gt;Inputs!$B$16,FALSE))</f>
        <v/>
      </c>
      <c r="S273" s="3" t="str">
        <f>IF($B273="","",IF(OR($F273&gt;Inputs!$B$15,$G273&gt;Inputs!$B$16),"TOO BIG",IF($R273,"NEW SHEET",IF($Q273,"NEW ROW","OK"))))</f>
        <v/>
      </c>
    </row>
    <row r="274" spans="1:19" x14ac:dyDescent="0.2">
      <c r="A274" s="4">
        <v>268</v>
      </c>
      <c r="B274" s="3" t="str">
        <f>IF(SortedPieces!$B270="","",SortedPieces!$B270)</f>
        <v/>
      </c>
      <c r="C274" s="4" t="str">
        <f>IF(SortedPieces!$C270="","",SortedPieces!$C270)</f>
        <v/>
      </c>
      <c r="D274" s="4" t="str">
        <f>IF(SortedPieces!$D270="","",SortedPieces!$D270)</f>
        <v/>
      </c>
      <c r="E274" s="3" t="str">
        <f>IF(SortedPieces!$E270="","",SortedPieces!$E270)</f>
        <v/>
      </c>
      <c r="F274" s="4" t="str">
        <f>IF($B274="","",IF($C274&lt;=$O274,$C274,IF(AND($E274="Y",$D274&lt;=$O274),$D274,IF(AND($E274="Y",$D274&lt;=Inputs!$B$15,$C274&lt;=Inputs!$B$15),IF($C274&lt;$D274,$D274,$C274),IF(AND($E274="Y",$D274&lt;=Inputs!$B$15),$D274,$C274)))))</f>
        <v/>
      </c>
      <c r="G274" s="4" t="str">
        <f>IF($B274="","",IF($C274&lt;=$O274,$D274,IF(AND($E274="Y",$D274&lt;=$O274),$C274,IF(AND($E274="Y",$D274&lt;=Inputs!$B$15,$C274&lt;=Inputs!$B$15),IF($C274&lt;$D274,$C274,$D274),IF(AND($E274="Y",$D274&lt;=Inputs!$B$15),$C274,$D274)))))</f>
        <v/>
      </c>
      <c r="H274" s="3" t="str">
        <f t="shared" si="36"/>
        <v/>
      </c>
      <c r="I274" s="4" t="str">
        <f t="shared" si="38"/>
        <v/>
      </c>
      <c r="J274" s="4" t="str">
        <f t="shared" si="39"/>
        <v/>
      </c>
      <c r="K274" s="4" t="str">
        <f t="shared" si="40"/>
        <v/>
      </c>
      <c r="L274" s="4" t="str">
        <f t="shared" si="41"/>
        <v/>
      </c>
      <c r="M274" s="4" t="str">
        <f t="shared" si="37"/>
        <v/>
      </c>
      <c r="N274" s="4" t="str">
        <f t="shared" si="42"/>
        <v/>
      </c>
      <c r="O274" s="4" t="str">
        <f>IF($B274="","",Inputs!$B$15-$M273)</f>
        <v/>
      </c>
      <c r="P274" s="3" t="str">
        <f t="shared" si="43"/>
        <v/>
      </c>
      <c r="Q274" s="3" t="str">
        <f t="shared" si="44"/>
        <v/>
      </c>
      <c r="R274" s="3" t="str">
        <f>IF($B274="","",IF($Q274,($L273+$N273+$G274)&gt;Inputs!$B$16,FALSE))</f>
        <v/>
      </c>
      <c r="S274" s="3" t="str">
        <f>IF($B274="","",IF(OR($F274&gt;Inputs!$B$15,$G274&gt;Inputs!$B$16),"TOO BIG",IF($R274,"NEW SHEET",IF($Q274,"NEW ROW","OK"))))</f>
        <v/>
      </c>
    </row>
    <row r="275" spans="1:19" x14ac:dyDescent="0.2">
      <c r="A275" s="4">
        <v>269</v>
      </c>
      <c r="B275" s="3" t="str">
        <f>IF(SortedPieces!$B271="","",SortedPieces!$B271)</f>
        <v/>
      </c>
      <c r="C275" s="4" t="str">
        <f>IF(SortedPieces!$C271="","",SortedPieces!$C271)</f>
        <v/>
      </c>
      <c r="D275" s="4" t="str">
        <f>IF(SortedPieces!$D271="","",SortedPieces!$D271)</f>
        <v/>
      </c>
      <c r="E275" s="3" t="str">
        <f>IF(SortedPieces!$E271="","",SortedPieces!$E271)</f>
        <v/>
      </c>
      <c r="F275" s="4" t="str">
        <f>IF($B275="","",IF($C275&lt;=$O275,$C275,IF(AND($E275="Y",$D275&lt;=$O275),$D275,IF(AND($E275="Y",$D275&lt;=Inputs!$B$15,$C275&lt;=Inputs!$B$15),IF($C275&lt;$D275,$D275,$C275),IF(AND($E275="Y",$D275&lt;=Inputs!$B$15),$D275,$C275)))))</f>
        <v/>
      </c>
      <c r="G275" s="4" t="str">
        <f>IF($B275="","",IF($C275&lt;=$O275,$D275,IF(AND($E275="Y",$D275&lt;=$O275),$C275,IF(AND($E275="Y",$D275&lt;=Inputs!$B$15,$C275&lt;=Inputs!$B$15),IF($C275&lt;$D275,$C275,$D275),IF(AND($E275="Y",$D275&lt;=Inputs!$B$15),$C275,$D275)))))</f>
        <v/>
      </c>
      <c r="H275" s="3" t="str">
        <f t="shared" si="36"/>
        <v/>
      </c>
      <c r="I275" s="4" t="str">
        <f t="shared" si="38"/>
        <v/>
      </c>
      <c r="J275" s="4" t="str">
        <f t="shared" si="39"/>
        <v/>
      </c>
      <c r="K275" s="4" t="str">
        <f t="shared" si="40"/>
        <v/>
      </c>
      <c r="L275" s="4" t="str">
        <f t="shared" si="41"/>
        <v/>
      </c>
      <c r="M275" s="4" t="str">
        <f t="shared" si="37"/>
        <v/>
      </c>
      <c r="N275" s="4" t="str">
        <f t="shared" si="42"/>
        <v/>
      </c>
      <c r="O275" s="4" t="str">
        <f>IF($B275="","",Inputs!$B$15-$M274)</f>
        <v/>
      </c>
      <c r="P275" s="3" t="str">
        <f t="shared" si="43"/>
        <v/>
      </c>
      <c r="Q275" s="3" t="str">
        <f t="shared" si="44"/>
        <v/>
      </c>
      <c r="R275" s="3" t="str">
        <f>IF($B275="","",IF($Q275,($L274+$N274+$G275)&gt;Inputs!$B$16,FALSE))</f>
        <v/>
      </c>
      <c r="S275" s="3" t="str">
        <f>IF($B275="","",IF(OR($F275&gt;Inputs!$B$15,$G275&gt;Inputs!$B$16),"TOO BIG",IF($R275,"NEW SHEET",IF($Q275,"NEW ROW","OK"))))</f>
        <v/>
      </c>
    </row>
    <row r="276" spans="1:19" x14ac:dyDescent="0.2">
      <c r="A276" s="4">
        <v>270</v>
      </c>
      <c r="B276" s="3" t="str">
        <f>IF(SortedPieces!$B272="","",SortedPieces!$B272)</f>
        <v/>
      </c>
      <c r="C276" s="4" t="str">
        <f>IF(SortedPieces!$C272="","",SortedPieces!$C272)</f>
        <v/>
      </c>
      <c r="D276" s="4" t="str">
        <f>IF(SortedPieces!$D272="","",SortedPieces!$D272)</f>
        <v/>
      </c>
      <c r="E276" s="3" t="str">
        <f>IF(SortedPieces!$E272="","",SortedPieces!$E272)</f>
        <v/>
      </c>
      <c r="F276" s="4" t="str">
        <f>IF($B276="","",IF($C276&lt;=$O276,$C276,IF(AND($E276="Y",$D276&lt;=$O276),$D276,IF(AND($E276="Y",$D276&lt;=Inputs!$B$15,$C276&lt;=Inputs!$B$15),IF($C276&lt;$D276,$D276,$C276),IF(AND($E276="Y",$D276&lt;=Inputs!$B$15),$D276,$C276)))))</f>
        <v/>
      </c>
      <c r="G276" s="4" t="str">
        <f>IF($B276="","",IF($C276&lt;=$O276,$D276,IF(AND($E276="Y",$D276&lt;=$O276),$C276,IF(AND($E276="Y",$D276&lt;=Inputs!$B$15,$C276&lt;=Inputs!$B$15),IF($C276&lt;$D276,$C276,$D276),IF(AND($E276="Y",$D276&lt;=Inputs!$B$15),$C276,$D276)))))</f>
        <v/>
      </c>
      <c r="H276" s="3" t="str">
        <f t="shared" si="36"/>
        <v/>
      </c>
      <c r="I276" s="4" t="str">
        <f t="shared" si="38"/>
        <v/>
      </c>
      <c r="J276" s="4" t="str">
        <f t="shared" si="39"/>
        <v/>
      </c>
      <c r="K276" s="4" t="str">
        <f t="shared" si="40"/>
        <v/>
      </c>
      <c r="L276" s="4" t="str">
        <f t="shared" si="41"/>
        <v/>
      </c>
      <c r="M276" s="4" t="str">
        <f t="shared" si="37"/>
        <v/>
      </c>
      <c r="N276" s="4" t="str">
        <f t="shared" si="42"/>
        <v/>
      </c>
      <c r="O276" s="4" t="str">
        <f>IF($B276="","",Inputs!$B$15-$M275)</f>
        <v/>
      </c>
      <c r="P276" s="3" t="str">
        <f t="shared" si="43"/>
        <v/>
      </c>
      <c r="Q276" s="3" t="str">
        <f t="shared" si="44"/>
        <v/>
      </c>
      <c r="R276" s="3" t="str">
        <f>IF($B276="","",IF($Q276,($L275+$N275+$G276)&gt;Inputs!$B$16,FALSE))</f>
        <v/>
      </c>
      <c r="S276" s="3" t="str">
        <f>IF($B276="","",IF(OR($F276&gt;Inputs!$B$15,$G276&gt;Inputs!$B$16),"TOO BIG",IF($R276,"NEW SHEET",IF($Q276,"NEW ROW","OK"))))</f>
        <v/>
      </c>
    </row>
    <row r="277" spans="1:19" x14ac:dyDescent="0.2">
      <c r="A277" s="4">
        <v>271</v>
      </c>
      <c r="B277" s="3" t="str">
        <f>IF(SortedPieces!$B273="","",SortedPieces!$B273)</f>
        <v/>
      </c>
      <c r="C277" s="4" t="str">
        <f>IF(SortedPieces!$C273="","",SortedPieces!$C273)</f>
        <v/>
      </c>
      <c r="D277" s="4" t="str">
        <f>IF(SortedPieces!$D273="","",SortedPieces!$D273)</f>
        <v/>
      </c>
      <c r="E277" s="3" t="str">
        <f>IF(SortedPieces!$E273="","",SortedPieces!$E273)</f>
        <v/>
      </c>
      <c r="F277" s="4" t="str">
        <f>IF($B277="","",IF($C277&lt;=$O277,$C277,IF(AND($E277="Y",$D277&lt;=$O277),$D277,IF(AND($E277="Y",$D277&lt;=Inputs!$B$15,$C277&lt;=Inputs!$B$15),IF($C277&lt;$D277,$D277,$C277),IF(AND($E277="Y",$D277&lt;=Inputs!$B$15),$D277,$C277)))))</f>
        <v/>
      </c>
      <c r="G277" s="4" t="str">
        <f>IF($B277="","",IF($C277&lt;=$O277,$D277,IF(AND($E277="Y",$D277&lt;=$O277),$C277,IF(AND($E277="Y",$D277&lt;=Inputs!$B$15,$C277&lt;=Inputs!$B$15),IF($C277&lt;$D277,$C277,$D277),IF(AND($E277="Y",$D277&lt;=Inputs!$B$15),$C277,$D277)))))</f>
        <v/>
      </c>
      <c r="H277" s="3" t="str">
        <f t="shared" si="36"/>
        <v/>
      </c>
      <c r="I277" s="4" t="str">
        <f t="shared" si="38"/>
        <v/>
      </c>
      <c r="J277" s="4" t="str">
        <f t="shared" si="39"/>
        <v/>
      </c>
      <c r="K277" s="4" t="str">
        <f t="shared" si="40"/>
        <v/>
      </c>
      <c r="L277" s="4" t="str">
        <f t="shared" si="41"/>
        <v/>
      </c>
      <c r="M277" s="4" t="str">
        <f t="shared" si="37"/>
        <v/>
      </c>
      <c r="N277" s="4" t="str">
        <f t="shared" si="42"/>
        <v/>
      </c>
      <c r="O277" s="4" t="str">
        <f>IF($B277="","",Inputs!$B$15-$M276)</f>
        <v/>
      </c>
      <c r="P277" s="3" t="str">
        <f t="shared" si="43"/>
        <v/>
      </c>
      <c r="Q277" s="3" t="str">
        <f t="shared" si="44"/>
        <v/>
      </c>
      <c r="R277" s="3" t="str">
        <f>IF($B277="","",IF($Q277,($L276+$N276+$G277)&gt;Inputs!$B$16,FALSE))</f>
        <v/>
      </c>
      <c r="S277" s="3" t="str">
        <f>IF($B277="","",IF(OR($F277&gt;Inputs!$B$15,$G277&gt;Inputs!$B$16),"TOO BIG",IF($R277,"NEW SHEET",IF($Q277,"NEW ROW","OK"))))</f>
        <v/>
      </c>
    </row>
    <row r="278" spans="1:19" x14ac:dyDescent="0.2">
      <c r="A278" s="4">
        <v>272</v>
      </c>
      <c r="B278" s="3" t="str">
        <f>IF(SortedPieces!$B274="","",SortedPieces!$B274)</f>
        <v/>
      </c>
      <c r="C278" s="4" t="str">
        <f>IF(SortedPieces!$C274="","",SortedPieces!$C274)</f>
        <v/>
      </c>
      <c r="D278" s="4" t="str">
        <f>IF(SortedPieces!$D274="","",SortedPieces!$D274)</f>
        <v/>
      </c>
      <c r="E278" s="3" t="str">
        <f>IF(SortedPieces!$E274="","",SortedPieces!$E274)</f>
        <v/>
      </c>
      <c r="F278" s="4" t="str">
        <f>IF($B278="","",IF($C278&lt;=$O278,$C278,IF(AND($E278="Y",$D278&lt;=$O278),$D278,IF(AND($E278="Y",$D278&lt;=Inputs!$B$15,$C278&lt;=Inputs!$B$15),IF($C278&lt;$D278,$D278,$C278),IF(AND($E278="Y",$D278&lt;=Inputs!$B$15),$D278,$C278)))))</f>
        <v/>
      </c>
      <c r="G278" s="4" t="str">
        <f>IF($B278="","",IF($C278&lt;=$O278,$D278,IF(AND($E278="Y",$D278&lt;=$O278),$C278,IF(AND($E278="Y",$D278&lt;=Inputs!$B$15,$C278&lt;=Inputs!$B$15),IF($C278&lt;$D278,$C278,$D278),IF(AND($E278="Y",$D278&lt;=Inputs!$B$15),$C278,$D278)))))</f>
        <v/>
      </c>
      <c r="H278" s="3" t="str">
        <f t="shared" si="36"/>
        <v/>
      </c>
      <c r="I278" s="4" t="str">
        <f t="shared" si="38"/>
        <v/>
      </c>
      <c r="J278" s="4" t="str">
        <f t="shared" si="39"/>
        <v/>
      </c>
      <c r="K278" s="4" t="str">
        <f t="shared" si="40"/>
        <v/>
      </c>
      <c r="L278" s="4" t="str">
        <f t="shared" si="41"/>
        <v/>
      </c>
      <c r="M278" s="4" t="str">
        <f t="shared" si="37"/>
        <v/>
      </c>
      <c r="N278" s="4" t="str">
        <f t="shared" si="42"/>
        <v/>
      </c>
      <c r="O278" s="4" t="str">
        <f>IF($B278="","",Inputs!$B$15-$M277)</f>
        <v/>
      </c>
      <c r="P278" s="3" t="str">
        <f t="shared" si="43"/>
        <v/>
      </c>
      <c r="Q278" s="3" t="str">
        <f t="shared" si="44"/>
        <v/>
      </c>
      <c r="R278" s="3" t="str">
        <f>IF($B278="","",IF($Q278,($L277+$N277+$G278)&gt;Inputs!$B$16,FALSE))</f>
        <v/>
      </c>
      <c r="S278" s="3" t="str">
        <f>IF($B278="","",IF(OR($F278&gt;Inputs!$B$15,$G278&gt;Inputs!$B$16),"TOO BIG",IF($R278,"NEW SHEET",IF($Q278,"NEW ROW","OK"))))</f>
        <v/>
      </c>
    </row>
    <row r="279" spans="1:19" x14ac:dyDescent="0.2">
      <c r="A279" s="4">
        <v>273</v>
      </c>
      <c r="B279" s="3" t="str">
        <f>IF(SortedPieces!$B275="","",SortedPieces!$B275)</f>
        <v/>
      </c>
      <c r="C279" s="4" t="str">
        <f>IF(SortedPieces!$C275="","",SortedPieces!$C275)</f>
        <v/>
      </c>
      <c r="D279" s="4" t="str">
        <f>IF(SortedPieces!$D275="","",SortedPieces!$D275)</f>
        <v/>
      </c>
      <c r="E279" s="3" t="str">
        <f>IF(SortedPieces!$E275="","",SortedPieces!$E275)</f>
        <v/>
      </c>
      <c r="F279" s="4" t="str">
        <f>IF($B279="","",IF($C279&lt;=$O279,$C279,IF(AND($E279="Y",$D279&lt;=$O279),$D279,IF(AND($E279="Y",$D279&lt;=Inputs!$B$15,$C279&lt;=Inputs!$B$15),IF($C279&lt;$D279,$D279,$C279),IF(AND($E279="Y",$D279&lt;=Inputs!$B$15),$D279,$C279)))))</f>
        <v/>
      </c>
      <c r="G279" s="4" t="str">
        <f>IF($B279="","",IF($C279&lt;=$O279,$D279,IF(AND($E279="Y",$D279&lt;=$O279),$C279,IF(AND($E279="Y",$D279&lt;=Inputs!$B$15,$C279&lt;=Inputs!$B$15),IF($C279&lt;$D279,$C279,$D279),IF(AND($E279="Y",$D279&lt;=Inputs!$B$15),$C279,$D279)))))</f>
        <v/>
      </c>
      <c r="H279" s="3" t="str">
        <f t="shared" si="36"/>
        <v/>
      </c>
      <c r="I279" s="4" t="str">
        <f t="shared" si="38"/>
        <v/>
      </c>
      <c r="J279" s="4" t="str">
        <f t="shared" si="39"/>
        <v/>
      </c>
      <c r="K279" s="4" t="str">
        <f t="shared" si="40"/>
        <v/>
      </c>
      <c r="L279" s="4" t="str">
        <f t="shared" si="41"/>
        <v/>
      </c>
      <c r="M279" s="4" t="str">
        <f t="shared" si="37"/>
        <v/>
      </c>
      <c r="N279" s="4" t="str">
        <f t="shared" si="42"/>
        <v/>
      </c>
      <c r="O279" s="4" t="str">
        <f>IF($B279="","",Inputs!$B$15-$M278)</f>
        <v/>
      </c>
      <c r="P279" s="3" t="str">
        <f t="shared" si="43"/>
        <v/>
      </c>
      <c r="Q279" s="3" t="str">
        <f t="shared" si="44"/>
        <v/>
      </c>
      <c r="R279" s="3" t="str">
        <f>IF($B279="","",IF($Q279,($L278+$N278+$G279)&gt;Inputs!$B$16,FALSE))</f>
        <v/>
      </c>
      <c r="S279" s="3" t="str">
        <f>IF($B279="","",IF(OR($F279&gt;Inputs!$B$15,$G279&gt;Inputs!$B$16),"TOO BIG",IF($R279,"NEW SHEET",IF($Q279,"NEW ROW","OK"))))</f>
        <v/>
      </c>
    </row>
    <row r="280" spans="1:19" x14ac:dyDescent="0.2">
      <c r="A280" s="4">
        <v>274</v>
      </c>
      <c r="B280" s="3" t="str">
        <f>IF(SortedPieces!$B276="","",SortedPieces!$B276)</f>
        <v/>
      </c>
      <c r="C280" s="4" t="str">
        <f>IF(SortedPieces!$C276="","",SortedPieces!$C276)</f>
        <v/>
      </c>
      <c r="D280" s="4" t="str">
        <f>IF(SortedPieces!$D276="","",SortedPieces!$D276)</f>
        <v/>
      </c>
      <c r="E280" s="3" t="str">
        <f>IF(SortedPieces!$E276="","",SortedPieces!$E276)</f>
        <v/>
      </c>
      <c r="F280" s="4" t="str">
        <f>IF($B280="","",IF($C280&lt;=$O280,$C280,IF(AND($E280="Y",$D280&lt;=$O280),$D280,IF(AND($E280="Y",$D280&lt;=Inputs!$B$15,$C280&lt;=Inputs!$B$15),IF($C280&lt;$D280,$D280,$C280),IF(AND($E280="Y",$D280&lt;=Inputs!$B$15),$D280,$C280)))))</f>
        <v/>
      </c>
      <c r="G280" s="4" t="str">
        <f>IF($B280="","",IF($C280&lt;=$O280,$D280,IF(AND($E280="Y",$D280&lt;=$O280),$C280,IF(AND($E280="Y",$D280&lt;=Inputs!$B$15,$C280&lt;=Inputs!$B$15),IF($C280&lt;$D280,$C280,$D280),IF(AND($E280="Y",$D280&lt;=Inputs!$B$15),$C280,$D280)))))</f>
        <v/>
      </c>
      <c r="H280" s="3" t="str">
        <f t="shared" si="36"/>
        <v/>
      </c>
      <c r="I280" s="4" t="str">
        <f t="shared" si="38"/>
        <v/>
      </c>
      <c r="J280" s="4" t="str">
        <f t="shared" si="39"/>
        <v/>
      </c>
      <c r="K280" s="4" t="str">
        <f t="shared" si="40"/>
        <v/>
      </c>
      <c r="L280" s="4" t="str">
        <f t="shared" si="41"/>
        <v/>
      </c>
      <c r="M280" s="4" t="str">
        <f t="shared" si="37"/>
        <v/>
      </c>
      <c r="N280" s="4" t="str">
        <f t="shared" si="42"/>
        <v/>
      </c>
      <c r="O280" s="4" t="str">
        <f>IF($B280="","",Inputs!$B$15-$M279)</f>
        <v/>
      </c>
      <c r="P280" s="3" t="str">
        <f t="shared" si="43"/>
        <v/>
      </c>
      <c r="Q280" s="3" t="str">
        <f t="shared" si="44"/>
        <v/>
      </c>
      <c r="R280" s="3" t="str">
        <f>IF($B280="","",IF($Q280,($L279+$N279+$G280)&gt;Inputs!$B$16,FALSE))</f>
        <v/>
      </c>
      <c r="S280" s="3" t="str">
        <f>IF($B280="","",IF(OR($F280&gt;Inputs!$B$15,$G280&gt;Inputs!$B$16),"TOO BIG",IF($R280,"NEW SHEET",IF($Q280,"NEW ROW","OK"))))</f>
        <v/>
      </c>
    </row>
    <row r="281" spans="1:19" x14ac:dyDescent="0.2">
      <c r="A281" s="4">
        <v>275</v>
      </c>
      <c r="B281" s="3" t="str">
        <f>IF(SortedPieces!$B277="","",SortedPieces!$B277)</f>
        <v/>
      </c>
      <c r="C281" s="4" t="str">
        <f>IF(SortedPieces!$C277="","",SortedPieces!$C277)</f>
        <v/>
      </c>
      <c r="D281" s="4" t="str">
        <f>IF(SortedPieces!$D277="","",SortedPieces!$D277)</f>
        <v/>
      </c>
      <c r="E281" s="3" t="str">
        <f>IF(SortedPieces!$E277="","",SortedPieces!$E277)</f>
        <v/>
      </c>
      <c r="F281" s="4" t="str">
        <f>IF($B281="","",IF($C281&lt;=$O281,$C281,IF(AND($E281="Y",$D281&lt;=$O281),$D281,IF(AND($E281="Y",$D281&lt;=Inputs!$B$15,$C281&lt;=Inputs!$B$15),IF($C281&lt;$D281,$D281,$C281),IF(AND($E281="Y",$D281&lt;=Inputs!$B$15),$D281,$C281)))))</f>
        <v/>
      </c>
      <c r="G281" s="4" t="str">
        <f>IF($B281="","",IF($C281&lt;=$O281,$D281,IF(AND($E281="Y",$D281&lt;=$O281),$C281,IF(AND($E281="Y",$D281&lt;=Inputs!$B$15,$C281&lt;=Inputs!$B$15),IF($C281&lt;$D281,$C281,$D281),IF(AND($E281="Y",$D281&lt;=Inputs!$B$15),$C281,$D281)))))</f>
        <v/>
      </c>
      <c r="H281" s="3" t="str">
        <f t="shared" si="36"/>
        <v/>
      </c>
      <c r="I281" s="4" t="str">
        <f t="shared" si="38"/>
        <v/>
      </c>
      <c r="J281" s="4" t="str">
        <f t="shared" si="39"/>
        <v/>
      </c>
      <c r="K281" s="4" t="str">
        <f t="shared" si="40"/>
        <v/>
      </c>
      <c r="L281" s="4" t="str">
        <f t="shared" si="41"/>
        <v/>
      </c>
      <c r="M281" s="4" t="str">
        <f t="shared" si="37"/>
        <v/>
      </c>
      <c r="N281" s="4" t="str">
        <f t="shared" si="42"/>
        <v/>
      </c>
      <c r="O281" s="4" t="str">
        <f>IF($B281="","",Inputs!$B$15-$M280)</f>
        <v/>
      </c>
      <c r="P281" s="3" t="str">
        <f t="shared" si="43"/>
        <v/>
      </c>
      <c r="Q281" s="3" t="str">
        <f t="shared" si="44"/>
        <v/>
      </c>
      <c r="R281" s="3" t="str">
        <f>IF($B281="","",IF($Q281,($L280+$N280+$G281)&gt;Inputs!$B$16,FALSE))</f>
        <v/>
      </c>
      <c r="S281" s="3" t="str">
        <f>IF($B281="","",IF(OR($F281&gt;Inputs!$B$15,$G281&gt;Inputs!$B$16),"TOO BIG",IF($R281,"NEW SHEET",IF($Q281,"NEW ROW","OK"))))</f>
        <v/>
      </c>
    </row>
    <row r="282" spans="1:19" x14ac:dyDescent="0.2">
      <c r="A282" s="4">
        <v>276</v>
      </c>
      <c r="B282" s="3" t="str">
        <f>IF(SortedPieces!$B278="","",SortedPieces!$B278)</f>
        <v/>
      </c>
      <c r="C282" s="4" t="str">
        <f>IF(SortedPieces!$C278="","",SortedPieces!$C278)</f>
        <v/>
      </c>
      <c r="D282" s="4" t="str">
        <f>IF(SortedPieces!$D278="","",SortedPieces!$D278)</f>
        <v/>
      </c>
      <c r="E282" s="3" t="str">
        <f>IF(SortedPieces!$E278="","",SortedPieces!$E278)</f>
        <v/>
      </c>
      <c r="F282" s="4" t="str">
        <f>IF($B282="","",IF($C282&lt;=$O282,$C282,IF(AND($E282="Y",$D282&lt;=$O282),$D282,IF(AND($E282="Y",$D282&lt;=Inputs!$B$15,$C282&lt;=Inputs!$B$15),IF($C282&lt;$D282,$D282,$C282),IF(AND($E282="Y",$D282&lt;=Inputs!$B$15),$D282,$C282)))))</f>
        <v/>
      </c>
      <c r="G282" s="4" t="str">
        <f>IF($B282="","",IF($C282&lt;=$O282,$D282,IF(AND($E282="Y",$D282&lt;=$O282),$C282,IF(AND($E282="Y",$D282&lt;=Inputs!$B$15,$C282&lt;=Inputs!$B$15),IF($C282&lt;$D282,$C282,$D282),IF(AND($E282="Y",$D282&lt;=Inputs!$B$15),$C282,$D282)))))</f>
        <v/>
      </c>
      <c r="H282" s="3" t="str">
        <f t="shared" si="36"/>
        <v/>
      </c>
      <c r="I282" s="4" t="str">
        <f t="shared" si="38"/>
        <v/>
      </c>
      <c r="J282" s="4" t="str">
        <f t="shared" si="39"/>
        <v/>
      </c>
      <c r="K282" s="4" t="str">
        <f t="shared" si="40"/>
        <v/>
      </c>
      <c r="L282" s="4" t="str">
        <f t="shared" si="41"/>
        <v/>
      </c>
      <c r="M282" s="4" t="str">
        <f t="shared" si="37"/>
        <v/>
      </c>
      <c r="N282" s="4" t="str">
        <f t="shared" si="42"/>
        <v/>
      </c>
      <c r="O282" s="4" t="str">
        <f>IF($B282="","",Inputs!$B$15-$M281)</f>
        <v/>
      </c>
      <c r="P282" s="3" t="str">
        <f t="shared" si="43"/>
        <v/>
      </c>
      <c r="Q282" s="3" t="str">
        <f t="shared" si="44"/>
        <v/>
      </c>
      <c r="R282" s="3" t="str">
        <f>IF($B282="","",IF($Q282,($L281+$N281+$G282)&gt;Inputs!$B$16,FALSE))</f>
        <v/>
      </c>
      <c r="S282" s="3" t="str">
        <f>IF($B282="","",IF(OR($F282&gt;Inputs!$B$15,$G282&gt;Inputs!$B$16),"TOO BIG",IF($R282,"NEW SHEET",IF($Q282,"NEW ROW","OK"))))</f>
        <v/>
      </c>
    </row>
    <row r="283" spans="1:19" x14ac:dyDescent="0.2">
      <c r="A283" s="4">
        <v>277</v>
      </c>
      <c r="B283" s="3" t="str">
        <f>IF(SortedPieces!$B279="","",SortedPieces!$B279)</f>
        <v/>
      </c>
      <c r="C283" s="4" t="str">
        <f>IF(SortedPieces!$C279="","",SortedPieces!$C279)</f>
        <v/>
      </c>
      <c r="D283" s="4" t="str">
        <f>IF(SortedPieces!$D279="","",SortedPieces!$D279)</f>
        <v/>
      </c>
      <c r="E283" s="3" t="str">
        <f>IF(SortedPieces!$E279="","",SortedPieces!$E279)</f>
        <v/>
      </c>
      <c r="F283" s="4" t="str">
        <f>IF($B283="","",IF($C283&lt;=$O283,$C283,IF(AND($E283="Y",$D283&lt;=$O283),$D283,IF(AND($E283="Y",$D283&lt;=Inputs!$B$15,$C283&lt;=Inputs!$B$15),IF($C283&lt;$D283,$D283,$C283),IF(AND($E283="Y",$D283&lt;=Inputs!$B$15),$D283,$C283)))))</f>
        <v/>
      </c>
      <c r="G283" s="4" t="str">
        <f>IF($B283="","",IF($C283&lt;=$O283,$D283,IF(AND($E283="Y",$D283&lt;=$O283),$C283,IF(AND($E283="Y",$D283&lt;=Inputs!$B$15,$C283&lt;=Inputs!$B$15),IF($C283&lt;$D283,$C283,$D283),IF(AND($E283="Y",$D283&lt;=Inputs!$B$15),$C283,$D283)))))</f>
        <v/>
      </c>
      <c r="H283" s="3" t="str">
        <f t="shared" si="36"/>
        <v/>
      </c>
      <c r="I283" s="4" t="str">
        <f t="shared" si="38"/>
        <v/>
      </c>
      <c r="J283" s="4" t="str">
        <f t="shared" si="39"/>
        <v/>
      </c>
      <c r="K283" s="4" t="str">
        <f t="shared" si="40"/>
        <v/>
      </c>
      <c r="L283" s="4" t="str">
        <f t="shared" si="41"/>
        <v/>
      </c>
      <c r="M283" s="4" t="str">
        <f t="shared" si="37"/>
        <v/>
      </c>
      <c r="N283" s="4" t="str">
        <f t="shared" si="42"/>
        <v/>
      </c>
      <c r="O283" s="4" t="str">
        <f>IF($B283="","",Inputs!$B$15-$M282)</f>
        <v/>
      </c>
      <c r="P283" s="3" t="str">
        <f t="shared" si="43"/>
        <v/>
      </c>
      <c r="Q283" s="3" t="str">
        <f t="shared" si="44"/>
        <v/>
      </c>
      <c r="R283" s="3" t="str">
        <f>IF($B283="","",IF($Q283,($L282+$N282+$G283)&gt;Inputs!$B$16,FALSE))</f>
        <v/>
      </c>
      <c r="S283" s="3" t="str">
        <f>IF($B283="","",IF(OR($F283&gt;Inputs!$B$15,$G283&gt;Inputs!$B$16),"TOO BIG",IF($R283,"NEW SHEET",IF($Q283,"NEW ROW","OK"))))</f>
        <v/>
      </c>
    </row>
    <row r="284" spans="1:19" x14ac:dyDescent="0.2">
      <c r="A284" s="4">
        <v>278</v>
      </c>
      <c r="B284" s="3" t="str">
        <f>IF(SortedPieces!$B280="","",SortedPieces!$B280)</f>
        <v/>
      </c>
      <c r="C284" s="4" t="str">
        <f>IF(SortedPieces!$C280="","",SortedPieces!$C280)</f>
        <v/>
      </c>
      <c r="D284" s="4" t="str">
        <f>IF(SortedPieces!$D280="","",SortedPieces!$D280)</f>
        <v/>
      </c>
      <c r="E284" s="3" t="str">
        <f>IF(SortedPieces!$E280="","",SortedPieces!$E280)</f>
        <v/>
      </c>
      <c r="F284" s="4" t="str">
        <f>IF($B284="","",IF($C284&lt;=$O284,$C284,IF(AND($E284="Y",$D284&lt;=$O284),$D284,IF(AND($E284="Y",$D284&lt;=Inputs!$B$15,$C284&lt;=Inputs!$B$15),IF($C284&lt;$D284,$D284,$C284),IF(AND($E284="Y",$D284&lt;=Inputs!$B$15),$D284,$C284)))))</f>
        <v/>
      </c>
      <c r="G284" s="4" t="str">
        <f>IF($B284="","",IF($C284&lt;=$O284,$D284,IF(AND($E284="Y",$D284&lt;=$O284),$C284,IF(AND($E284="Y",$D284&lt;=Inputs!$B$15,$C284&lt;=Inputs!$B$15),IF($C284&lt;$D284,$C284,$D284),IF(AND($E284="Y",$D284&lt;=Inputs!$B$15),$C284,$D284)))))</f>
        <v/>
      </c>
      <c r="H284" s="3" t="str">
        <f t="shared" si="36"/>
        <v/>
      </c>
      <c r="I284" s="4" t="str">
        <f t="shared" si="38"/>
        <v/>
      </c>
      <c r="J284" s="4" t="str">
        <f t="shared" si="39"/>
        <v/>
      </c>
      <c r="K284" s="4" t="str">
        <f t="shared" si="40"/>
        <v/>
      </c>
      <c r="L284" s="4" t="str">
        <f t="shared" si="41"/>
        <v/>
      </c>
      <c r="M284" s="4" t="str">
        <f t="shared" si="37"/>
        <v/>
      </c>
      <c r="N284" s="4" t="str">
        <f t="shared" si="42"/>
        <v/>
      </c>
      <c r="O284" s="4" t="str">
        <f>IF($B284="","",Inputs!$B$15-$M283)</f>
        <v/>
      </c>
      <c r="P284" s="3" t="str">
        <f t="shared" si="43"/>
        <v/>
      </c>
      <c r="Q284" s="3" t="str">
        <f t="shared" si="44"/>
        <v/>
      </c>
      <c r="R284" s="3" t="str">
        <f>IF($B284="","",IF($Q284,($L283+$N283+$G284)&gt;Inputs!$B$16,FALSE))</f>
        <v/>
      </c>
      <c r="S284" s="3" t="str">
        <f>IF($B284="","",IF(OR($F284&gt;Inputs!$B$15,$G284&gt;Inputs!$B$16),"TOO BIG",IF($R284,"NEW SHEET",IF($Q284,"NEW ROW","OK"))))</f>
        <v/>
      </c>
    </row>
    <row r="285" spans="1:19" x14ac:dyDescent="0.2">
      <c r="A285" s="4">
        <v>279</v>
      </c>
      <c r="B285" s="3" t="str">
        <f>IF(SortedPieces!$B281="","",SortedPieces!$B281)</f>
        <v/>
      </c>
      <c r="C285" s="4" t="str">
        <f>IF(SortedPieces!$C281="","",SortedPieces!$C281)</f>
        <v/>
      </c>
      <c r="D285" s="4" t="str">
        <f>IF(SortedPieces!$D281="","",SortedPieces!$D281)</f>
        <v/>
      </c>
      <c r="E285" s="3" t="str">
        <f>IF(SortedPieces!$E281="","",SortedPieces!$E281)</f>
        <v/>
      </c>
      <c r="F285" s="4" t="str">
        <f>IF($B285="","",IF($C285&lt;=$O285,$C285,IF(AND($E285="Y",$D285&lt;=$O285),$D285,IF(AND($E285="Y",$D285&lt;=Inputs!$B$15,$C285&lt;=Inputs!$B$15),IF($C285&lt;$D285,$D285,$C285),IF(AND($E285="Y",$D285&lt;=Inputs!$B$15),$D285,$C285)))))</f>
        <v/>
      </c>
      <c r="G285" s="4" t="str">
        <f>IF($B285="","",IF($C285&lt;=$O285,$D285,IF(AND($E285="Y",$D285&lt;=$O285),$C285,IF(AND($E285="Y",$D285&lt;=Inputs!$B$15,$C285&lt;=Inputs!$B$15),IF($C285&lt;$D285,$C285,$D285),IF(AND($E285="Y",$D285&lt;=Inputs!$B$15),$C285,$D285)))))</f>
        <v/>
      </c>
      <c r="H285" s="3" t="str">
        <f t="shared" si="36"/>
        <v/>
      </c>
      <c r="I285" s="4" t="str">
        <f t="shared" si="38"/>
        <v/>
      </c>
      <c r="J285" s="4" t="str">
        <f t="shared" si="39"/>
        <v/>
      </c>
      <c r="K285" s="4" t="str">
        <f t="shared" si="40"/>
        <v/>
      </c>
      <c r="L285" s="4" t="str">
        <f t="shared" si="41"/>
        <v/>
      </c>
      <c r="M285" s="4" t="str">
        <f t="shared" si="37"/>
        <v/>
      </c>
      <c r="N285" s="4" t="str">
        <f t="shared" si="42"/>
        <v/>
      </c>
      <c r="O285" s="4" t="str">
        <f>IF($B285="","",Inputs!$B$15-$M284)</f>
        <v/>
      </c>
      <c r="P285" s="3" t="str">
        <f t="shared" si="43"/>
        <v/>
      </c>
      <c r="Q285" s="3" t="str">
        <f t="shared" si="44"/>
        <v/>
      </c>
      <c r="R285" s="3" t="str">
        <f>IF($B285="","",IF($Q285,($L284+$N284+$G285)&gt;Inputs!$B$16,FALSE))</f>
        <v/>
      </c>
      <c r="S285" s="3" t="str">
        <f>IF($B285="","",IF(OR($F285&gt;Inputs!$B$15,$G285&gt;Inputs!$B$16),"TOO BIG",IF($R285,"NEW SHEET",IF($Q285,"NEW ROW","OK"))))</f>
        <v/>
      </c>
    </row>
    <row r="286" spans="1:19" x14ac:dyDescent="0.2">
      <c r="A286" s="4">
        <v>280</v>
      </c>
      <c r="B286" s="3" t="str">
        <f>IF(SortedPieces!$B282="","",SortedPieces!$B282)</f>
        <v/>
      </c>
      <c r="C286" s="4" t="str">
        <f>IF(SortedPieces!$C282="","",SortedPieces!$C282)</f>
        <v/>
      </c>
      <c r="D286" s="4" t="str">
        <f>IF(SortedPieces!$D282="","",SortedPieces!$D282)</f>
        <v/>
      </c>
      <c r="E286" s="3" t="str">
        <f>IF(SortedPieces!$E282="","",SortedPieces!$E282)</f>
        <v/>
      </c>
      <c r="F286" s="4" t="str">
        <f>IF($B286="","",IF($C286&lt;=$O286,$C286,IF(AND($E286="Y",$D286&lt;=$O286),$D286,IF(AND($E286="Y",$D286&lt;=Inputs!$B$15,$C286&lt;=Inputs!$B$15),IF($C286&lt;$D286,$D286,$C286),IF(AND($E286="Y",$D286&lt;=Inputs!$B$15),$D286,$C286)))))</f>
        <v/>
      </c>
      <c r="G286" s="4" t="str">
        <f>IF($B286="","",IF($C286&lt;=$O286,$D286,IF(AND($E286="Y",$D286&lt;=$O286),$C286,IF(AND($E286="Y",$D286&lt;=Inputs!$B$15,$C286&lt;=Inputs!$B$15),IF($C286&lt;$D286,$C286,$D286),IF(AND($E286="Y",$D286&lt;=Inputs!$B$15),$C286,$D286)))))</f>
        <v/>
      </c>
      <c r="H286" s="3" t="str">
        <f t="shared" si="36"/>
        <v/>
      </c>
      <c r="I286" s="4" t="str">
        <f t="shared" si="38"/>
        <v/>
      </c>
      <c r="J286" s="4" t="str">
        <f t="shared" si="39"/>
        <v/>
      </c>
      <c r="K286" s="4" t="str">
        <f t="shared" si="40"/>
        <v/>
      </c>
      <c r="L286" s="4" t="str">
        <f t="shared" si="41"/>
        <v/>
      </c>
      <c r="M286" s="4" t="str">
        <f t="shared" si="37"/>
        <v/>
      </c>
      <c r="N286" s="4" t="str">
        <f t="shared" si="42"/>
        <v/>
      </c>
      <c r="O286" s="4" t="str">
        <f>IF($B286="","",Inputs!$B$15-$M285)</f>
        <v/>
      </c>
      <c r="P286" s="3" t="str">
        <f t="shared" si="43"/>
        <v/>
      </c>
      <c r="Q286" s="3" t="str">
        <f t="shared" si="44"/>
        <v/>
      </c>
      <c r="R286" s="3" t="str">
        <f>IF($B286="","",IF($Q286,($L285+$N285+$G286)&gt;Inputs!$B$16,FALSE))</f>
        <v/>
      </c>
      <c r="S286" s="3" t="str">
        <f>IF($B286="","",IF(OR($F286&gt;Inputs!$B$15,$G286&gt;Inputs!$B$16),"TOO BIG",IF($R286,"NEW SHEET",IF($Q286,"NEW ROW","OK"))))</f>
        <v/>
      </c>
    </row>
    <row r="287" spans="1:19" x14ac:dyDescent="0.2">
      <c r="A287" s="4">
        <v>281</v>
      </c>
      <c r="B287" s="3" t="str">
        <f>IF(SortedPieces!$B283="","",SortedPieces!$B283)</f>
        <v/>
      </c>
      <c r="C287" s="4" t="str">
        <f>IF(SortedPieces!$C283="","",SortedPieces!$C283)</f>
        <v/>
      </c>
      <c r="D287" s="4" t="str">
        <f>IF(SortedPieces!$D283="","",SortedPieces!$D283)</f>
        <v/>
      </c>
      <c r="E287" s="3" t="str">
        <f>IF(SortedPieces!$E283="","",SortedPieces!$E283)</f>
        <v/>
      </c>
      <c r="F287" s="4" t="str">
        <f>IF($B287="","",IF($C287&lt;=$O287,$C287,IF(AND($E287="Y",$D287&lt;=$O287),$D287,IF(AND($E287="Y",$D287&lt;=Inputs!$B$15,$C287&lt;=Inputs!$B$15),IF($C287&lt;$D287,$D287,$C287),IF(AND($E287="Y",$D287&lt;=Inputs!$B$15),$D287,$C287)))))</f>
        <v/>
      </c>
      <c r="G287" s="4" t="str">
        <f>IF($B287="","",IF($C287&lt;=$O287,$D287,IF(AND($E287="Y",$D287&lt;=$O287),$C287,IF(AND($E287="Y",$D287&lt;=Inputs!$B$15,$C287&lt;=Inputs!$B$15),IF($C287&lt;$D287,$C287,$D287),IF(AND($E287="Y",$D287&lt;=Inputs!$B$15),$C287,$D287)))))</f>
        <v/>
      </c>
      <c r="H287" s="3" t="str">
        <f t="shared" si="36"/>
        <v/>
      </c>
      <c r="I287" s="4" t="str">
        <f t="shared" si="38"/>
        <v/>
      </c>
      <c r="J287" s="4" t="str">
        <f t="shared" si="39"/>
        <v/>
      </c>
      <c r="K287" s="4" t="str">
        <f t="shared" si="40"/>
        <v/>
      </c>
      <c r="L287" s="4" t="str">
        <f t="shared" si="41"/>
        <v/>
      </c>
      <c r="M287" s="4" t="str">
        <f t="shared" si="37"/>
        <v/>
      </c>
      <c r="N287" s="4" t="str">
        <f t="shared" si="42"/>
        <v/>
      </c>
      <c r="O287" s="4" t="str">
        <f>IF($B287="","",Inputs!$B$15-$M286)</f>
        <v/>
      </c>
      <c r="P287" s="3" t="str">
        <f t="shared" si="43"/>
        <v/>
      </c>
      <c r="Q287" s="3" t="str">
        <f t="shared" si="44"/>
        <v/>
      </c>
      <c r="R287" s="3" t="str">
        <f>IF($B287="","",IF($Q287,($L286+$N286+$G287)&gt;Inputs!$B$16,FALSE))</f>
        <v/>
      </c>
      <c r="S287" s="3" t="str">
        <f>IF($B287="","",IF(OR($F287&gt;Inputs!$B$15,$G287&gt;Inputs!$B$16),"TOO BIG",IF($R287,"NEW SHEET",IF($Q287,"NEW ROW","OK"))))</f>
        <v/>
      </c>
    </row>
    <row r="288" spans="1:19" x14ac:dyDescent="0.2">
      <c r="A288" s="4">
        <v>282</v>
      </c>
      <c r="B288" s="3" t="str">
        <f>IF(SortedPieces!$B284="","",SortedPieces!$B284)</f>
        <v/>
      </c>
      <c r="C288" s="4" t="str">
        <f>IF(SortedPieces!$C284="","",SortedPieces!$C284)</f>
        <v/>
      </c>
      <c r="D288" s="4" t="str">
        <f>IF(SortedPieces!$D284="","",SortedPieces!$D284)</f>
        <v/>
      </c>
      <c r="E288" s="3" t="str">
        <f>IF(SortedPieces!$E284="","",SortedPieces!$E284)</f>
        <v/>
      </c>
      <c r="F288" s="4" t="str">
        <f>IF($B288="","",IF($C288&lt;=$O288,$C288,IF(AND($E288="Y",$D288&lt;=$O288),$D288,IF(AND($E288="Y",$D288&lt;=Inputs!$B$15,$C288&lt;=Inputs!$B$15),IF($C288&lt;$D288,$D288,$C288),IF(AND($E288="Y",$D288&lt;=Inputs!$B$15),$D288,$C288)))))</f>
        <v/>
      </c>
      <c r="G288" s="4" t="str">
        <f>IF($B288="","",IF($C288&lt;=$O288,$D288,IF(AND($E288="Y",$D288&lt;=$O288),$C288,IF(AND($E288="Y",$D288&lt;=Inputs!$B$15,$C288&lt;=Inputs!$B$15),IF($C288&lt;$D288,$C288,$D288),IF(AND($E288="Y",$D288&lt;=Inputs!$B$15),$C288,$D288)))))</f>
        <v/>
      </c>
      <c r="H288" s="3" t="str">
        <f t="shared" si="36"/>
        <v/>
      </c>
      <c r="I288" s="4" t="str">
        <f t="shared" si="38"/>
        <v/>
      </c>
      <c r="J288" s="4" t="str">
        <f t="shared" si="39"/>
        <v/>
      </c>
      <c r="K288" s="4" t="str">
        <f t="shared" si="40"/>
        <v/>
      </c>
      <c r="L288" s="4" t="str">
        <f t="shared" si="41"/>
        <v/>
      </c>
      <c r="M288" s="4" t="str">
        <f t="shared" si="37"/>
        <v/>
      </c>
      <c r="N288" s="4" t="str">
        <f t="shared" si="42"/>
        <v/>
      </c>
      <c r="O288" s="4" t="str">
        <f>IF($B288="","",Inputs!$B$15-$M287)</f>
        <v/>
      </c>
      <c r="P288" s="3" t="str">
        <f t="shared" si="43"/>
        <v/>
      </c>
      <c r="Q288" s="3" t="str">
        <f t="shared" si="44"/>
        <v/>
      </c>
      <c r="R288" s="3" t="str">
        <f>IF($B288="","",IF($Q288,($L287+$N287+$G288)&gt;Inputs!$B$16,FALSE))</f>
        <v/>
      </c>
      <c r="S288" s="3" t="str">
        <f>IF($B288="","",IF(OR($F288&gt;Inputs!$B$15,$G288&gt;Inputs!$B$16),"TOO BIG",IF($R288,"NEW SHEET",IF($Q288,"NEW ROW","OK"))))</f>
        <v/>
      </c>
    </row>
    <row r="289" spans="1:19" x14ac:dyDescent="0.2">
      <c r="A289" s="4">
        <v>283</v>
      </c>
      <c r="B289" s="3" t="str">
        <f>IF(SortedPieces!$B285="","",SortedPieces!$B285)</f>
        <v/>
      </c>
      <c r="C289" s="4" t="str">
        <f>IF(SortedPieces!$C285="","",SortedPieces!$C285)</f>
        <v/>
      </c>
      <c r="D289" s="4" t="str">
        <f>IF(SortedPieces!$D285="","",SortedPieces!$D285)</f>
        <v/>
      </c>
      <c r="E289" s="3" t="str">
        <f>IF(SortedPieces!$E285="","",SortedPieces!$E285)</f>
        <v/>
      </c>
      <c r="F289" s="4" t="str">
        <f>IF($B289="","",IF($C289&lt;=$O289,$C289,IF(AND($E289="Y",$D289&lt;=$O289),$D289,IF(AND($E289="Y",$D289&lt;=Inputs!$B$15,$C289&lt;=Inputs!$B$15),IF($C289&lt;$D289,$D289,$C289),IF(AND($E289="Y",$D289&lt;=Inputs!$B$15),$D289,$C289)))))</f>
        <v/>
      </c>
      <c r="G289" s="4" t="str">
        <f>IF($B289="","",IF($C289&lt;=$O289,$D289,IF(AND($E289="Y",$D289&lt;=$O289),$C289,IF(AND($E289="Y",$D289&lt;=Inputs!$B$15,$C289&lt;=Inputs!$B$15),IF($C289&lt;$D289,$C289,$D289),IF(AND($E289="Y",$D289&lt;=Inputs!$B$15),$C289,$D289)))))</f>
        <v/>
      </c>
      <c r="H289" s="3" t="str">
        <f t="shared" si="36"/>
        <v/>
      </c>
      <c r="I289" s="4" t="str">
        <f t="shared" si="38"/>
        <v/>
      </c>
      <c r="J289" s="4" t="str">
        <f t="shared" si="39"/>
        <v/>
      </c>
      <c r="K289" s="4" t="str">
        <f t="shared" si="40"/>
        <v/>
      </c>
      <c r="L289" s="4" t="str">
        <f t="shared" si="41"/>
        <v/>
      </c>
      <c r="M289" s="4" t="str">
        <f t="shared" si="37"/>
        <v/>
      </c>
      <c r="N289" s="4" t="str">
        <f t="shared" si="42"/>
        <v/>
      </c>
      <c r="O289" s="4" t="str">
        <f>IF($B289="","",Inputs!$B$15-$M288)</f>
        <v/>
      </c>
      <c r="P289" s="3" t="str">
        <f t="shared" si="43"/>
        <v/>
      </c>
      <c r="Q289" s="3" t="str">
        <f t="shared" si="44"/>
        <v/>
      </c>
      <c r="R289" s="3" t="str">
        <f>IF($B289="","",IF($Q289,($L288+$N288+$G289)&gt;Inputs!$B$16,FALSE))</f>
        <v/>
      </c>
      <c r="S289" s="3" t="str">
        <f>IF($B289="","",IF(OR($F289&gt;Inputs!$B$15,$G289&gt;Inputs!$B$16),"TOO BIG",IF($R289,"NEW SHEET",IF($Q289,"NEW ROW","OK"))))</f>
        <v/>
      </c>
    </row>
    <row r="290" spans="1:19" x14ac:dyDescent="0.2">
      <c r="A290" s="4">
        <v>284</v>
      </c>
      <c r="B290" s="3" t="str">
        <f>IF(SortedPieces!$B286="","",SortedPieces!$B286)</f>
        <v/>
      </c>
      <c r="C290" s="4" t="str">
        <f>IF(SortedPieces!$C286="","",SortedPieces!$C286)</f>
        <v/>
      </c>
      <c r="D290" s="4" t="str">
        <f>IF(SortedPieces!$D286="","",SortedPieces!$D286)</f>
        <v/>
      </c>
      <c r="E290" s="3" t="str">
        <f>IF(SortedPieces!$E286="","",SortedPieces!$E286)</f>
        <v/>
      </c>
      <c r="F290" s="4" t="str">
        <f>IF($B290="","",IF($C290&lt;=$O290,$C290,IF(AND($E290="Y",$D290&lt;=$O290),$D290,IF(AND($E290="Y",$D290&lt;=Inputs!$B$15,$C290&lt;=Inputs!$B$15),IF($C290&lt;$D290,$D290,$C290),IF(AND($E290="Y",$D290&lt;=Inputs!$B$15),$D290,$C290)))))</f>
        <v/>
      </c>
      <c r="G290" s="4" t="str">
        <f>IF($B290="","",IF($C290&lt;=$O290,$D290,IF(AND($E290="Y",$D290&lt;=$O290),$C290,IF(AND($E290="Y",$D290&lt;=Inputs!$B$15,$C290&lt;=Inputs!$B$15),IF($C290&lt;$D290,$C290,$D290),IF(AND($E290="Y",$D290&lt;=Inputs!$B$15),$C290,$D290)))))</f>
        <v/>
      </c>
      <c r="H290" s="3" t="str">
        <f t="shared" si="36"/>
        <v/>
      </c>
      <c r="I290" s="4" t="str">
        <f t="shared" si="38"/>
        <v/>
      </c>
      <c r="J290" s="4" t="str">
        <f t="shared" si="39"/>
        <v/>
      </c>
      <c r="K290" s="4" t="str">
        <f t="shared" si="40"/>
        <v/>
      </c>
      <c r="L290" s="4" t="str">
        <f t="shared" si="41"/>
        <v/>
      </c>
      <c r="M290" s="4" t="str">
        <f t="shared" si="37"/>
        <v/>
      </c>
      <c r="N290" s="4" t="str">
        <f t="shared" si="42"/>
        <v/>
      </c>
      <c r="O290" s="4" t="str">
        <f>IF($B290="","",Inputs!$B$15-$M289)</f>
        <v/>
      </c>
      <c r="P290" s="3" t="str">
        <f t="shared" si="43"/>
        <v/>
      </c>
      <c r="Q290" s="3" t="str">
        <f t="shared" si="44"/>
        <v/>
      </c>
      <c r="R290" s="3" t="str">
        <f>IF($B290="","",IF($Q290,($L289+$N289+$G290)&gt;Inputs!$B$16,FALSE))</f>
        <v/>
      </c>
      <c r="S290" s="3" t="str">
        <f>IF($B290="","",IF(OR($F290&gt;Inputs!$B$15,$G290&gt;Inputs!$B$16),"TOO BIG",IF($R290,"NEW SHEET",IF($Q290,"NEW ROW","OK"))))</f>
        <v/>
      </c>
    </row>
    <row r="291" spans="1:19" x14ac:dyDescent="0.2">
      <c r="A291" s="4">
        <v>285</v>
      </c>
      <c r="B291" s="3" t="str">
        <f>IF(SortedPieces!$B287="","",SortedPieces!$B287)</f>
        <v/>
      </c>
      <c r="C291" s="4" t="str">
        <f>IF(SortedPieces!$C287="","",SortedPieces!$C287)</f>
        <v/>
      </c>
      <c r="D291" s="4" t="str">
        <f>IF(SortedPieces!$D287="","",SortedPieces!$D287)</f>
        <v/>
      </c>
      <c r="E291" s="3" t="str">
        <f>IF(SortedPieces!$E287="","",SortedPieces!$E287)</f>
        <v/>
      </c>
      <c r="F291" s="4" t="str">
        <f>IF($B291="","",IF($C291&lt;=$O291,$C291,IF(AND($E291="Y",$D291&lt;=$O291),$D291,IF(AND($E291="Y",$D291&lt;=Inputs!$B$15,$C291&lt;=Inputs!$B$15),IF($C291&lt;$D291,$D291,$C291),IF(AND($E291="Y",$D291&lt;=Inputs!$B$15),$D291,$C291)))))</f>
        <v/>
      </c>
      <c r="G291" s="4" t="str">
        <f>IF($B291="","",IF($C291&lt;=$O291,$D291,IF(AND($E291="Y",$D291&lt;=$O291),$C291,IF(AND($E291="Y",$D291&lt;=Inputs!$B$15,$C291&lt;=Inputs!$B$15),IF($C291&lt;$D291,$C291,$D291),IF(AND($E291="Y",$D291&lt;=Inputs!$B$15),$C291,$D291)))))</f>
        <v/>
      </c>
      <c r="H291" s="3" t="str">
        <f t="shared" si="36"/>
        <v/>
      </c>
      <c r="I291" s="4" t="str">
        <f t="shared" si="38"/>
        <v/>
      </c>
      <c r="J291" s="4" t="str">
        <f t="shared" si="39"/>
        <v/>
      </c>
      <c r="K291" s="4" t="str">
        <f t="shared" si="40"/>
        <v/>
      </c>
      <c r="L291" s="4" t="str">
        <f t="shared" si="41"/>
        <v/>
      </c>
      <c r="M291" s="4" t="str">
        <f t="shared" si="37"/>
        <v/>
      </c>
      <c r="N291" s="4" t="str">
        <f t="shared" si="42"/>
        <v/>
      </c>
      <c r="O291" s="4" t="str">
        <f>IF($B291="","",Inputs!$B$15-$M290)</f>
        <v/>
      </c>
      <c r="P291" s="3" t="str">
        <f t="shared" si="43"/>
        <v/>
      </c>
      <c r="Q291" s="3" t="str">
        <f t="shared" si="44"/>
        <v/>
      </c>
      <c r="R291" s="3" t="str">
        <f>IF($B291="","",IF($Q291,($L290+$N290+$G291)&gt;Inputs!$B$16,FALSE))</f>
        <v/>
      </c>
      <c r="S291" s="3" t="str">
        <f>IF($B291="","",IF(OR($F291&gt;Inputs!$B$15,$G291&gt;Inputs!$B$16),"TOO BIG",IF($R291,"NEW SHEET",IF($Q291,"NEW ROW","OK"))))</f>
        <v/>
      </c>
    </row>
    <row r="292" spans="1:19" x14ac:dyDescent="0.2">
      <c r="A292" s="4">
        <v>286</v>
      </c>
      <c r="B292" s="3" t="str">
        <f>IF(SortedPieces!$B288="","",SortedPieces!$B288)</f>
        <v/>
      </c>
      <c r="C292" s="4" t="str">
        <f>IF(SortedPieces!$C288="","",SortedPieces!$C288)</f>
        <v/>
      </c>
      <c r="D292" s="4" t="str">
        <f>IF(SortedPieces!$D288="","",SortedPieces!$D288)</f>
        <v/>
      </c>
      <c r="E292" s="3" t="str">
        <f>IF(SortedPieces!$E288="","",SortedPieces!$E288)</f>
        <v/>
      </c>
      <c r="F292" s="4" t="str">
        <f>IF($B292="","",IF($C292&lt;=$O292,$C292,IF(AND($E292="Y",$D292&lt;=$O292),$D292,IF(AND($E292="Y",$D292&lt;=Inputs!$B$15,$C292&lt;=Inputs!$B$15),IF($C292&lt;$D292,$D292,$C292),IF(AND($E292="Y",$D292&lt;=Inputs!$B$15),$D292,$C292)))))</f>
        <v/>
      </c>
      <c r="G292" s="4" t="str">
        <f>IF($B292="","",IF($C292&lt;=$O292,$D292,IF(AND($E292="Y",$D292&lt;=$O292),$C292,IF(AND($E292="Y",$D292&lt;=Inputs!$B$15,$C292&lt;=Inputs!$B$15),IF($C292&lt;$D292,$C292,$D292),IF(AND($E292="Y",$D292&lt;=Inputs!$B$15),$C292,$D292)))))</f>
        <v/>
      </c>
      <c r="H292" s="3" t="str">
        <f t="shared" si="36"/>
        <v/>
      </c>
      <c r="I292" s="4" t="str">
        <f t="shared" si="38"/>
        <v/>
      </c>
      <c r="J292" s="4" t="str">
        <f t="shared" si="39"/>
        <v/>
      </c>
      <c r="K292" s="4" t="str">
        <f t="shared" si="40"/>
        <v/>
      </c>
      <c r="L292" s="4" t="str">
        <f t="shared" si="41"/>
        <v/>
      </c>
      <c r="M292" s="4" t="str">
        <f t="shared" si="37"/>
        <v/>
      </c>
      <c r="N292" s="4" t="str">
        <f t="shared" si="42"/>
        <v/>
      </c>
      <c r="O292" s="4" t="str">
        <f>IF($B292="","",Inputs!$B$15-$M291)</f>
        <v/>
      </c>
      <c r="P292" s="3" t="str">
        <f t="shared" si="43"/>
        <v/>
      </c>
      <c r="Q292" s="3" t="str">
        <f t="shared" si="44"/>
        <v/>
      </c>
      <c r="R292" s="3" t="str">
        <f>IF($B292="","",IF($Q292,($L291+$N291+$G292)&gt;Inputs!$B$16,FALSE))</f>
        <v/>
      </c>
      <c r="S292" s="3" t="str">
        <f>IF($B292="","",IF(OR($F292&gt;Inputs!$B$15,$G292&gt;Inputs!$B$16),"TOO BIG",IF($R292,"NEW SHEET",IF($Q292,"NEW ROW","OK"))))</f>
        <v/>
      </c>
    </row>
    <row r="293" spans="1:19" x14ac:dyDescent="0.2">
      <c r="A293" s="4">
        <v>287</v>
      </c>
      <c r="B293" s="3" t="str">
        <f>IF(SortedPieces!$B289="","",SortedPieces!$B289)</f>
        <v/>
      </c>
      <c r="C293" s="4" t="str">
        <f>IF(SortedPieces!$C289="","",SortedPieces!$C289)</f>
        <v/>
      </c>
      <c r="D293" s="4" t="str">
        <f>IF(SortedPieces!$D289="","",SortedPieces!$D289)</f>
        <v/>
      </c>
      <c r="E293" s="3" t="str">
        <f>IF(SortedPieces!$E289="","",SortedPieces!$E289)</f>
        <v/>
      </c>
      <c r="F293" s="4" t="str">
        <f>IF($B293="","",IF($C293&lt;=$O293,$C293,IF(AND($E293="Y",$D293&lt;=$O293),$D293,IF(AND($E293="Y",$D293&lt;=Inputs!$B$15,$C293&lt;=Inputs!$B$15),IF($C293&lt;$D293,$D293,$C293),IF(AND($E293="Y",$D293&lt;=Inputs!$B$15),$D293,$C293)))))</f>
        <v/>
      </c>
      <c r="G293" s="4" t="str">
        <f>IF($B293="","",IF($C293&lt;=$O293,$D293,IF(AND($E293="Y",$D293&lt;=$O293),$C293,IF(AND($E293="Y",$D293&lt;=Inputs!$B$15,$C293&lt;=Inputs!$B$15),IF($C293&lt;$D293,$C293,$D293),IF(AND($E293="Y",$D293&lt;=Inputs!$B$15),$C293,$D293)))))</f>
        <v/>
      </c>
      <c r="H293" s="3" t="str">
        <f t="shared" si="36"/>
        <v/>
      </c>
      <c r="I293" s="4" t="str">
        <f t="shared" si="38"/>
        <v/>
      </c>
      <c r="J293" s="4" t="str">
        <f t="shared" si="39"/>
        <v/>
      </c>
      <c r="K293" s="4" t="str">
        <f t="shared" si="40"/>
        <v/>
      </c>
      <c r="L293" s="4" t="str">
        <f t="shared" si="41"/>
        <v/>
      </c>
      <c r="M293" s="4" t="str">
        <f t="shared" si="37"/>
        <v/>
      </c>
      <c r="N293" s="4" t="str">
        <f t="shared" si="42"/>
        <v/>
      </c>
      <c r="O293" s="4" t="str">
        <f>IF($B293="","",Inputs!$B$15-$M292)</f>
        <v/>
      </c>
      <c r="P293" s="3" t="str">
        <f t="shared" si="43"/>
        <v/>
      </c>
      <c r="Q293" s="3" t="str">
        <f t="shared" si="44"/>
        <v/>
      </c>
      <c r="R293" s="3" t="str">
        <f>IF($B293="","",IF($Q293,($L292+$N292+$G293)&gt;Inputs!$B$16,FALSE))</f>
        <v/>
      </c>
      <c r="S293" s="3" t="str">
        <f>IF($B293="","",IF(OR($F293&gt;Inputs!$B$15,$G293&gt;Inputs!$B$16),"TOO BIG",IF($R293,"NEW SHEET",IF($Q293,"NEW ROW","OK"))))</f>
        <v/>
      </c>
    </row>
    <row r="294" spans="1:19" x14ac:dyDescent="0.2">
      <c r="A294" s="4">
        <v>288</v>
      </c>
      <c r="B294" s="3" t="str">
        <f>IF(SortedPieces!$B290="","",SortedPieces!$B290)</f>
        <v/>
      </c>
      <c r="C294" s="4" t="str">
        <f>IF(SortedPieces!$C290="","",SortedPieces!$C290)</f>
        <v/>
      </c>
      <c r="D294" s="4" t="str">
        <f>IF(SortedPieces!$D290="","",SortedPieces!$D290)</f>
        <v/>
      </c>
      <c r="E294" s="3" t="str">
        <f>IF(SortedPieces!$E290="","",SortedPieces!$E290)</f>
        <v/>
      </c>
      <c r="F294" s="4" t="str">
        <f>IF($B294="","",IF($C294&lt;=$O294,$C294,IF(AND($E294="Y",$D294&lt;=$O294),$D294,IF(AND($E294="Y",$D294&lt;=Inputs!$B$15,$C294&lt;=Inputs!$B$15),IF($C294&lt;$D294,$D294,$C294),IF(AND($E294="Y",$D294&lt;=Inputs!$B$15),$D294,$C294)))))</f>
        <v/>
      </c>
      <c r="G294" s="4" t="str">
        <f>IF($B294="","",IF($C294&lt;=$O294,$D294,IF(AND($E294="Y",$D294&lt;=$O294),$C294,IF(AND($E294="Y",$D294&lt;=Inputs!$B$15,$C294&lt;=Inputs!$B$15),IF($C294&lt;$D294,$C294,$D294),IF(AND($E294="Y",$D294&lt;=Inputs!$B$15),$C294,$D294)))))</f>
        <v/>
      </c>
      <c r="H294" s="3" t="str">
        <f t="shared" si="36"/>
        <v/>
      </c>
      <c r="I294" s="4" t="str">
        <f t="shared" si="38"/>
        <v/>
      </c>
      <c r="J294" s="4" t="str">
        <f t="shared" si="39"/>
        <v/>
      </c>
      <c r="K294" s="4" t="str">
        <f t="shared" si="40"/>
        <v/>
      </c>
      <c r="L294" s="4" t="str">
        <f t="shared" si="41"/>
        <v/>
      </c>
      <c r="M294" s="4" t="str">
        <f t="shared" si="37"/>
        <v/>
      </c>
      <c r="N294" s="4" t="str">
        <f t="shared" si="42"/>
        <v/>
      </c>
      <c r="O294" s="4" t="str">
        <f>IF($B294="","",Inputs!$B$15-$M293)</f>
        <v/>
      </c>
      <c r="P294" s="3" t="str">
        <f t="shared" si="43"/>
        <v/>
      </c>
      <c r="Q294" s="3" t="str">
        <f t="shared" si="44"/>
        <v/>
      </c>
      <c r="R294" s="3" t="str">
        <f>IF($B294="","",IF($Q294,($L293+$N293+$G294)&gt;Inputs!$B$16,FALSE))</f>
        <v/>
      </c>
      <c r="S294" s="3" t="str">
        <f>IF($B294="","",IF(OR($F294&gt;Inputs!$B$15,$G294&gt;Inputs!$B$16),"TOO BIG",IF($R294,"NEW SHEET",IF($Q294,"NEW ROW","OK"))))</f>
        <v/>
      </c>
    </row>
    <row r="295" spans="1:19" x14ac:dyDescent="0.2">
      <c r="A295" s="4">
        <v>289</v>
      </c>
      <c r="B295" s="3" t="str">
        <f>IF(SortedPieces!$B291="","",SortedPieces!$B291)</f>
        <v/>
      </c>
      <c r="C295" s="4" t="str">
        <f>IF(SortedPieces!$C291="","",SortedPieces!$C291)</f>
        <v/>
      </c>
      <c r="D295" s="4" t="str">
        <f>IF(SortedPieces!$D291="","",SortedPieces!$D291)</f>
        <v/>
      </c>
      <c r="E295" s="3" t="str">
        <f>IF(SortedPieces!$E291="","",SortedPieces!$E291)</f>
        <v/>
      </c>
      <c r="F295" s="4" t="str">
        <f>IF($B295="","",IF($C295&lt;=$O295,$C295,IF(AND($E295="Y",$D295&lt;=$O295),$D295,IF(AND($E295="Y",$D295&lt;=Inputs!$B$15,$C295&lt;=Inputs!$B$15),IF($C295&lt;$D295,$D295,$C295),IF(AND($E295="Y",$D295&lt;=Inputs!$B$15),$D295,$C295)))))</f>
        <v/>
      </c>
      <c r="G295" s="4" t="str">
        <f>IF($B295="","",IF($C295&lt;=$O295,$D295,IF(AND($E295="Y",$D295&lt;=$O295),$C295,IF(AND($E295="Y",$D295&lt;=Inputs!$B$15,$C295&lt;=Inputs!$B$15),IF($C295&lt;$D295,$C295,$D295),IF(AND($E295="Y",$D295&lt;=Inputs!$B$15),$C295,$D295)))))</f>
        <v/>
      </c>
      <c r="H295" s="3" t="str">
        <f t="shared" si="36"/>
        <v/>
      </c>
      <c r="I295" s="4" t="str">
        <f t="shared" si="38"/>
        <v/>
      </c>
      <c r="J295" s="4" t="str">
        <f t="shared" si="39"/>
        <v/>
      </c>
      <c r="K295" s="4" t="str">
        <f t="shared" si="40"/>
        <v/>
      </c>
      <c r="L295" s="4" t="str">
        <f t="shared" si="41"/>
        <v/>
      </c>
      <c r="M295" s="4" t="str">
        <f t="shared" si="37"/>
        <v/>
      </c>
      <c r="N295" s="4" t="str">
        <f t="shared" si="42"/>
        <v/>
      </c>
      <c r="O295" s="4" t="str">
        <f>IF($B295="","",Inputs!$B$15-$M294)</f>
        <v/>
      </c>
      <c r="P295" s="3" t="str">
        <f t="shared" si="43"/>
        <v/>
      </c>
      <c r="Q295" s="3" t="str">
        <f t="shared" si="44"/>
        <v/>
      </c>
      <c r="R295" s="3" t="str">
        <f>IF($B295="","",IF($Q295,($L294+$N294+$G295)&gt;Inputs!$B$16,FALSE))</f>
        <v/>
      </c>
      <c r="S295" s="3" t="str">
        <f>IF($B295="","",IF(OR($F295&gt;Inputs!$B$15,$G295&gt;Inputs!$B$16),"TOO BIG",IF($R295,"NEW SHEET",IF($Q295,"NEW ROW","OK"))))</f>
        <v/>
      </c>
    </row>
    <row r="296" spans="1:19" x14ac:dyDescent="0.2">
      <c r="A296" s="4">
        <v>290</v>
      </c>
      <c r="B296" s="3" t="str">
        <f>IF(SortedPieces!$B292="","",SortedPieces!$B292)</f>
        <v/>
      </c>
      <c r="C296" s="4" t="str">
        <f>IF(SortedPieces!$C292="","",SortedPieces!$C292)</f>
        <v/>
      </c>
      <c r="D296" s="4" t="str">
        <f>IF(SortedPieces!$D292="","",SortedPieces!$D292)</f>
        <v/>
      </c>
      <c r="E296" s="3" t="str">
        <f>IF(SortedPieces!$E292="","",SortedPieces!$E292)</f>
        <v/>
      </c>
      <c r="F296" s="4" t="str">
        <f>IF($B296="","",IF($C296&lt;=$O296,$C296,IF(AND($E296="Y",$D296&lt;=$O296),$D296,IF(AND($E296="Y",$D296&lt;=Inputs!$B$15,$C296&lt;=Inputs!$B$15),IF($C296&lt;$D296,$D296,$C296),IF(AND($E296="Y",$D296&lt;=Inputs!$B$15),$D296,$C296)))))</f>
        <v/>
      </c>
      <c r="G296" s="4" t="str">
        <f>IF($B296="","",IF($C296&lt;=$O296,$D296,IF(AND($E296="Y",$D296&lt;=$O296),$C296,IF(AND($E296="Y",$D296&lt;=Inputs!$B$15,$C296&lt;=Inputs!$B$15),IF($C296&lt;$D296,$C296,$D296),IF(AND($E296="Y",$D296&lt;=Inputs!$B$15),$C296,$D296)))))</f>
        <v/>
      </c>
      <c r="H296" s="3" t="str">
        <f t="shared" si="36"/>
        <v/>
      </c>
      <c r="I296" s="4" t="str">
        <f t="shared" si="38"/>
        <v/>
      </c>
      <c r="J296" s="4" t="str">
        <f t="shared" si="39"/>
        <v/>
      </c>
      <c r="K296" s="4" t="str">
        <f t="shared" si="40"/>
        <v/>
      </c>
      <c r="L296" s="4" t="str">
        <f t="shared" si="41"/>
        <v/>
      </c>
      <c r="M296" s="4" t="str">
        <f t="shared" si="37"/>
        <v/>
      </c>
      <c r="N296" s="4" t="str">
        <f t="shared" si="42"/>
        <v/>
      </c>
      <c r="O296" s="4" t="str">
        <f>IF($B296="","",Inputs!$B$15-$M295)</f>
        <v/>
      </c>
      <c r="P296" s="3" t="str">
        <f t="shared" si="43"/>
        <v/>
      </c>
      <c r="Q296" s="3" t="str">
        <f t="shared" si="44"/>
        <v/>
      </c>
      <c r="R296" s="3" t="str">
        <f>IF($B296="","",IF($Q296,($L295+$N295+$G296)&gt;Inputs!$B$16,FALSE))</f>
        <v/>
      </c>
      <c r="S296" s="3" t="str">
        <f>IF($B296="","",IF(OR($F296&gt;Inputs!$B$15,$G296&gt;Inputs!$B$16),"TOO BIG",IF($R296,"NEW SHEET",IF($Q296,"NEW ROW","OK"))))</f>
        <v/>
      </c>
    </row>
    <row r="297" spans="1:19" x14ac:dyDescent="0.2">
      <c r="A297" s="4">
        <v>291</v>
      </c>
      <c r="B297" s="3" t="str">
        <f>IF(SortedPieces!$B293="","",SortedPieces!$B293)</f>
        <v/>
      </c>
      <c r="C297" s="4" t="str">
        <f>IF(SortedPieces!$C293="","",SortedPieces!$C293)</f>
        <v/>
      </c>
      <c r="D297" s="4" t="str">
        <f>IF(SortedPieces!$D293="","",SortedPieces!$D293)</f>
        <v/>
      </c>
      <c r="E297" s="3" t="str">
        <f>IF(SortedPieces!$E293="","",SortedPieces!$E293)</f>
        <v/>
      </c>
      <c r="F297" s="4" t="str">
        <f>IF($B297="","",IF($C297&lt;=$O297,$C297,IF(AND($E297="Y",$D297&lt;=$O297),$D297,IF(AND($E297="Y",$D297&lt;=Inputs!$B$15,$C297&lt;=Inputs!$B$15),IF($C297&lt;$D297,$D297,$C297),IF(AND($E297="Y",$D297&lt;=Inputs!$B$15),$D297,$C297)))))</f>
        <v/>
      </c>
      <c r="G297" s="4" t="str">
        <f>IF($B297="","",IF($C297&lt;=$O297,$D297,IF(AND($E297="Y",$D297&lt;=$O297),$C297,IF(AND($E297="Y",$D297&lt;=Inputs!$B$15,$C297&lt;=Inputs!$B$15),IF($C297&lt;$D297,$C297,$D297),IF(AND($E297="Y",$D297&lt;=Inputs!$B$15),$C297,$D297)))))</f>
        <v/>
      </c>
      <c r="H297" s="3" t="str">
        <f t="shared" si="36"/>
        <v/>
      </c>
      <c r="I297" s="4" t="str">
        <f t="shared" si="38"/>
        <v/>
      </c>
      <c r="J297" s="4" t="str">
        <f t="shared" si="39"/>
        <v/>
      </c>
      <c r="K297" s="4" t="str">
        <f t="shared" si="40"/>
        <v/>
      </c>
      <c r="L297" s="4" t="str">
        <f t="shared" si="41"/>
        <v/>
      </c>
      <c r="M297" s="4" t="str">
        <f t="shared" si="37"/>
        <v/>
      </c>
      <c r="N297" s="4" t="str">
        <f t="shared" si="42"/>
        <v/>
      </c>
      <c r="O297" s="4" t="str">
        <f>IF($B297="","",Inputs!$B$15-$M296)</f>
        <v/>
      </c>
      <c r="P297" s="3" t="str">
        <f t="shared" si="43"/>
        <v/>
      </c>
      <c r="Q297" s="3" t="str">
        <f t="shared" si="44"/>
        <v/>
      </c>
      <c r="R297" s="3" t="str">
        <f>IF($B297="","",IF($Q297,($L296+$N296+$G297)&gt;Inputs!$B$16,FALSE))</f>
        <v/>
      </c>
      <c r="S297" s="3" t="str">
        <f>IF($B297="","",IF(OR($F297&gt;Inputs!$B$15,$G297&gt;Inputs!$B$16),"TOO BIG",IF($R297,"NEW SHEET",IF($Q297,"NEW ROW","OK"))))</f>
        <v/>
      </c>
    </row>
    <row r="298" spans="1:19" x14ac:dyDescent="0.2">
      <c r="A298" s="4">
        <v>292</v>
      </c>
      <c r="B298" s="3" t="str">
        <f>IF(SortedPieces!$B294="","",SortedPieces!$B294)</f>
        <v/>
      </c>
      <c r="C298" s="4" t="str">
        <f>IF(SortedPieces!$C294="","",SortedPieces!$C294)</f>
        <v/>
      </c>
      <c r="D298" s="4" t="str">
        <f>IF(SortedPieces!$D294="","",SortedPieces!$D294)</f>
        <v/>
      </c>
      <c r="E298" s="3" t="str">
        <f>IF(SortedPieces!$E294="","",SortedPieces!$E294)</f>
        <v/>
      </c>
      <c r="F298" s="4" t="str">
        <f>IF($B298="","",IF($C298&lt;=$O298,$C298,IF(AND($E298="Y",$D298&lt;=$O298),$D298,IF(AND($E298="Y",$D298&lt;=Inputs!$B$15,$C298&lt;=Inputs!$B$15),IF($C298&lt;$D298,$D298,$C298),IF(AND($E298="Y",$D298&lt;=Inputs!$B$15),$D298,$C298)))))</f>
        <v/>
      </c>
      <c r="G298" s="4" t="str">
        <f>IF($B298="","",IF($C298&lt;=$O298,$D298,IF(AND($E298="Y",$D298&lt;=$O298),$C298,IF(AND($E298="Y",$D298&lt;=Inputs!$B$15,$C298&lt;=Inputs!$B$15),IF($C298&lt;$D298,$C298,$D298),IF(AND($E298="Y",$D298&lt;=Inputs!$B$15),$C298,$D298)))))</f>
        <v/>
      </c>
      <c r="H298" s="3" t="str">
        <f t="shared" si="36"/>
        <v/>
      </c>
      <c r="I298" s="4" t="str">
        <f t="shared" si="38"/>
        <v/>
      </c>
      <c r="J298" s="4" t="str">
        <f t="shared" si="39"/>
        <v/>
      </c>
      <c r="K298" s="4" t="str">
        <f t="shared" si="40"/>
        <v/>
      </c>
      <c r="L298" s="4" t="str">
        <f t="shared" si="41"/>
        <v/>
      </c>
      <c r="M298" s="4" t="str">
        <f t="shared" si="37"/>
        <v/>
      </c>
      <c r="N298" s="4" t="str">
        <f t="shared" si="42"/>
        <v/>
      </c>
      <c r="O298" s="4" t="str">
        <f>IF($B298="","",Inputs!$B$15-$M297)</f>
        <v/>
      </c>
      <c r="P298" s="3" t="str">
        <f t="shared" si="43"/>
        <v/>
      </c>
      <c r="Q298" s="3" t="str">
        <f t="shared" si="44"/>
        <v/>
      </c>
      <c r="R298" s="3" t="str">
        <f>IF($B298="","",IF($Q298,($L297+$N297+$G298)&gt;Inputs!$B$16,FALSE))</f>
        <v/>
      </c>
      <c r="S298" s="3" t="str">
        <f>IF($B298="","",IF(OR($F298&gt;Inputs!$B$15,$G298&gt;Inputs!$B$16),"TOO BIG",IF($R298,"NEW SHEET",IF($Q298,"NEW ROW","OK"))))</f>
        <v/>
      </c>
    </row>
    <row r="299" spans="1:19" x14ac:dyDescent="0.2">
      <c r="A299" s="4">
        <v>293</v>
      </c>
      <c r="B299" s="3" t="str">
        <f>IF(SortedPieces!$B295="","",SortedPieces!$B295)</f>
        <v/>
      </c>
      <c r="C299" s="4" t="str">
        <f>IF(SortedPieces!$C295="","",SortedPieces!$C295)</f>
        <v/>
      </c>
      <c r="D299" s="4" t="str">
        <f>IF(SortedPieces!$D295="","",SortedPieces!$D295)</f>
        <v/>
      </c>
      <c r="E299" s="3" t="str">
        <f>IF(SortedPieces!$E295="","",SortedPieces!$E295)</f>
        <v/>
      </c>
      <c r="F299" s="4" t="str">
        <f>IF($B299="","",IF($C299&lt;=$O299,$C299,IF(AND($E299="Y",$D299&lt;=$O299),$D299,IF(AND($E299="Y",$D299&lt;=Inputs!$B$15,$C299&lt;=Inputs!$B$15),IF($C299&lt;$D299,$D299,$C299),IF(AND($E299="Y",$D299&lt;=Inputs!$B$15),$D299,$C299)))))</f>
        <v/>
      </c>
      <c r="G299" s="4" t="str">
        <f>IF($B299="","",IF($C299&lt;=$O299,$D299,IF(AND($E299="Y",$D299&lt;=$O299),$C299,IF(AND($E299="Y",$D299&lt;=Inputs!$B$15,$C299&lt;=Inputs!$B$15),IF($C299&lt;$D299,$C299,$D299),IF(AND($E299="Y",$D299&lt;=Inputs!$B$15),$C299,$D299)))))</f>
        <v/>
      </c>
      <c r="H299" s="3" t="str">
        <f t="shared" si="36"/>
        <v/>
      </c>
      <c r="I299" s="4" t="str">
        <f t="shared" si="38"/>
        <v/>
      </c>
      <c r="J299" s="4" t="str">
        <f t="shared" si="39"/>
        <v/>
      </c>
      <c r="K299" s="4" t="str">
        <f t="shared" si="40"/>
        <v/>
      </c>
      <c r="L299" s="4" t="str">
        <f t="shared" si="41"/>
        <v/>
      </c>
      <c r="M299" s="4" t="str">
        <f t="shared" si="37"/>
        <v/>
      </c>
      <c r="N299" s="4" t="str">
        <f t="shared" si="42"/>
        <v/>
      </c>
      <c r="O299" s="4" t="str">
        <f>IF($B299="","",Inputs!$B$15-$M298)</f>
        <v/>
      </c>
      <c r="P299" s="3" t="str">
        <f t="shared" si="43"/>
        <v/>
      </c>
      <c r="Q299" s="3" t="str">
        <f t="shared" si="44"/>
        <v/>
      </c>
      <c r="R299" s="3" t="str">
        <f>IF($B299="","",IF($Q299,($L298+$N298+$G299)&gt;Inputs!$B$16,FALSE))</f>
        <v/>
      </c>
      <c r="S299" s="3" t="str">
        <f>IF($B299="","",IF(OR($F299&gt;Inputs!$B$15,$G299&gt;Inputs!$B$16),"TOO BIG",IF($R299,"NEW SHEET",IF($Q299,"NEW ROW","OK"))))</f>
        <v/>
      </c>
    </row>
    <row r="300" spans="1:19" x14ac:dyDescent="0.2">
      <c r="A300" s="4">
        <v>294</v>
      </c>
      <c r="B300" s="3" t="str">
        <f>IF(SortedPieces!$B296="","",SortedPieces!$B296)</f>
        <v/>
      </c>
      <c r="C300" s="4" t="str">
        <f>IF(SortedPieces!$C296="","",SortedPieces!$C296)</f>
        <v/>
      </c>
      <c r="D300" s="4" t="str">
        <f>IF(SortedPieces!$D296="","",SortedPieces!$D296)</f>
        <v/>
      </c>
      <c r="E300" s="3" t="str">
        <f>IF(SortedPieces!$E296="","",SortedPieces!$E296)</f>
        <v/>
      </c>
      <c r="F300" s="4" t="str">
        <f>IF($B300="","",IF($C300&lt;=$O300,$C300,IF(AND($E300="Y",$D300&lt;=$O300),$D300,IF(AND($E300="Y",$D300&lt;=Inputs!$B$15,$C300&lt;=Inputs!$B$15),IF($C300&lt;$D300,$D300,$C300),IF(AND($E300="Y",$D300&lt;=Inputs!$B$15),$D300,$C300)))))</f>
        <v/>
      </c>
      <c r="G300" s="4" t="str">
        <f>IF($B300="","",IF($C300&lt;=$O300,$D300,IF(AND($E300="Y",$D300&lt;=$O300),$C300,IF(AND($E300="Y",$D300&lt;=Inputs!$B$15,$C300&lt;=Inputs!$B$15),IF($C300&lt;$D300,$C300,$D300),IF(AND($E300="Y",$D300&lt;=Inputs!$B$15),$C300,$D300)))))</f>
        <v/>
      </c>
      <c r="H300" s="3" t="str">
        <f t="shared" si="36"/>
        <v/>
      </c>
      <c r="I300" s="4" t="str">
        <f t="shared" si="38"/>
        <v/>
      </c>
      <c r="J300" s="4" t="str">
        <f t="shared" si="39"/>
        <v/>
      </c>
      <c r="K300" s="4" t="str">
        <f t="shared" si="40"/>
        <v/>
      </c>
      <c r="L300" s="4" t="str">
        <f t="shared" si="41"/>
        <v/>
      </c>
      <c r="M300" s="4" t="str">
        <f t="shared" si="37"/>
        <v/>
      </c>
      <c r="N300" s="4" t="str">
        <f t="shared" si="42"/>
        <v/>
      </c>
      <c r="O300" s="4" t="str">
        <f>IF($B300="","",Inputs!$B$15-$M299)</f>
        <v/>
      </c>
      <c r="P300" s="3" t="str">
        <f t="shared" si="43"/>
        <v/>
      </c>
      <c r="Q300" s="3" t="str">
        <f t="shared" si="44"/>
        <v/>
      </c>
      <c r="R300" s="3" t="str">
        <f>IF($B300="","",IF($Q300,($L299+$N299+$G300)&gt;Inputs!$B$16,FALSE))</f>
        <v/>
      </c>
      <c r="S300" s="3" t="str">
        <f>IF($B300="","",IF(OR($F300&gt;Inputs!$B$15,$G300&gt;Inputs!$B$16),"TOO BIG",IF($R300,"NEW SHEET",IF($Q300,"NEW ROW","OK"))))</f>
        <v/>
      </c>
    </row>
    <row r="301" spans="1:19" x14ac:dyDescent="0.2">
      <c r="A301" s="4">
        <v>295</v>
      </c>
      <c r="B301" s="3" t="str">
        <f>IF(SortedPieces!$B297="","",SortedPieces!$B297)</f>
        <v/>
      </c>
      <c r="C301" s="4" t="str">
        <f>IF(SortedPieces!$C297="","",SortedPieces!$C297)</f>
        <v/>
      </c>
      <c r="D301" s="4" t="str">
        <f>IF(SortedPieces!$D297="","",SortedPieces!$D297)</f>
        <v/>
      </c>
      <c r="E301" s="3" t="str">
        <f>IF(SortedPieces!$E297="","",SortedPieces!$E297)</f>
        <v/>
      </c>
      <c r="F301" s="4" t="str">
        <f>IF($B301="","",IF($C301&lt;=$O301,$C301,IF(AND($E301="Y",$D301&lt;=$O301),$D301,IF(AND($E301="Y",$D301&lt;=Inputs!$B$15,$C301&lt;=Inputs!$B$15),IF($C301&lt;$D301,$D301,$C301),IF(AND($E301="Y",$D301&lt;=Inputs!$B$15),$D301,$C301)))))</f>
        <v/>
      </c>
      <c r="G301" s="4" t="str">
        <f>IF($B301="","",IF($C301&lt;=$O301,$D301,IF(AND($E301="Y",$D301&lt;=$O301),$C301,IF(AND($E301="Y",$D301&lt;=Inputs!$B$15,$C301&lt;=Inputs!$B$15),IF($C301&lt;$D301,$C301,$D301),IF(AND($E301="Y",$D301&lt;=Inputs!$B$15),$C301,$D301)))))</f>
        <v/>
      </c>
      <c r="H301" s="3" t="str">
        <f t="shared" si="36"/>
        <v/>
      </c>
      <c r="I301" s="4" t="str">
        <f t="shared" si="38"/>
        <v/>
      </c>
      <c r="J301" s="4" t="str">
        <f t="shared" si="39"/>
        <v/>
      </c>
      <c r="K301" s="4" t="str">
        <f t="shared" si="40"/>
        <v/>
      </c>
      <c r="L301" s="4" t="str">
        <f t="shared" si="41"/>
        <v/>
      </c>
      <c r="M301" s="4" t="str">
        <f t="shared" si="37"/>
        <v/>
      </c>
      <c r="N301" s="4" t="str">
        <f t="shared" si="42"/>
        <v/>
      </c>
      <c r="O301" s="4" t="str">
        <f>IF($B301="","",Inputs!$B$15-$M300)</f>
        <v/>
      </c>
      <c r="P301" s="3" t="str">
        <f t="shared" si="43"/>
        <v/>
      </c>
      <c r="Q301" s="3" t="str">
        <f t="shared" si="44"/>
        <v/>
      </c>
      <c r="R301" s="3" t="str">
        <f>IF($B301="","",IF($Q301,($L300+$N300+$G301)&gt;Inputs!$B$16,FALSE))</f>
        <v/>
      </c>
      <c r="S301" s="3" t="str">
        <f>IF($B301="","",IF(OR($F301&gt;Inputs!$B$15,$G301&gt;Inputs!$B$16),"TOO BIG",IF($R301,"NEW SHEET",IF($Q301,"NEW ROW","OK"))))</f>
        <v/>
      </c>
    </row>
    <row r="302" spans="1:19" x14ac:dyDescent="0.2">
      <c r="A302" s="4">
        <v>296</v>
      </c>
      <c r="B302" s="3" t="str">
        <f>IF(SortedPieces!$B298="","",SortedPieces!$B298)</f>
        <v/>
      </c>
      <c r="C302" s="4" t="str">
        <f>IF(SortedPieces!$C298="","",SortedPieces!$C298)</f>
        <v/>
      </c>
      <c r="D302" s="4" t="str">
        <f>IF(SortedPieces!$D298="","",SortedPieces!$D298)</f>
        <v/>
      </c>
      <c r="E302" s="3" t="str">
        <f>IF(SortedPieces!$E298="","",SortedPieces!$E298)</f>
        <v/>
      </c>
      <c r="F302" s="4" t="str">
        <f>IF($B302="","",IF($C302&lt;=$O302,$C302,IF(AND($E302="Y",$D302&lt;=$O302),$D302,IF(AND($E302="Y",$D302&lt;=Inputs!$B$15,$C302&lt;=Inputs!$B$15),IF($C302&lt;$D302,$D302,$C302),IF(AND($E302="Y",$D302&lt;=Inputs!$B$15),$D302,$C302)))))</f>
        <v/>
      </c>
      <c r="G302" s="4" t="str">
        <f>IF($B302="","",IF($C302&lt;=$O302,$D302,IF(AND($E302="Y",$D302&lt;=$O302),$C302,IF(AND($E302="Y",$D302&lt;=Inputs!$B$15,$C302&lt;=Inputs!$B$15),IF($C302&lt;$D302,$C302,$D302),IF(AND($E302="Y",$D302&lt;=Inputs!$B$15),$C302,$D302)))))</f>
        <v/>
      </c>
      <c r="H302" s="3" t="str">
        <f t="shared" si="36"/>
        <v/>
      </c>
      <c r="I302" s="4" t="str">
        <f t="shared" si="38"/>
        <v/>
      </c>
      <c r="J302" s="4" t="str">
        <f t="shared" si="39"/>
        <v/>
      </c>
      <c r="K302" s="4" t="str">
        <f t="shared" si="40"/>
        <v/>
      </c>
      <c r="L302" s="4" t="str">
        <f t="shared" si="41"/>
        <v/>
      </c>
      <c r="M302" s="4" t="str">
        <f t="shared" si="37"/>
        <v/>
      </c>
      <c r="N302" s="4" t="str">
        <f t="shared" si="42"/>
        <v/>
      </c>
      <c r="O302" s="4" t="str">
        <f>IF($B302="","",Inputs!$B$15-$M301)</f>
        <v/>
      </c>
      <c r="P302" s="3" t="str">
        <f t="shared" si="43"/>
        <v/>
      </c>
      <c r="Q302" s="3" t="str">
        <f t="shared" si="44"/>
        <v/>
      </c>
      <c r="R302" s="3" t="str">
        <f>IF($B302="","",IF($Q302,($L301+$N301+$G302)&gt;Inputs!$B$16,FALSE))</f>
        <v/>
      </c>
      <c r="S302" s="3" t="str">
        <f>IF($B302="","",IF(OR($F302&gt;Inputs!$B$15,$G302&gt;Inputs!$B$16),"TOO BIG",IF($R302,"NEW SHEET",IF($Q302,"NEW ROW","OK"))))</f>
        <v/>
      </c>
    </row>
    <row r="303" spans="1:19" x14ac:dyDescent="0.2">
      <c r="A303" s="4">
        <v>297</v>
      </c>
      <c r="B303" s="3" t="str">
        <f>IF(SortedPieces!$B299="","",SortedPieces!$B299)</f>
        <v/>
      </c>
      <c r="C303" s="4" t="str">
        <f>IF(SortedPieces!$C299="","",SortedPieces!$C299)</f>
        <v/>
      </c>
      <c r="D303" s="4" t="str">
        <f>IF(SortedPieces!$D299="","",SortedPieces!$D299)</f>
        <v/>
      </c>
      <c r="E303" s="3" t="str">
        <f>IF(SortedPieces!$E299="","",SortedPieces!$E299)</f>
        <v/>
      </c>
      <c r="F303" s="4" t="str">
        <f>IF($B303="","",IF($C303&lt;=$O303,$C303,IF(AND($E303="Y",$D303&lt;=$O303),$D303,IF(AND($E303="Y",$D303&lt;=Inputs!$B$15,$C303&lt;=Inputs!$B$15),IF($C303&lt;$D303,$D303,$C303),IF(AND($E303="Y",$D303&lt;=Inputs!$B$15),$D303,$C303)))))</f>
        <v/>
      </c>
      <c r="G303" s="4" t="str">
        <f>IF($B303="","",IF($C303&lt;=$O303,$D303,IF(AND($E303="Y",$D303&lt;=$O303),$C303,IF(AND($E303="Y",$D303&lt;=Inputs!$B$15,$C303&lt;=Inputs!$B$15),IF($C303&lt;$D303,$C303,$D303),IF(AND($E303="Y",$D303&lt;=Inputs!$B$15),$C303,$D303)))))</f>
        <v/>
      </c>
      <c r="H303" s="3" t="str">
        <f t="shared" si="36"/>
        <v/>
      </c>
      <c r="I303" s="4" t="str">
        <f t="shared" si="38"/>
        <v/>
      </c>
      <c r="J303" s="4" t="str">
        <f t="shared" si="39"/>
        <v/>
      </c>
      <c r="K303" s="4" t="str">
        <f t="shared" si="40"/>
        <v/>
      </c>
      <c r="L303" s="4" t="str">
        <f t="shared" si="41"/>
        <v/>
      </c>
      <c r="M303" s="4" t="str">
        <f t="shared" si="37"/>
        <v/>
      </c>
      <c r="N303" s="4" t="str">
        <f t="shared" si="42"/>
        <v/>
      </c>
      <c r="O303" s="4" t="str">
        <f>IF($B303="","",Inputs!$B$15-$M302)</f>
        <v/>
      </c>
      <c r="P303" s="3" t="str">
        <f t="shared" si="43"/>
        <v/>
      </c>
      <c r="Q303" s="3" t="str">
        <f t="shared" si="44"/>
        <v/>
      </c>
      <c r="R303" s="3" t="str">
        <f>IF($B303="","",IF($Q303,($L302+$N302+$G303)&gt;Inputs!$B$16,FALSE))</f>
        <v/>
      </c>
      <c r="S303" s="3" t="str">
        <f>IF($B303="","",IF(OR($F303&gt;Inputs!$B$15,$G303&gt;Inputs!$B$16),"TOO BIG",IF($R303,"NEW SHEET",IF($Q303,"NEW ROW","OK"))))</f>
        <v/>
      </c>
    </row>
    <row r="304" spans="1:19" x14ac:dyDescent="0.2">
      <c r="A304" s="4">
        <v>298</v>
      </c>
      <c r="B304" s="3" t="str">
        <f>IF(SortedPieces!$B300="","",SortedPieces!$B300)</f>
        <v/>
      </c>
      <c r="C304" s="4" t="str">
        <f>IF(SortedPieces!$C300="","",SortedPieces!$C300)</f>
        <v/>
      </c>
      <c r="D304" s="4" t="str">
        <f>IF(SortedPieces!$D300="","",SortedPieces!$D300)</f>
        <v/>
      </c>
      <c r="E304" s="3" t="str">
        <f>IF(SortedPieces!$E300="","",SortedPieces!$E300)</f>
        <v/>
      </c>
      <c r="F304" s="4" t="str">
        <f>IF($B304="","",IF($C304&lt;=$O304,$C304,IF(AND($E304="Y",$D304&lt;=$O304),$D304,IF(AND($E304="Y",$D304&lt;=Inputs!$B$15,$C304&lt;=Inputs!$B$15),IF($C304&lt;$D304,$D304,$C304),IF(AND($E304="Y",$D304&lt;=Inputs!$B$15),$D304,$C304)))))</f>
        <v/>
      </c>
      <c r="G304" s="4" t="str">
        <f>IF($B304="","",IF($C304&lt;=$O304,$D304,IF(AND($E304="Y",$D304&lt;=$O304),$C304,IF(AND($E304="Y",$D304&lt;=Inputs!$B$15,$C304&lt;=Inputs!$B$15),IF($C304&lt;$D304,$C304,$D304),IF(AND($E304="Y",$D304&lt;=Inputs!$B$15),$C304,$D304)))))</f>
        <v/>
      </c>
      <c r="H304" s="3" t="str">
        <f t="shared" si="36"/>
        <v/>
      </c>
      <c r="I304" s="4" t="str">
        <f t="shared" si="38"/>
        <v/>
      </c>
      <c r="J304" s="4" t="str">
        <f t="shared" si="39"/>
        <v/>
      </c>
      <c r="K304" s="4" t="str">
        <f t="shared" si="40"/>
        <v/>
      </c>
      <c r="L304" s="4" t="str">
        <f t="shared" si="41"/>
        <v/>
      </c>
      <c r="M304" s="4" t="str">
        <f t="shared" si="37"/>
        <v/>
      </c>
      <c r="N304" s="4" t="str">
        <f t="shared" si="42"/>
        <v/>
      </c>
      <c r="O304" s="4" t="str">
        <f>IF($B304="","",Inputs!$B$15-$M303)</f>
        <v/>
      </c>
      <c r="P304" s="3" t="str">
        <f t="shared" si="43"/>
        <v/>
      </c>
      <c r="Q304" s="3" t="str">
        <f t="shared" si="44"/>
        <v/>
      </c>
      <c r="R304" s="3" t="str">
        <f>IF($B304="","",IF($Q304,($L303+$N303+$G304)&gt;Inputs!$B$16,FALSE))</f>
        <v/>
      </c>
      <c r="S304" s="3" t="str">
        <f>IF($B304="","",IF(OR($F304&gt;Inputs!$B$15,$G304&gt;Inputs!$B$16),"TOO BIG",IF($R304,"NEW SHEET",IF($Q304,"NEW ROW","OK"))))</f>
        <v/>
      </c>
    </row>
    <row r="305" spans="1:19" x14ac:dyDescent="0.2">
      <c r="A305" s="4">
        <v>299</v>
      </c>
      <c r="B305" s="3" t="str">
        <f>IF(SortedPieces!$B301="","",SortedPieces!$B301)</f>
        <v/>
      </c>
      <c r="C305" s="4" t="str">
        <f>IF(SortedPieces!$C301="","",SortedPieces!$C301)</f>
        <v/>
      </c>
      <c r="D305" s="4" t="str">
        <f>IF(SortedPieces!$D301="","",SortedPieces!$D301)</f>
        <v/>
      </c>
      <c r="E305" s="3" t="str">
        <f>IF(SortedPieces!$E301="","",SortedPieces!$E301)</f>
        <v/>
      </c>
      <c r="F305" s="4" t="str">
        <f>IF($B305="","",IF($C305&lt;=$O305,$C305,IF(AND($E305="Y",$D305&lt;=$O305),$D305,IF(AND($E305="Y",$D305&lt;=Inputs!$B$15,$C305&lt;=Inputs!$B$15),IF($C305&lt;$D305,$D305,$C305),IF(AND($E305="Y",$D305&lt;=Inputs!$B$15),$D305,$C305)))))</f>
        <v/>
      </c>
      <c r="G305" s="4" t="str">
        <f>IF($B305="","",IF($C305&lt;=$O305,$D305,IF(AND($E305="Y",$D305&lt;=$O305),$C305,IF(AND($E305="Y",$D305&lt;=Inputs!$B$15,$C305&lt;=Inputs!$B$15),IF($C305&lt;$D305,$C305,$D305),IF(AND($E305="Y",$D305&lt;=Inputs!$B$15),$C305,$D305)))))</f>
        <v/>
      </c>
      <c r="H305" s="3" t="str">
        <f t="shared" si="36"/>
        <v/>
      </c>
      <c r="I305" s="4" t="str">
        <f t="shared" si="38"/>
        <v/>
      </c>
      <c r="J305" s="4" t="str">
        <f t="shared" si="39"/>
        <v/>
      </c>
      <c r="K305" s="4" t="str">
        <f t="shared" si="40"/>
        <v/>
      </c>
      <c r="L305" s="4" t="str">
        <f t="shared" si="41"/>
        <v/>
      </c>
      <c r="M305" s="4" t="str">
        <f t="shared" si="37"/>
        <v/>
      </c>
      <c r="N305" s="4" t="str">
        <f t="shared" si="42"/>
        <v/>
      </c>
      <c r="O305" s="4" t="str">
        <f>IF($B305="","",Inputs!$B$15-$M304)</f>
        <v/>
      </c>
      <c r="P305" s="3" t="str">
        <f t="shared" si="43"/>
        <v/>
      </c>
      <c r="Q305" s="3" t="str">
        <f t="shared" si="44"/>
        <v/>
      </c>
      <c r="R305" s="3" t="str">
        <f>IF($B305="","",IF($Q305,($L304+$N304+$G305)&gt;Inputs!$B$16,FALSE))</f>
        <v/>
      </c>
      <c r="S305" s="3" t="str">
        <f>IF($B305="","",IF(OR($F305&gt;Inputs!$B$15,$G305&gt;Inputs!$B$16),"TOO BIG",IF($R305,"NEW SHEET",IF($Q305,"NEW ROW","OK"))))</f>
        <v/>
      </c>
    </row>
    <row r="306" spans="1:19" x14ac:dyDescent="0.2">
      <c r="A306" s="4">
        <v>300</v>
      </c>
      <c r="B306" s="3" t="str">
        <f>IF(SortedPieces!$B302="","",SortedPieces!$B302)</f>
        <v/>
      </c>
      <c r="C306" s="4" t="str">
        <f>IF(SortedPieces!$C302="","",SortedPieces!$C302)</f>
        <v/>
      </c>
      <c r="D306" s="4" t="str">
        <f>IF(SortedPieces!$D302="","",SortedPieces!$D302)</f>
        <v/>
      </c>
      <c r="E306" s="3" t="str">
        <f>IF(SortedPieces!$E302="","",SortedPieces!$E302)</f>
        <v/>
      </c>
      <c r="F306" s="4" t="str">
        <f>IF($B306="","",IF($C306&lt;=$O306,$C306,IF(AND($E306="Y",$D306&lt;=$O306),$D306,IF(AND($E306="Y",$D306&lt;=Inputs!$B$15,$C306&lt;=Inputs!$B$15),IF($C306&lt;$D306,$D306,$C306),IF(AND($E306="Y",$D306&lt;=Inputs!$B$15),$D306,$C306)))))</f>
        <v/>
      </c>
      <c r="G306" s="4" t="str">
        <f>IF($B306="","",IF($C306&lt;=$O306,$D306,IF(AND($E306="Y",$D306&lt;=$O306),$C306,IF(AND($E306="Y",$D306&lt;=Inputs!$B$15,$C306&lt;=Inputs!$B$15),IF($C306&lt;$D306,$C306,$D306),IF(AND($E306="Y",$D306&lt;=Inputs!$B$15),$C306,$D306)))))</f>
        <v/>
      </c>
      <c r="H306" s="3" t="str">
        <f t="shared" si="36"/>
        <v/>
      </c>
      <c r="I306" s="4" t="str">
        <f t="shared" si="38"/>
        <v/>
      </c>
      <c r="J306" s="4" t="str">
        <f t="shared" si="39"/>
        <v/>
      </c>
      <c r="K306" s="4" t="str">
        <f t="shared" si="40"/>
        <v/>
      </c>
      <c r="L306" s="4" t="str">
        <f t="shared" si="41"/>
        <v/>
      </c>
      <c r="M306" s="4" t="str">
        <f t="shared" si="37"/>
        <v/>
      </c>
      <c r="N306" s="4" t="str">
        <f t="shared" si="42"/>
        <v/>
      </c>
      <c r="O306" s="4" t="str">
        <f>IF($B306="","",Inputs!$B$15-$M305)</f>
        <v/>
      </c>
      <c r="P306" s="3" t="str">
        <f t="shared" si="43"/>
        <v/>
      </c>
      <c r="Q306" s="3" t="str">
        <f t="shared" si="44"/>
        <v/>
      </c>
      <c r="R306" s="3" t="str">
        <f>IF($B306="","",IF($Q306,($L305+$N305+$G306)&gt;Inputs!$B$16,FALSE))</f>
        <v/>
      </c>
      <c r="S306" s="3" t="str">
        <f>IF($B306="","",IF(OR($F306&gt;Inputs!$B$15,$G306&gt;Inputs!$B$16),"TOO BIG",IF($R306,"NEW SHEET",IF($Q306,"NEW ROW","OK"))))</f>
        <v/>
      </c>
    </row>
    <row r="307" spans="1:19" x14ac:dyDescent="0.2">
      <c r="A307" s="4">
        <v>301</v>
      </c>
      <c r="B307" s="3" t="str">
        <f>IF(SortedPieces!$B303="","",SortedPieces!$B303)</f>
        <v/>
      </c>
      <c r="C307" s="4" t="str">
        <f>IF(SortedPieces!$C303="","",SortedPieces!$C303)</f>
        <v/>
      </c>
      <c r="D307" s="4" t="str">
        <f>IF(SortedPieces!$D303="","",SortedPieces!$D303)</f>
        <v/>
      </c>
      <c r="E307" s="3" t="str">
        <f>IF(SortedPieces!$E303="","",SortedPieces!$E303)</f>
        <v/>
      </c>
      <c r="F307" s="4" t="str">
        <f>IF($B307="","",IF($C307&lt;=$O307,$C307,IF(AND($E307="Y",$D307&lt;=$O307),$D307,IF(AND($E307="Y",$D307&lt;=Inputs!$B$15,$C307&lt;=Inputs!$B$15),IF($C307&lt;$D307,$D307,$C307),IF(AND($E307="Y",$D307&lt;=Inputs!$B$15),$D307,$C307)))))</f>
        <v/>
      </c>
      <c r="G307" s="4" t="str">
        <f>IF($B307="","",IF($C307&lt;=$O307,$D307,IF(AND($E307="Y",$D307&lt;=$O307),$C307,IF(AND($E307="Y",$D307&lt;=Inputs!$B$15,$C307&lt;=Inputs!$B$15),IF($C307&lt;$D307,$C307,$D307),IF(AND($E307="Y",$D307&lt;=Inputs!$B$15),$C307,$D307)))))</f>
        <v/>
      </c>
      <c r="H307" s="3" t="str">
        <f t="shared" si="36"/>
        <v/>
      </c>
      <c r="I307" s="4" t="str">
        <f t="shared" si="38"/>
        <v/>
      </c>
      <c r="J307" s="4" t="str">
        <f t="shared" si="39"/>
        <v/>
      </c>
      <c r="K307" s="4" t="str">
        <f t="shared" si="40"/>
        <v/>
      </c>
      <c r="L307" s="4" t="str">
        <f t="shared" si="41"/>
        <v/>
      </c>
      <c r="M307" s="4" t="str">
        <f t="shared" si="37"/>
        <v/>
      </c>
      <c r="N307" s="4" t="str">
        <f t="shared" si="42"/>
        <v/>
      </c>
      <c r="O307" s="4" t="str">
        <f>IF($B307="","",Inputs!$B$15-$M306)</f>
        <v/>
      </c>
      <c r="P307" s="3" t="str">
        <f t="shared" si="43"/>
        <v/>
      </c>
      <c r="Q307" s="3" t="str">
        <f t="shared" si="44"/>
        <v/>
      </c>
      <c r="R307" s="3" t="str">
        <f>IF($B307="","",IF($Q307,($L306+$N306+$G307)&gt;Inputs!$B$16,FALSE))</f>
        <v/>
      </c>
      <c r="S307" s="3" t="str">
        <f>IF($B307="","",IF(OR($F307&gt;Inputs!$B$15,$G307&gt;Inputs!$B$16),"TOO BIG",IF($R307,"NEW SHEET",IF($Q307,"NEW ROW","OK"))))</f>
        <v/>
      </c>
    </row>
    <row r="308" spans="1:19" x14ac:dyDescent="0.2">
      <c r="A308" s="4">
        <v>302</v>
      </c>
      <c r="B308" s="3" t="str">
        <f>IF(SortedPieces!$B304="","",SortedPieces!$B304)</f>
        <v/>
      </c>
      <c r="C308" s="4" t="str">
        <f>IF(SortedPieces!$C304="","",SortedPieces!$C304)</f>
        <v/>
      </c>
      <c r="D308" s="4" t="str">
        <f>IF(SortedPieces!$D304="","",SortedPieces!$D304)</f>
        <v/>
      </c>
      <c r="E308" s="3" t="str">
        <f>IF(SortedPieces!$E304="","",SortedPieces!$E304)</f>
        <v/>
      </c>
      <c r="F308" s="4" t="str">
        <f>IF($B308="","",IF($C308&lt;=$O308,$C308,IF(AND($E308="Y",$D308&lt;=$O308),$D308,IF(AND($E308="Y",$D308&lt;=Inputs!$B$15,$C308&lt;=Inputs!$B$15),IF($C308&lt;$D308,$D308,$C308),IF(AND($E308="Y",$D308&lt;=Inputs!$B$15),$D308,$C308)))))</f>
        <v/>
      </c>
      <c r="G308" s="4" t="str">
        <f>IF($B308="","",IF($C308&lt;=$O308,$D308,IF(AND($E308="Y",$D308&lt;=$O308),$C308,IF(AND($E308="Y",$D308&lt;=Inputs!$B$15,$C308&lt;=Inputs!$B$15),IF($C308&lt;$D308,$C308,$D308),IF(AND($E308="Y",$D308&lt;=Inputs!$B$15),$C308,$D308)))))</f>
        <v/>
      </c>
      <c r="H308" s="3" t="str">
        <f t="shared" si="36"/>
        <v/>
      </c>
      <c r="I308" s="4" t="str">
        <f t="shared" si="38"/>
        <v/>
      </c>
      <c r="J308" s="4" t="str">
        <f t="shared" si="39"/>
        <v/>
      </c>
      <c r="K308" s="4" t="str">
        <f t="shared" si="40"/>
        <v/>
      </c>
      <c r="L308" s="4" t="str">
        <f t="shared" si="41"/>
        <v/>
      </c>
      <c r="M308" s="4" t="str">
        <f t="shared" si="37"/>
        <v/>
      </c>
      <c r="N308" s="4" t="str">
        <f t="shared" si="42"/>
        <v/>
      </c>
      <c r="O308" s="4" t="str">
        <f>IF($B308="","",Inputs!$B$15-$M307)</f>
        <v/>
      </c>
      <c r="P308" s="3" t="str">
        <f t="shared" si="43"/>
        <v/>
      </c>
      <c r="Q308" s="3" t="str">
        <f t="shared" si="44"/>
        <v/>
      </c>
      <c r="R308" s="3" t="str">
        <f>IF($B308="","",IF($Q308,($L307+$N307+$G308)&gt;Inputs!$B$16,FALSE))</f>
        <v/>
      </c>
      <c r="S308" s="3" t="str">
        <f>IF($B308="","",IF(OR($F308&gt;Inputs!$B$15,$G308&gt;Inputs!$B$16),"TOO BIG",IF($R308,"NEW SHEET",IF($Q308,"NEW ROW","OK"))))</f>
        <v/>
      </c>
    </row>
    <row r="309" spans="1:19" x14ac:dyDescent="0.2">
      <c r="A309" s="4">
        <v>303</v>
      </c>
      <c r="B309" s="3" t="str">
        <f>IF(SortedPieces!$B305="","",SortedPieces!$B305)</f>
        <v/>
      </c>
      <c r="C309" s="4" t="str">
        <f>IF(SortedPieces!$C305="","",SortedPieces!$C305)</f>
        <v/>
      </c>
      <c r="D309" s="4" t="str">
        <f>IF(SortedPieces!$D305="","",SortedPieces!$D305)</f>
        <v/>
      </c>
      <c r="E309" s="3" t="str">
        <f>IF(SortedPieces!$E305="","",SortedPieces!$E305)</f>
        <v/>
      </c>
      <c r="F309" s="4" t="str">
        <f>IF($B309="","",IF($C309&lt;=$O309,$C309,IF(AND($E309="Y",$D309&lt;=$O309),$D309,IF(AND($E309="Y",$D309&lt;=Inputs!$B$15,$C309&lt;=Inputs!$B$15),IF($C309&lt;$D309,$D309,$C309),IF(AND($E309="Y",$D309&lt;=Inputs!$B$15),$D309,$C309)))))</f>
        <v/>
      </c>
      <c r="G309" s="4" t="str">
        <f>IF($B309="","",IF($C309&lt;=$O309,$D309,IF(AND($E309="Y",$D309&lt;=$O309),$C309,IF(AND($E309="Y",$D309&lt;=Inputs!$B$15,$C309&lt;=Inputs!$B$15),IF($C309&lt;$D309,$C309,$D309),IF(AND($E309="Y",$D309&lt;=Inputs!$B$15),$C309,$D309)))))</f>
        <v/>
      </c>
      <c r="H309" s="3" t="str">
        <f t="shared" si="36"/>
        <v/>
      </c>
      <c r="I309" s="4" t="str">
        <f t="shared" si="38"/>
        <v/>
      </c>
      <c r="J309" s="4" t="str">
        <f t="shared" si="39"/>
        <v/>
      </c>
      <c r="K309" s="4" t="str">
        <f t="shared" si="40"/>
        <v/>
      </c>
      <c r="L309" s="4" t="str">
        <f t="shared" si="41"/>
        <v/>
      </c>
      <c r="M309" s="4" t="str">
        <f t="shared" si="37"/>
        <v/>
      </c>
      <c r="N309" s="4" t="str">
        <f t="shared" si="42"/>
        <v/>
      </c>
      <c r="O309" s="4" t="str">
        <f>IF($B309="","",Inputs!$B$15-$M308)</f>
        <v/>
      </c>
      <c r="P309" s="3" t="str">
        <f t="shared" si="43"/>
        <v/>
      </c>
      <c r="Q309" s="3" t="str">
        <f t="shared" si="44"/>
        <v/>
      </c>
      <c r="R309" s="3" t="str">
        <f>IF($B309="","",IF($Q309,($L308+$N308+$G309)&gt;Inputs!$B$16,FALSE))</f>
        <v/>
      </c>
      <c r="S309" s="3" t="str">
        <f>IF($B309="","",IF(OR($F309&gt;Inputs!$B$15,$G309&gt;Inputs!$B$16),"TOO BIG",IF($R309,"NEW SHEET",IF($Q309,"NEW ROW","OK"))))</f>
        <v/>
      </c>
    </row>
    <row r="310" spans="1:19" x14ac:dyDescent="0.2">
      <c r="A310" s="4">
        <v>304</v>
      </c>
      <c r="B310" s="3" t="str">
        <f>IF(SortedPieces!$B306="","",SortedPieces!$B306)</f>
        <v/>
      </c>
      <c r="C310" s="4" t="str">
        <f>IF(SortedPieces!$C306="","",SortedPieces!$C306)</f>
        <v/>
      </c>
      <c r="D310" s="4" t="str">
        <f>IF(SortedPieces!$D306="","",SortedPieces!$D306)</f>
        <v/>
      </c>
      <c r="E310" s="3" t="str">
        <f>IF(SortedPieces!$E306="","",SortedPieces!$E306)</f>
        <v/>
      </c>
      <c r="F310" s="4" t="str">
        <f>IF($B310="","",IF($C310&lt;=$O310,$C310,IF(AND($E310="Y",$D310&lt;=$O310),$D310,IF(AND($E310="Y",$D310&lt;=Inputs!$B$15,$C310&lt;=Inputs!$B$15),IF($C310&lt;$D310,$D310,$C310),IF(AND($E310="Y",$D310&lt;=Inputs!$B$15),$D310,$C310)))))</f>
        <v/>
      </c>
      <c r="G310" s="4" t="str">
        <f>IF($B310="","",IF($C310&lt;=$O310,$D310,IF(AND($E310="Y",$D310&lt;=$O310),$C310,IF(AND($E310="Y",$D310&lt;=Inputs!$B$15,$C310&lt;=Inputs!$B$15),IF($C310&lt;$D310,$C310,$D310),IF(AND($E310="Y",$D310&lt;=Inputs!$B$15),$C310,$D310)))))</f>
        <v/>
      </c>
      <c r="H310" s="3" t="str">
        <f t="shared" si="36"/>
        <v/>
      </c>
      <c r="I310" s="4" t="str">
        <f t="shared" si="38"/>
        <v/>
      </c>
      <c r="J310" s="4" t="str">
        <f t="shared" si="39"/>
        <v/>
      </c>
      <c r="K310" s="4" t="str">
        <f t="shared" si="40"/>
        <v/>
      </c>
      <c r="L310" s="4" t="str">
        <f t="shared" si="41"/>
        <v/>
      </c>
      <c r="M310" s="4" t="str">
        <f t="shared" si="37"/>
        <v/>
      </c>
      <c r="N310" s="4" t="str">
        <f t="shared" si="42"/>
        <v/>
      </c>
      <c r="O310" s="4" t="str">
        <f>IF($B310="","",Inputs!$B$15-$M309)</f>
        <v/>
      </c>
      <c r="P310" s="3" t="str">
        <f t="shared" si="43"/>
        <v/>
      </c>
      <c r="Q310" s="3" t="str">
        <f t="shared" si="44"/>
        <v/>
      </c>
      <c r="R310" s="3" t="str">
        <f>IF($B310="","",IF($Q310,($L309+$N309+$G310)&gt;Inputs!$B$16,FALSE))</f>
        <v/>
      </c>
      <c r="S310" s="3" t="str">
        <f>IF($B310="","",IF(OR($F310&gt;Inputs!$B$15,$G310&gt;Inputs!$B$16),"TOO BIG",IF($R310,"NEW SHEET",IF($Q310,"NEW ROW","OK"))))</f>
        <v/>
      </c>
    </row>
    <row r="311" spans="1:19" x14ac:dyDescent="0.2">
      <c r="A311" s="4">
        <v>305</v>
      </c>
      <c r="B311" s="3" t="str">
        <f>IF(SortedPieces!$B307="","",SortedPieces!$B307)</f>
        <v/>
      </c>
      <c r="C311" s="4" t="str">
        <f>IF(SortedPieces!$C307="","",SortedPieces!$C307)</f>
        <v/>
      </c>
      <c r="D311" s="4" t="str">
        <f>IF(SortedPieces!$D307="","",SortedPieces!$D307)</f>
        <v/>
      </c>
      <c r="E311" s="3" t="str">
        <f>IF(SortedPieces!$E307="","",SortedPieces!$E307)</f>
        <v/>
      </c>
      <c r="F311" s="4" t="str">
        <f>IF($B311="","",IF($C311&lt;=$O311,$C311,IF(AND($E311="Y",$D311&lt;=$O311),$D311,IF(AND($E311="Y",$D311&lt;=Inputs!$B$15,$C311&lt;=Inputs!$B$15),IF($C311&lt;$D311,$D311,$C311),IF(AND($E311="Y",$D311&lt;=Inputs!$B$15),$D311,$C311)))))</f>
        <v/>
      </c>
      <c r="G311" s="4" t="str">
        <f>IF($B311="","",IF($C311&lt;=$O311,$D311,IF(AND($E311="Y",$D311&lt;=$O311),$C311,IF(AND($E311="Y",$D311&lt;=Inputs!$B$15,$C311&lt;=Inputs!$B$15),IF($C311&lt;$D311,$C311,$D311),IF(AND($E311="Y",$D311&lt;=Inputs!$B$15),$C311,$D311)))))</f>
        <v/>
      </c>
      <c r="H311" s="3" t="str">
        <f t="shared" si="36"/>
        <v/>
      </c>
      <c r="I311" s="4" t="str">
        <f t="shared" si="38"/>
        <v/>
      </c>
      <c r="J311" s="4" t="str">
        <f t="shared" si="39"/>
        <v/>
      </c>
      <c r="K311" s="4" t="str">
        <f t="shared" si="40"/>
        <v/>
      </c>
      <c r="L311" s="4" t="str">
        <f t="shared" si="41"/>
        <v/>
      </c>
      <c r="M311" s="4" t="str">
        <f t="shared" si="37"/>
        <v/>
      </c>
      <c r="N311" s="4" t="str">
        <f t="shared" si="42"/>
        <v/>
      </c>
      <c r="O311" s="4" t="str">
        <f>IF($B311="","",Inputs!$B$15-$M310)</f>
        <v/>
      </c>
      <c r="P311" s="3" t="str">
        <f t="shared" si="43"/>
        <v/>
      </c>
      <c r="Q311" s="3" t="str">
        <f t="shared" si="44"/>
        <v/>
      </c>
      <c r="R311" s="3" t="str">
        <f>IF($B311="","",IF($Q311,($L310+$N310+$G311)&gt;Inputs!$B$16,FALSE))</f>
        <v/>
      </c>
      <c r="S311" s="3" t="str">
        <f>IF($B311="","",IF(OR($F311&gt;Inputs!$B$15,$G311&gt;Inputs!$B$16),"TOO BIG",IF($R311,"NEW SHEET",IF($Q311,"NEW ROW","OK"))))</f>
        <v/>
      </c>
    </row>
    <row r="312" spans="1:19" x14ac:dyDescent="0.2">
      <c r="A312" s="4">
        <v>306</v>
      </c>
      <c r="B312" s="3" t="str">
        <f>IF(SortedPieces!$B308="","",SortedPieces!$B308)</f>
        <v/>
      </c>
      <c r="C312" s="4" t="str">
        <f>IF(SortedPieces!$C308="","",SortedPieces!$C308)</f>
        <v/>
      </c>
      <c r="D312" s="4" t="str">
        <f>IF(SortedPieces!$D308="","",SortedPieces!$D308)</f>
        <v/>
      </c>
      <c r="E312" s="3" t="str">
        <f>IF(SortedPieces!$E308="","",SortedPieces!$E308)</f>
        <v/>
      </c>
      <c r="F312" s="4" t="str">
        <f>IF($B312="","",IF($C312&lt;=$O312,$C312,IF(AND($E312="Y",$D312&lt;=$O312),$D312,IF(AND($E312="Y",$D312&lt;=Inputs!$B$15,$C312&lt;=Inputs!$B$15),IF($C312&lt;$D312,$D312,$C312),IF(AND($E312="Y",$D312&lt;=Inputs!$B$15),$D312,$C312)))))</f>
        <v/>
      </c>
      <c r="G312" s="4" t="str">
        <f>IF($B312="","",IF($C312&lt;=$O312,$D312,IF(AND($E312="Y",$D312&lt;=$O312),$C312,IF(AND($E312="Y",$D312&lt;=Inputs!$B$15,$C312&lt;=Inputs!$B$15),IF($C312&lt;$D312,$C312,$D312),IF(AND($E312="Y",$D312&lt;=Inputs!$B$15),$C312,$D312)))))</f>
        <v/>
      </c>
      <c r="H312" s="3" t="str">
        <f t="shared" si="36"/>
        <v/>
      </c>
      <c r="I312" s="4" t="str">
        <f t="shared" si="38"/>
        <v/>
      </c>
      <c r="J312" s="4" t="str">
        <f t="shared" si="39"/>
        <v/>
      </c>
      <c r="K312" s="4" t="str">
        <f t="shared" si="40"/>
        <v/>
      </c>
      <c r="L312" s="4" t="str">
        <f t="shared" si="41"/>
        <v/>
      </c>
      <c r="M312" s="4" t="str">
        <f t="shared" si="37"/>
        <v/>
      </c>
      <c r="N312" s="4" t="str">
        <f t="shared" si="42"/>
        <v/>
      </c>
      <c r="O312" s="4" t="str">
        <f>IF($B312="","",Inputs!$B$15-$M311)</f>
        <v/>
      </c>
      <c r="P312" s="3" t="str">
        <f t="shared" si="43"/>
        <v/>
      </c>
      <c r="Q312" s="3" t="str">
        <f t="shared" si="44"/>
        <v/>
      </c>
      <c r="R312" s="3" t="str">
        <f>IF($B312="","",IF($Q312,($L311+$N311+$G312)&gt;Inputs!$B$16,FALSE))</f>
        <v/>
      </c>
      <c r="S312" s="3" t="str">
        <f>IF($B312="","",IF(OR($F312&gt;Inputs!$B$15,$G312&gt;Inputs!$B$16),"TOO BIG",IF($R312,"NEW SHEET",IF($Q312,"NEW ROW","OK"))))</f>
        <v/>
      </c>
    </row>
    <row r="313" spans="1:19" x14ac:dyDescent="0.2">
      <c r="A313" s="4">
        <v>307</v>
      </c>
      <c r="B313" s="3" t="str">
        <f>IF(SortedPieces!$B309="","",SortedPieces!$B309)</f>
        <v/>
      </c>
      <c r="C313" s="4" t="str">
        <f>IF(SortedPieces!$C309="","",SortedPieces!$C309)</f>
        <v/>
      </c>
      <c r="D313" s="4" t="str">
        <f>IF(SortedPieces!$D309="","",SortedPieces!$D309)</f>
        <v/>
      </c>
      <c r="E313" s="3" t="str">
        <f>IF(SortedPieces!$E309="","",SortedPieces!$E309)</f>
        <v/>
      </c>
      <c r="F313" s="4" t="str">
        <f>IF($B313="","",IF($C313&lt;=$O313,$C313,IF(AND($E313="Y",$D313&lt;=$O313),$D313,IF(AND($E313="Y",$D313&lt;=Inputs!$B$15,$C313&lt;=Inputs!$B$15),IF($C313&lt;$D313,$D313,$C313),IF(AND($E313="Y",$D313&lt;=Inputs!$B$15),$D313,$C313)))))</f>
        <v/>
      </c>
      <c r="G313" s="4" t="str">
        <f>IF($B313="","",IF($C313&lt;=$O313,$D313,IF(AND($E313="Y",$D313&lt;=$O313),$C313,IF(AND($E313="Y",$D313&lt;=Inputs!$B$15,$C313&lt;=Inputs!$B$15),IF($C313&lt;$D313,$C313,$D313),IF(AND($E313="Y",$D313&lt;=Inputs!$B$15),$C313,$D313)))))</f>
        <v/>
      </c>
      <c r="H313" s="3" t="str">
        <f t="shared" si="36"/>
        <v/>
      </c>
      <c r="I313" s="4" t="str">
        <f t="shared" si="38"/>
        <v/>
      </c>
      <c r="J313" s="4" t="str">
        <f t="shared" si="39"/>
        <v/>
      </c>
      <c r="K313" s="4" t="str">
        <f t="shared" si="40"/>
        <v/>
      </c>
      <c r="L313" s="4" t="str">
        <f t="shared" si="41"/>
        <v/>
      </c>
      <c r="M313" s="4" t="str">
        <f t="shared" si="37"/>
        <v/>
      </c>
      <c r="N313" s="4" t="str">
        <f t="shared" si="42"/>
        <v/>
      </c>
      <c r="O313" s="4" t="str">
        <f>IF($B313="","",Inputs!$B$15-$M312)</f>
        <v/>
      </c>
      <c r="P313" s="3" t="str">
        <f t="shared" si="43"/>
        <v/>
      </c>
      <c r="Q313" s="3" t="str">
        <f t="shared" si="44"/>
        <v/>
      </c>
      <c r="R313" s="3" t="str">
        <f>IF($B313="","",IF($Q313,($L312+$N312+$G313)&gt;Inputs!$B$16,FALSE))</f>
        <v/>
      </c>
      <c r="S313" s="3" t="str">
        <f>IF($B313="","",IF(OR($F313&gt;Inputs!$B$15,$G313&gt;Inputs!$B$16),"TOO BIG",IF($R313,"NEW SHEET",IF($Q313,"NEW ROW","OK"))))</f>
        <v/>
      </c>
    </row>
    <row r="314" spans="1:19" x14ac:dyDescent="0.2">
      <c r="A314" s="4">
        <v>308</v>
      </c>
      <c r="B314" s="3" t="str">
        <f>IF(SortedPieces!$B310="","",SortedPieces!$B310)</f>
        <v/>
      </c>
      <c r="C314" s="4" t="str">
        <f>IF(SortedPieces!$C310="","",SortedPieces!$C310)</f>
        <v/>
      </c>
      <c r="D314" s="4" t="str">
        <f>IF(SortedPieces!$D310="","",SortedPieces!$D310)</f>
        <v/>
      </c>
      <c r="E314" s="3" t="str">
        <f>IF(SortedPieces!$E310="","",SortedPieces!$E310)</f>
        <v/>
      </c>
      <c r="F314" s="4" t="str">
        <f>IF($B314="","",IF($C314&lt;=$O314,$C314,IF(AND($E314="Y",$D314&lt;=$O314),$D314,IF(AND($E314="Y",$D314&lt;=Inputs!$B$15,$C314&lt;=Inputs!$B$15),IF($C314&lt;$D314,$D314,$C314),IF(AND($E314="Y",$D314&lt;=Inputs!$B$15),$D314,$C314)))))</f>
        <v/>
      </c>
      <c r="G314" s="4" t="str">
        <f>IF($B314="","",IF($C314&lt;=$O314,$D314,IF(AND($E314="Y",$D314&lt;=$O314),$C314,IF(AND($E314="Y",$D314&lt;=Inputs!$B$15,$C314&lt;=Inputs!$B$15),IF($C314&lt;$D314,$C314,$D314),IF(AND($E314="Y",$D314&lt;=Inputs!$B$15),$C314,$D314)))))</f>
        <v/>
      </c>
      <c r="H314" s="3" t="str">
        <f t="shared" si="36"/>
        <v/>
      </c>
      <c r="I314" s="4" t="str">
        <f t="shared" si="38"/>
        <v/>
      </c>
      <c r="J314" s="4" t="str">
        <f t="shared" si="39"/>
        <v/>
      </c>
      <c r="K314" s="4" t="str">
        <f t="shared" si="40"/>
        <v/>
      </c>
      <c r="L314" s="4" t="str">
        <f t="shared" si="41"/>
        <v/>
      </c>
      <c r="M314" s="4" t="str">
        <f t="shared" si="37"/>
        <v/>
      </c>
      <c r="N314" s="4" t="str">
        <f t="shared" si="42"/>
        <v/>
      </c>
      <c r="O314" s="4" t="str">
        <f>IF($B314="","",Inputs!$B$15-$M313)</f>
        <v/>
      </c>
      <c r="P314" s="3" t="str">
        <f t="shared" si="43"/>
        <v/>
      </c>
      <c r="Q314" s="3" t="str">
        <f t="shared" si="44"/>
        <v/>
      </c>
      <c r="R314" s="3" t="str">
        <f>IF($B314="","",IF($Q314,($L313+$N313+$G314)&gt;Inputs!$B$16,FALSE))</f>
        <v/>
      </c>
      <c r="S314" s="3" t="str">
        <f>IF($B314="","",IF(OR($F314&gt;Inputs!$B$15,$G314&gt;Inputs!$B$16),"TOO BIG",IF($R314,"NEW SHEET",IF($Q314,"NEW ROW","OK"))))</f>
        <v/>
      </c>
    </row>
    <row r="315" spans="1:19" x14ac:dyDescent="0.2">
      <c r="A315" s="4">
        <v>309</v>
      </c>
      <c r="B315" s="3" t="str">
        <f>IF(SortedPieces!$B311="","",SortedPieces!$B311)</f>
        <v/>
      </c>
      <c r="C315" s="4" t="str">
        <f>IF(SortedPieces!$C311="","",SortedPieces!$C311)</f>
        <v/>
      </c>
      <c r="D315" s="4" t="str">
        <f>IF(SortedPieces!$D311="","",SortedPieces!$D311)</f>
        <v/>
      </c>
      <c r="E315" s="3" t="str">
        <f>IF(SortedPieces!$E311="","",SortedPieces!$E311)</f>
        <v/>
      </c>
      <c r="F315" s="4" t="str">
        <f>IF($B315="","",IF($C315&lt;=$O315,$C315,IF(AND($E315="Y",$D315&lt;=$O315),$D315,IF(AND($E315="Y",$D315&lt;=Inputs!$B$15,$C315&lt;=Inputs!$B$15),IF($C315&lt;$D315,$D315,$C315),IF(AND($E315="Y",$D315&lt;=Inputs!$B$15),$D315,$C315)))))</f>
        <v/>
      </c>
      <c r="G315" s="4" t="str">
        <f>IF($B315="","",IF($C315&lt;=$O315,$D315,IF(AND($E315="Y",$D315&lt;=$O315),$C315,IF(AND($E315="Y",$D315&lt;=Inputs!$B$15,$C315&lt;=Inputs!$B$15),IF($C315&lt;$D315,$C315,$D315),IF(AND($E315="Y",$D315&lt;=Inputs!$B$15),$C315,$D315)))))</f>
        <v/>
      </c>
      <c r="H315" s="3" t="str">
        <f t="shared" si="36"/>
        <v/>
      </c>
      <c r="I315" s="4" t="str">
        <f t="shared" si="38"/>
        <v/>
      </c>
      <c r="J315" s="4" t="str">
        <f t="shared" si="39"/>
        <v/>
      </c>
      <c r="K315" s="4" t="str">
        <f t="shared" si="40"/>
        <v/>
      </c>
      <c r="L315" s="4" t="str">
        <f t="shared" si="41"/>
        <v/>
      </c>
      <c r="M315" s="4" t="str">
        <f t="shared" si="37"/>
        <v/>
      </c>
      <c r="N315" s="4" t="str">
        <f t="shared" si="42"/>
        <v/>
      </c>
      <c r="O315" s="4" t="str">
        <f>IF($B315="","",Inputs!$B$15-$M314)</f>
        <v/>
      </c>
      <c r="P315" s="3" t="str">
        <f t="shared" si="43"/>
        <v/>
      </c>
      <c r="Q315" s="3" t="str">
        <f t="shared" si="44"/>
        <v/>
      </c>
      <c r="R315" s="3" t="str">
        <f>IF($B315="","",IF($Q315,($L314+$N314+$G315)&gt;Inputs!$B$16,FALSE))</f>
        <v/>
      </c>
      <c r="S315" s="3" t="str">
        <f>IF($B315="","",IF(OR($F315&gt;Inputs!$B$15,$G315&gt;Inputs!$B$16),"TOO BIG",IF($R315,"NEW SHEET",IF($Q315,"NEW ROW","OK"))))</f>
        <v/>
      </c>
    </row>
    <row r="316" spans="1:19" x14ac:dyDescent="0.2">
      <c r="A316" s="4">
        <v>310</v>
      </c>
      <c r="B316" s="3" t="str">
        <f>IF(SortedPieces!$B312="","",SortedPieces!$B312)</f>
        <v/>
      </c>
      <c r="C316" s="4" t="str">
        <f>IF(SortedPieces!$C312="","",SortedPieces!$C312)</f>
        <v/>
      </c>
      <c r="D316" s="4" t="str">
        <f>IF(SortedPieces!$D312="","",SortedPieces!$D312)</f>
        <v/>
      </c>
      <c r="E316" s="3" t="str">
        <f>IF(SortedPieces!$E312="","",SortedPieces!$E312)</f>
        <v/>
      </c>
      <c r="F316" s="4" t="str">
        <f>IF($B316="","",IF($C316&lt;=$O316,$C316,IF(AND($E316="Y",$D316&lt;=$O316),$D316,IF(AND($E316="Y",$D316&lt;=Inputs!$B$15,$C316&lt;=Inputs!$B$15),IF($C316&lt;$D316,$D316,$C316),IF(AND($E316="Y",$D316&lt;=Inputs!$B$15),$D316,$C316)))))</f>
        <v/>
      </c>
      <c r="G316" s="4" t="str">
        <f>IF($B316="","",IF($C316&lt;=$O316,$D316,IF(AND($E316="Y",$D316&lt;=$O316),$C316,IF(AND($E316="Y",$D316&lt;=Inputs!$B$15,$C316&lt;=Inputs!$B$15),IF($C316&lt;$D316,$C316,$D316),IF(AND($E316="Y",$D316&lt;=Inputs!$B$15),$C316,$D316)))))</f>
        <v/>
      </c>
      <c r="H316" s="3" t="str">
        <f t="shared" si="36"/>
        <v/>
      </c>
      <c r="I316" s="4" t="str">
        <f t="shared" si="38"/>
        <v/>
      </c>
      <c r="J316" s="4" t="str">
        <f t="shared" si="39"/>
        <v/>
      </c>
      <c r="K316" s="4" t="str">
        <f t="shared" si="40"/>
        <v/>
      </c>
      <c r="L316" s="4" t="str">
        <f t="shared" si="41"/>
        <v/>
      </c>
      <c r="M316" s="4" t="str">
        <f t="shared" si="37"/>
        <v/>
      </c>
      <c r="N316" s="4" t="str">
        <f t="shared" si="42"/>
        <v/>
      </c>
      <c r="O316" s="4" t="str">
        <f>IF($B316="","",Inputs!$B$15-$M315)</f>
        <v/>
      </c>
      <c r="P316" s="3" t="str">
        <f t="shared" si="43"/>
        <v/>
      </c>
      <c r="Q316" s="3" t="str">
        <f t="shared" si="44"/>
        <v/>
      </c>
      <c r="R316" s="3" t="str">
        <f>IF($B316="","",IF($Q316,($L315+$N315+$G316)&gt;Inputs!$B$16,FALSE))</f>
        <v/>
      </c>
      <c r="S316" s="3" t="str">
        <f>IF($B316="","",IF(OR($F316&gt;Inputs!$B$15,$G316&gt;Inputs!$B$16),"TOO BIG",IF($R316,"NEW SHEET",IF($Q316,"NEW ROW","OK"))))</f>
        <v/>
      </c>
    </row>
    <row r="317" spans="1:19" x14ac:dyDescent="0.2">
      <c r="A317" s="4">
        <v>311</v>
      </c>
      <c r="B317" s="3" t="str">
        <f>IF(SortedPieces!$B313="","",SortedPieces!$B313)</f>
        <v/>
      </c>
      <c r="C317" s="4" t="str">
        <f>IF(SortedPieces!$C313="","",SortedPieces!$C313)</f>
        <v/>
      </c>
      <c r="D317" s="4" t="str">
        <f>IF(SortedPieces!$D313="","",SortedPieces!$D313)</f>
        <v/>
      </c>
      <c r="E317" s="3" t="str">
        <f>IF(SortedPieces!$E313="","",SortedPieces!$E313)</f>
        <v/>
      </c>
      <c r="F317" s="4" t="str">
        <f>IF($B317="","",IF($C317&lt;=$O317,$C317,IF(AND($E317="Y",$D317&lt;=$O317),$D317,IF(AND($E317="Y",$D317&lt;=Inputs!$B$15,$C317&lt;=Inputs!$B$15),IF($C317&lt;$D317,$D317,$C317),IF(AND($E317="Y",$D317&lt;=Inputs!$B$15),$D317,$C317)))))</f>
        <v/>
      </c>
      <c r="G317" s="4" t="str">
        <f>IF($B317="","",IF($C317&lt;=$O317,$D317,IF(AND($E317="Y",$D317&lt;=$O317),$C317,IF(AND($E317="Y",$D317&lt;=Inputs!$B$15,$C317&lt;=Inputs!$B$15),IF($C317&lt;$D317,$C317,$D317),IF(AND($E317="Y",$D317&lt;=Inputs!$B$15),$C317,$D317)))))</f>
        <v/>
      </c>
      <c r="H317" s="3" t="str">
        <f t="shared" si="36"/>
        <v/>
      </c>
      <c r="I317" s="4" t="str">
        <f t="shared" si="38"/>
        <v/>
      </c>
      <c r="J317" s="4" t="str">
        <f t="shared" si="39"/>
        <v/>
      </c>
      <c r="K317" s="4" t="str">
        <f t="shared" si="40"/>
        <v/>
      </c>
      <c r="L317" s="4" t="str">
        <f t="shared" si="41"/>
        <v/>
      </c>
      <c r="M317" s="4" t="str">
        <f t="shared" si="37"/>
        <v/>
      </c>
      <c r="N317" s="4" t="str">
        <f t="shared" si="42"/>
        <v/>
      </c>
      <c r="O317" s="4" t="str">
        <f>IF($B317="","",Inputs!$B$15-$M316)</f>
        <v/>
      </c>
      <c r="P317" s="3" t="str">
        <f t="shared" si="43"/>
        <v/>
      </c>
      <c r="Q317" s="3" t="str">
        <f t="shared" si="44"/>
        <v/>
      </c>
      <c r="R317" s="3" t="str">
        <f>IF($B317="","",IF($Q317,($L316+$N316+$G317)&gt;Inputs!$B$16,FALSE))</f>
        <v/>
      </c>
      <c r="S317" s="3" t="str">
        <f>IF($B317="","",IF(OR($F317&gt;Inputs!$B$15,$G317&gt;Inputs!$B$16),"TOO BIG",IF($R317,"NEW SHEET",IF($Q317,"NEW ROW","OK"))))</f>
        <v/>
      </c>
    </row>
    <row r="318" spans="1:19" x14ac:dyDescent="0.2">
      <c r="A318" s="4">
        <v>312</v>
      </c>
      <c r="B318" s="3" t="str">
        <f>IF(SortedPieces!$B314="","",SortedPieces!$B314)</f>
        <v/>
      </c>
      <c r="C318" s="4" t="str">
        <f>IF(SortedPieces!$C314="","",SortedPieces!$C314)</f>
        <v/>
      </c>
      <c r="D318" s="4" t="str">
        <f>IF(SortedPieces!$D314="","",SortedPieces!$D314)</f>
        <v/>
      </c>
      <c r="E318" s="3" t="str">
        <f>IF(SortedPieces!$E314="","",SortedPieces!$E314)</f>
        <v/>
      </c>
      <c r="F318" s="4" t="str">
        <f>IF($B318="","",IF($C318&lt;=$O318,$C318,IF(AND($E318="Y",$D318&lt;=$O318),$D318,IF(AND($E318="Y",$D318&lt;=Inputs!$B$15,$C318&lt;=Inputs!$B$15),IF($C318&lt;$D318,$D318,$C318),IF(AND($E318="Y",$D318&lt;=Inputs!$B$15),$D318,$C318)))))</f>
        <v/>
      </c>
      <c r="G318" s="4" t="str">
        <f>IF($B318="","",IF($C318&lt;=$O318,$D318,IF(AND($E318="Y",$D318&lt;=$O318),$C318,IF(AND($E318="Y",$D318&lt;=Inputs!$B$15,$C318&lt;=Inputs!$B$15),IF($C318&lt;$D318,$C318,$D318),IF(AND($E318="Y",$D318&lt;=Inputs!$B$15),$C318,$D318)))))</f>
        <v/>
      </c>
      <c r="H318" s="3" t="str">
        <f t="shared" si="36"/>
        <v/>
      </c>
      <c r="I318" s="4" t="str">
        <f t="shared" si="38"/>
        <v/>
      </c>
      <c r="J318" s="4" t="str">
        <f t="shared" si="39"/>
        <v/>
      </c>
      <c r="K318" s="4" t="str">
        <f t="shared" si="40"/>
        <v/>
      </c>
      <c r="L318" s="4" t="str">
        <f t="shared" si="41"/>
        <v/>
      </c>
      <c r="M318" s="4" t="str">
        <f t="shared" si="37"/>
        <v/>
      </c>
      <c r="N318" s="4" t="str">
        <f t="shared" si="42"/>
        <v/>
      </c>
      <c r="O318" s="4" t="str">
        <f>IF($B318="","",Inputs!$B$15-$M317)</f>
        <v/>
      </c>
      <c r="P318" s="3" t="str">
        <f t="shared" si="43"/>
        <v/>
      </c>
      <c r="Q318" s="3" t="str">
        <f t="shared" si="44"/>
        <v/>
      </c>
      <c r="R318" s="3" t="str">
        <f>IF($B318="","",IF($Q318,($L317+$N317+$G318)&gt;Inputs!$B$16,FALSE))</f>
        <v/>
      </c>
      <c r="S318" s="3" t="str">
        <f>IF($B318="","",IF(OR($F318&gt;Inputs!$B$15,$G318&gt;Inputs!$B$16),"TOO BIG",IF($R318,"NEW SHEET",IF($Q318,"NEW ROW","OK"))))</f>
        <v/>
      </c>
    </row>
    <row r="319" spans="1:19" x14ac:dyDescent="0.2">
      <c r="A319" s="4">
        <v>313</v>
      </c>
      <c r="B319" s="3" t="str">
        <f>IF(SortedPieces!$B315="","",SortedPieces!$B315)</f>
        <v/>
      </c>
      <c r="C319" s="4" t="str">
        <f>IF(SortedPieces!$C315="","",SortedPieces!$C315)</f>
        <v/>
      </c>
      <c r="D319" s="4" t="str">
        <f>IF(SortedPieces!$D315="","",SortedPieces!$D315)</f>
        <v/>
      </c>
      <c r="E319" s="3" t="str">
        <f>IF(SortedPieces!$E315="","",SortedPieces!$E315)</f>
        <v/>
      </c>
      <c r="F319" s="4" t="str">
        <f>IF($B319="","",IF($C319&lt;=$O319,$C319,IF(AND($E319="Y",$D319&lt;=$O319),$D319,IF(AND($E319="Y",$D319&lt;=Inputs!$B$15,$C319&lt;=Inputs!$B$15),IF($C319&lt;$D319,$D319,$C319),IF(AND($E319="Y",$D319&lt;=Inputs!$B$15),$D319,$C319)))))</f>
        <v/>
      </c>
      <c r="G319" s="4" t="str">
        <f>IF($B319="","",IF($C319&lt;=$O319,$D319,IF(AND($E319="Y",$D319&lt;=$O319),$C319,IF(AND($E319="Y",$D319&lt;=Inputs!$B$15,$C319&lt;=Inputs!$B$15),IF($C319&lt;$D319,$C319,$D319),IF(AND($E319="Y",$D319&lt;=Inputs!$B$15),$C319,$D319)))))</f>
        <v/>
      </c>
      <c r="H319" s="3" t="str">
        <f t="shared" si="36"/>
        <v/>
      </c>
      <c r="I319" s="4" t="str">
        <f t="shared" si="38"/>
        <v/>
      </c>
      <c r="J319" s="4" t="str">
        <f t="shared" si="39"/>
        <v/>
      </c>
      <c r="K319" s="4" t="str">
        <f t="shared" si="40"/>
        <v/>
      </c>
      <c r="L319" s="4" t="str">
        <f t="shared" si="41"/>
        <v/>
      </c>
      <c r="M319" s="4" t="str">
        <f t="shared" si="37"/>
        <v/>
      </c>
      <c r="N319" s="4" t="str">
        <f t="shared" si="42"/>
        <v/>
      </c>
      <c r="O319" s="4" t="str">
        <f>IF($B319="","",Inputs!$B$15-$M318)</f>
        <v/>
      </c>
      <c r="P319" s="3" t="str">
        <f t="shared" si="43"/>
        <v/>
      </c>
      <c r="Q319" s="3" t="str">
        <f t="shared" si="44"/>
        <v/>
      </c>
      <c r="R319" s="3" t="str">
        <f>IF($B319="","",IF($Q319,($L318+$N318+$G319)&gt;Inputs!$B$16,FALSE))</f>
        <v/>
      </c>
      <c r="S319" s="3" t="str">
        <f>IF($B319="","",IF(OR($F319&gt;Inputs!$B$15,$G319&gt;Inputs!$B$16),"TOO BIG",IF($R319,"NEW SHEET",IF($Q319,"NEW ROW","OK"))))</f>
        <v/>
      </c>
    </row>
    <row r="320" spans="1:19" x14ac:dyDescent="0.2">
      <c r="A320" s="4">
        <v>314</v>
      </c>
      <c r="B320" s="3" t="str">
        <f>IF(SortedPieces!$B316="","",SortedPieces!$B316)</f>
        <v/>
      </c>
      <c r="C320" s="4" t="str">
        <f>IF(SortedPieces!$C316="","",SortedPieces!$C316)</f>
        <v/>
      </c>
      <c r="D320" s="4" t="str">
        <f>IF(SortedPieces!$D316="","",SortedPieces!$D316)</f>
        <v/>
      </c>
      <c r="E320" s="3" t="str">
        <f>IF(SortedPieces!$E316="","",SortedPieces!$E316)</f>
        <v/>
      </c>
      <c r="F320" s="4" t="str">
        <f>IF($B320="","",IF($C320&lt;=$O320,$C320,IF(AND($E320="Y",$D320&lt;=$O320),$D320,IF(AND($E320="Y",$D320&lt;=Inputs!$B$15,$C320&lt;=Inputs!$B$15),IF($C320&lt;$D320,$D320,$C320),IF(AND($E320="Y",$D320&lt;=Inputs!$B$15),$D320,$C320)))))</f>
        <v/>
      </c>
      <c r="G320" s="4" t="str">
        <f>IF($B320="","",IF($C320&lt;=$O320,$D320,IF(AND($E320="Y",$D320&lt;=$O320),$C320,IF(AND($E320="Y",$D320&lt;=Inputs!$B$15,$C320&lt;=Inputs!$B$15),IF($C320&lt;$D320,$C320,$D320),IF(AND($E320="Y",$D320&lt;=Inputs!$B$15),$C320,$D320)))))</f>
        <v/>
      </c>
      <c r="H320" s="3" t="str">
        <f t="shared" si="36"/>
        <v/>
      </c>
      <c r="I320" s="4" t="str">
        <f t="shared" si="38"/>
        <v/>
      </c>
      <c r="J320" s="4" t="str">
        <f t="shared" si="39"/>
        <v/>
      </c>
      <c r="K320" s="4" t="str">
        <f t="shared" si="40"/>
        <v/>
      </c>
      <c r="L320" s="4" t="str">
        <f t="shared" si="41"/>
        <v/>
      </c>
      <c r="M320" s="4" t="str">
        <f t="shared" si="37"/>
        <v/>
      </c>
      <c r="N320" s="4" t="str">
        <f t="shared" si="42"/>
        <v/>
      </c>
      <c r="O320" s="4" t="str">
        <f>IF($B320="","",Inputs!$B$15-$M319)</f>
        <v/>
      </c>
      <c r="P320" s="3" t="str">
        <f t="shared" si="43"/>
        <v/>
      </c>
      <c r="Q320" s="3" t="str">
        <f t="shared" si="44"/>
        <v/>
      </c>
      <c r="R320" s="3" t="str">
        <f>IF($B320="","",IF($Q320,($L319+$N319+$G320)&gt;Inputs!$B$16,FALSE))</f>
        <v/>
      </c>
      <c r="S320" s="3" t="str">
        <f>IF($B320="","",IF(OR($F320&gt;Inputs!$B$15,$G320&gt;Inputs!$B$16),"TOO BIG",IF($R320,"NEW SHEET",IF($Q320,"NEW ROW","OK"))))</f>
        <v/>
      </c>
    </row>
    <row r="321" spans="1:19" x14ac:dyDescent="0.2">
      <c r="A321" s="4">
        <v>315</v>
      </c>
      <c r="B321" s="3" t="str">
        <f>IF(SortedPieces!$B317="","",SortedPieces!$B317)</f>
        <v/>
      </c>
      <c r="C321" s="4" t="str">
        <f>IF(SortedPieces!$C317="","",SortedPieces!$C317)</f>
        <v/>
      </c>
      <c r="D321" s="4" t="str">
        <f>IF(SortedPieces!$D317="","",SortedPieces!$D317)</f>
        <v/>
      </c>
      <c r="E321" s="3" t="str">
        <f>IF(SortedPieces!$E317="","",SortedPieces!$E317)</f>
        <v/>
      </c>
      <c r="F321" s="4" t="str">
        <f>IF($B321="","",IF($C321&lt;=$O321,$C321,IF(AND($E321="Y",$D321&lt;=$O321),$D321,IF(AND($E321="Y",$D321&lt;=Inputs!$B$15,$C321&lt;=Inputs!$B$15),IF($C321&lt;$D321,$D321,$C321),IF(AND($E321="Y",$D321&lt;=Inputs!$B$15),$D321,$C321)))))</f>
        <v/>
      </c>
      <c r="G321" s="4" t="str">
        <f>IF($B321="","",IF($C321&lt;=$O321,$D321,IF(AND($E321="Y",$D321&lt;=$O321),$C321,IF(AND($E321="Y",$D321&lt;=Inputs!$B$15,$C321&lt;=Inputs!$B$15),IF($C321&lt;$D321,$C321,$D321),IF(AND($E321="Y",$D321&lt;=Inputs!$B$15),$C321,$D321)))))</f>
        <v/>
      </c>
      <c r="H321" s="3" t="str">
        <f t="shared" si="36"/>
        <v/>
      </c>
      <c r="I321" s="4" t="str">
        <f t="shared" si="38"/>
        <v/>
      </c>
      <c r="J321" s="4" t="str">
        <f t="shared" si="39"/>
        <v/>
      </c>
      <c r="K321" s="4" t="str">
        <f t="shared" si="40"/>
        <v/>
      </c>
      <c r="L321" s="4" t="str">
        <f t="shared" si="41"/>
        <v/>
      </c>
      <c r="M321" s="4" t="str">
        <f t="shared" si="37"/>
        <v/>
      </c>
      <c r="N321" s="4" t="str">
        <f t="shared" si="42"/>
        <v/>
      </c>
      <c r="O321" s="4" t="str">
        <f>IF($B321="","",Inputs!$B$15-$M320)</f>
        <v/>
      </c>
      <c r="P321" s="3" t="str">
        <f t="shared" si="43"/>
        <v/>
      </c>
      <c r="Q321" s="3" t="str">
        <f t="shared" si="44"/>
        <v/>
      </c>
      <c r="R321" s="3" t="str">
        <f>IF($B321="","",IF($Q321,($L320+$N320+$G321)&gt;Inputs!$B$16,FALSE))</f>
        <v/>
      </c>
      <c r="S321" s="3" t="str">
        <f>IF($B321="","",IF(OR($F321&gt;Inputs!$B$15,$G321&gt;Inputs!$B$16),"TOO BIG",IF($R321,"NEW SHEET",IF($Q321,"NEW ROW","OK"))))</f>
        <v/>
      </c>
    </row>
    <row r="322" spans="1:19" x14ac:dyDescent="0.2">
      <c r="A322" s="4">
        <v>316</v>
      </c>
      <c r="B322" s="3" t="str">
        <f>IF(SortedPieces!$B318="","",SortedPieces!$B318)</f>
        <v/>
      </c>
      <c r="C322" s="4" t="str">
        <f>IF(SortedPieces!$C318="","",SortedPieces!$C318)</f>
        <v/>
      </c>
      <c r="D322" s="4" t="str">
        <f>IF(SortedPieces!$D318="","",SortedPieces!$D318)</f>
        <v/>
      </c>
      <c r="E322" s="3" t="str">
        <f>IF(SortedPieces!$E318="","",SortedPieces!$E318)</f>
        <v/>
      </c>
      <c r="F322" s="4" t="str">
        <f>IF($B322="","",IF($C322&lt;=$O322,$C322,IF(AND($E322="Y",$D322&lt;=$O322),$D322,IF(AND($E322="Y",$D322&lt;=Inputs!$B$15,$C322&lt;=Inputs!$B$15),IF($C322&lt;$D322,$D322,$C322),IF(AND($E322="Y",$D322&lt;=Inputs!$B$15),$D322,$C322)))))</f>
        <v/>
      </c>
      <c r="G322" s="4" t="str">
        <f>IF($B322="","",IF($C322&lt;=$O322,$D322,IF(AND($E322="Y",$D322&lt;=$O322),$C322,IF(AND($E322="Y",$D322&lt;=Inputs!$B$15,$C322&lt;=Inputs!$B$15),IF($C322&lt;$D322,$C322,$D322),IF(AND($E322="Y",$D322&lt;=Inputs!$B$15),$C322,$D322)))))</f>
        <v/>
      </c>
      <c r="H322" s="3" t="str">
        <f t="shared" si="36"/>
        <v/>
      </c>
      <c r="I322" s="4" t="str">
        <f t="shared" si="38"/>
        <v/>
      </c>
      <c r="J322" s="4" t="str">
        <f t="shared" si="39"/>
        <v/>
      </c>
      <c r="K322" s="4" t="str">
        <f t="shared" si="40"/>
        <v/>
      </c>
      <c r="L322" s="4" t="str">
        <f t="shared" si="41"/>
        <v/>
      </c>
      <c r="M322" s="4" t="str">
        <f t="shared" si="37"/>
        <v/>
      </c>
      <c r="N322" s="4" t="str">
        <f t="shared" si="42"/>
        <v/>
      </c>
      <c r="O322" s="4" t="str">
        <f>IF($B322="","",Inputs!$B$15-$M321)</f>
        <v/>
      </c>
      <c r="P322" s="3" t="str">
        <f t="shared" si="43"/>
        <v/>
      </c>
      <c r="Q322" s="3" t="str">
        <f t="shared" si="44"/>
        <v/>
      </c>
      <c r="R322" s="3" t="str">
        <f>IF($B322="","",IF($Q322,($L321+$N321+$G322)&gt;Inputs!$B$16,FALSE))</f>
        <v/>
      </c>
      <c r="S322" s="3" t="str">
        <f>IF($B322="","",IF(OR($F322&gt;Inputs!$B$15,$G322&gt;Inputs!$B$16),"TOO BIG",IF($R322,"NEW SHEET",IF($Q322,"NEW ROW","OK"))))</f>
        <v/>
      </c>
    </row>
    <row r="323" spans="1:19" x14ac:dyDescent="0.2">
      <c r="A323" s="4">
        <v>317</v>
      </c>
      <c r="B323" s="3" t="str">
        <f>IF(SortedPieces!$B319="","",SortedPieces!$B319)</f>
        <v/>
      </c>
      <c r="C323" s="4" t="str">
        <f>IF(SortedPieces!$C319="","",SortedPieces!$C319)</f>
        <v/>
      </c>
      <c r="D323" s="4" t="str">
        <f>IF(SortedPieces!$D319="","",SortedPieces!$D319)</f>
        <v/>
      </c>
      <c r="E323" s="3" t="str">
        <f>IF(SortedPieces!$E319="","",SortedPieces!$E319)</f>
        <v/>
      </c>
      <c r="F323" s="4" t="str">
        <f>IF($B323="","",IF($C323&lt;=$O323,$C323,IF(AND($E323="Y",$D323&lt;=$O323),$D323,IF(AND($E323="Y",$D323&lt;=Inputs!$B$15,$C323&lt;=Inputs!$B$15),IF($C323&lt;$D323,$D323,$C323),IF(AND($E323="Y",$D323&lt;=Inputs!$B$15),$D323,$C323)))))</f>
        <v/>
      </c>
      <c r="G323" s="4" t="str">
        <f>IF($B323="","",IF($C323&lt;=$O323,$D323,IF(AND($E323="Y",$D323&lt;=$O323),$C323,IF(AND($E323="Y",$D323&lt;=Inputs!$B$15,$C323&lt;=Inputs!$B$15),IF($C323&lt;$D323,$C323,$D323),IF(AND($E323="Y",$D323&lt;=Inputs!$B$15),$C323,$D323)))))</f>
        <v/>
      </c>
      <c r="H323" s="3" t="str">
        <f t="shared" si="36"/>
        <v/>
      </c>
      <c r="I323" s="4" t="str">
        <f t="shared" si="38"/>
        <v/>
      </c>
      <c r="J323" s="4" t="str">
        <f t="shared" si="39"/>
        <v/>
      </c>
      <c r="K323" s="4" t="str">
        <f t="shared" si="40"/>
        <v/>
      </c>
      <c r="L323" s="4" t="str">
        <f t="shared" si="41"/>
        <v/>
      </c>
      <c r="M323" s="4" t="str">
        <f t="shared" si="37"/>
        <v/>
      </c>
      <c r="N323" s="4" t="str">
        <f t="shared" si="42"/>
        <v/>
      </c>
      <c r="O323" s="4" t="str">
        <f>IF($B323="","",Inputs!$B$15-$M322)</f>
        <v/>
      </c>
      <c r="P323" s="3" t="str">
        <f t="shared" si="43"/>
        <v/>
      </c>
      <c r="Q323" s="3" t="str">
        <f t="shared" si="44"/>
        <v/>
      </c>
      <c r="R323" s="3" t="str">
        <f>IF($B323="","",IF($Q323,($L322+$N322+$G323)&gt;Inputs!$B$16,FALSE))</f>
        <v/>
      </c>
      <c r="S323" s="3" t="str">
        <f>IF($B323="","",IF(OR($F323&gt;Inputs!$B$15,$G323&gt;Inputs!$B$16),"TOO BIG",IF($R323,"NEW SHEET",IF($Q323,"NEW ROW","OK"))))</f>
        <v/>
      </c>
    </row>
    <row r="324" spans="1:19" x14ac:dyDescent="0.2">
      <c r="A324" s="4">
        <v>318</v>
      </c>
      <c r="B324" s="3" t="str">
        <f>IF(SortedPieces!$B320="","",SortedPieces!$B320)</f>
        <v/>
      </c>
      <c r="C324" s="4" t="str">
        <f>IF(SortedPieces!$C320="","",SortedPieces!$C320)</f>
        <v/>
      </c>
      <c r="D324" s="4" t="str">
        <f>IF(SortedPieces!$D320="","",SortedPieces!$D320)</f>
        <v/>
      </c>
      <c r="E324" s="3" t="str">
        <f>IF(SortedPieces!$E320="","",SortedPieces!$E320)</f>
        <v/>
      </c>
      <c r="F324" s="4" t="str">
        <f>IF($B324="","",IF($C324&lt;=$O324,$C324,IF(AND($E324="Y",$D324&lt;=$O324),$D324,IF(AND($E324="Y",$D324&lt;=Inputs!$B$15,$C324&lt;=Inputs!$B$15),IF($C324&lt;$D324,$D324,$C324),IF(AND($E324="Y",$D324&lt;=Inputs!$B$15),$D324,$C324)))))</f>
        <v/>
      </c>
      <c r="G324" s="4" t="str">
        <f>IF($B324="","",IF($C324&lt;=$O324,$D324,IF(AND($E324="Y",$D324&lt;=$O324),$C324,IF(AND($E324="Y",$D324&lt;=Inputs!$B$15,$C324&lt;=Inputs!$B$15),IF($C324&lt;$D324,$C324,$D324),IF(AND($E324="Y",$D324&lt;=Inputs!$B$15),$C324,$D324)))))</f>
        <v/>
      </c>
      <c r="H324" s="3" t="str">
        <f t="shared" si="36"/>
        <v/>
      </c>
      <c r="I324" s="4" t="str">
        <f t="shared" si="38"/>
        <v/>
      </c>
      <c r="J324" s="4" t="str">
        <f t="shared" si="39"/>
        <v/>
      </c>
      <c r="K324" s="4" t="str">
        <f t="shared" si="40"/>
        <v/>
      </c>
      <c r="L324" s="4" t="str">
        <f t="shared" si="41"/>
        <v/>
      </c>
      <c r="M324" s="4" t="str">
        <f t="shared" si="37"/>
        <v/>
      </c>
      <c r="N324" s="4" t="str">
        <f t="shared" si="42"/>
        <v/>
      </c>
      <c r="O324" s="4" t="str">
        <f>IF($B324="","",Inputs!$B$15-$M323)</f>
        <v/>
      </c>
      <c r="P324" s="3" t="str">
        <f t="shared" si="43"/>
        <v/>
      </c>
      <c r="Q324" s="3" t="str">
        <f t="shared" si="44"/>
        <v/>
      </c>
      <c r="R324" s="3" t="str">
        <f>IF($B324="","",IF($Q324,($L323+$N323+$G324)&gt;Inputs!$B$16,FALSE))</f>
        <v/>
      </c>
      <c r="S324" s="3" t="str">
        <f>IF($B324="","",IF(OR($F324&gt;Inputs!$B$15,$G324&gt;Inputs!$B$16),"TOO BIG",IF($R324,"NEW SHEET",IF($Q324,"NEW ROW","OK"))))</f>
        <v/>
      </c>
    </row>
    <row r="325" spans="1:19" x14ac:dyDescent="0.2">
      <c r="A325" s="4">
        <v>319</v>
      </c>
      <c r="B325" s="3" t="str">
        <f>IF(SortedPieces!$B321="","",SortedPieces!$B321)</f>
        <v/>
      </c>
      <c r="C325" s="4" t="str">
        <f>IF(SortedPieces!$C321="","",SortedPieces!$C321)</f>
        <v/>
      </c>
      <c r="D325" s="4" t="str">
        <f>IF(SortedPieces!$D321="","",SortedPieces!$D321)</f>
        <v/>
      </c>
      <c r="E325" s="3" t="str">
        <f>IF(SortedPieces!$E321="","",SortedPieces!$E321)</f>
        <v/>
      </c>
      <c r="F325" s="4" t="str">
        <f>IF($B325="","",IF($C325&lt;=$O325,$C325,IF(AND($E325="Y",$D325&lt;=$O325),$D325,IF(AND($E325="Y",$D325&lt;=Inputs!$B$15,$C325&lt;=Inputs!$B$15),IF($C325&lt;$D325,$D325,$C325),IF(AND($E325="Y",$D325&lt;=Inputs!$B$15),$D325,$C325)))))</f>
        <v/>
      </c>
      <c r="G325" s="4" t="str">
        <f>IF($B325="","",IF($C325&lt;=$O325,$D325,IF(AND($E325="Y",$D325&lt;=$O325),$C325,IF(AND($E325="Y",$D325&lt;=Inputs!$B$15,$C325&lt;=Inputs!$B$15),IF($C325&lt;$D325,$C325,$D325),IF(AND($E325="Y",$D325&lt;=Inputs!$B$15),$C325,$D325)))))</f>
        <v/>
      </c>
      <c r="H325" s="3" t="str">
        <f t="shared" si="36"/>
        <v/>
      </c>
      <c r="I325" s="4" t="str">
        <f t="shared" si="38"/>
        <v/>
      </c>
      <c r="J325" s="4" t="str">
        <f t="shared" si="39"/>
        <v/>
      </c>
      <c r="K325" s="4" t="str">
        <f t="shared" si="40"/>
        <v/>
      </c>
      <c r="L325" s="4" t="str">
        <f t="shared" si="41"/>
        <v/>
      </c>
      <c r="M325" s="4" t="str">
        <f t="shared" si="37"/>
        <v/>
      </c>
      <c r="N325" s="4" t="str">
        <f t="shared" si="42"/>
        <v/>
      </c>
      <c r="O325" s="4" t="str">
        <f>IF($B325="","",Inputs!$B$15-$M324)</f>
        <v/>
      </c>
      <c r="P325" s="3" t="str">
        <f t="shared" si="43"/>
        <v/>
      </c>
      <c r="Q325" s="3" t="str">
        <f t="shared" si="44"/>
        <v/>
      </c>
      <c r="R325" s="3" t="str">
        <f>IF($B325="","",IF($Q325,($L324+$N324+$G325)&gt;Inputs!$B$16,FALSE))</f>
        <v/>
      </c>
      <c r="S325" s="3" t="str">
        <f>IF($B325="","",IF(OR($F325&gt;Inputs!$B$15,$G325&gt;Inputs!$B$16),"TOO BIG",IF($R325,"NEW SHEET",IF($Q325,"NEW ROW","OK"))))</f>
        <v/>
      </c>
    </row>
    <row r="326" spans="1:19" x14ac:dyDescent="0.2">
      <c r="A326" s="4">
        <v>320</v>
      </c>
      <c r="B326" s="3" t="str">
        <f>IF(SortedPieces!$B322="","",SortedPieces!$B322)</f>
        <v/>
      </c>
      <c r="C326" s="4" t="str">
        <f>IF(SortedPieces!$C322="","",SortedPieces!$C322)</f>
        <v/>
      </c>
      <c r="D326" s="4" t="str">
        <f>IF(SortedPieces!$D322="","",SortedPieces!$D322)</f>
        <v/>
      </c>
      <c r="E326" s="3" t="str">
        <f>IF(SortedPieces!$E322="","",SortedPieces!$E322)</f>
        <v/>
      </c>
      <c r="F326" s="4" t="str">
        <f>IF($B326="","",IF($C326&lt;=$O326,$C326,IF(AND($E326="Y",$D326&lt;=$O326),$D326,IF(AND($E326="Y",$D326&lt;=Inputs!$B$15,$C326&lt;=Inputs!$B$15),IF($C326&lt;$D326,$D326,$C326),IF(AND($E326="Y",$D326&lt;=Inputs!$B$15),$D326,$C326)))))</f>
        <v/>
      </c>
      <c r="G326" s="4" t="str">
        <f>IF($B326="","",IF($C326&lt;=$O326,$D326,IF(AND($E326="Y",$D326&lt;=$O326),$C326,IF(AND($E326="Y",$D326&lt;=Inputs!$B$15,$C326&lt;=Inputs!$B$15),IF($C326&lt;$D326,$C326,$D326),IF(AND($E326="Y",$D326&lt;=Inputs!$B$15),$C326,$D326)))))</f>
        <v/>
      </c>
      <c r="H326" s="3" t="str">
        <f t="shared" si="36"/>
        <v/>
      </c>
      <c r="I326" s="4" t="str">
        <f t="shared" si="38"/>
        <v/>
      </c>
      <c r="J326" s="4" t="str">
        <f t="shared" si="39"/>
        <v/>
      </c>
      <c r="K326" s="4" t="str">
        <f t="shared" si="40"/>
        <v/>
      </c>
      <c r="L326" s="4" t="str">
        <f t="shared" si="41"/>
        <v/>
      </c>
      <c r="M326" s="4" t="str">
        <f t="shared" si="37"/>
        <v/>
      </c>
      <c r="N326" s="4" t="str">
        <f t="shared" si="42"/>
        <v/>
      </c>
      <c r="O326" s="4" t="str">
        <f>IF($B326="","",Inputs!$B$15-$M325)</f>
        <v/>
      </c>
      <c r="P326" s="3" t="str">
        <f t="shared" si="43"/>
        <v/>
      </c>
      <c r="Q326" s="3" t="str">
        <f t="shared" si="44"/>
        <v/>
      </c>
      <c r="R326" s="3" t="str">
        <f>IF($B326="","",IF($Q326,($L325+$N325+$G326)&gt;Inputs!$B$16,FALSE))</f>
        <v/>
      </c>
      <c r="S326" s="3" t="str">
        <f>IF($B326="","",IF(OR($F326&gt;Inputs!$B$15,$G326&gt;Inputs!$B$16),"TOO BIG",IF($R326,"NEW SHEET",IF($Q326,"NEW ROW","OK"))))</f>
        <v/>
      </c>
    </row>
    <row r="327" spans="1:19" x14ac:dyDescent="0.2">
      <c r="A327" s="4">
        <v>321</v>
      </c>
      <c r="B327" s="3" t="str">
        <f>IF(SortedPieces!$B323="","",SortedPieces!$B323)</f>
        <v/>
      </c>
      <c r="C327" s="4" t="str">
        <f>IF(SortedPieces!$C323="","",SortedPieces!$C323)</f>
        <v/>
      </c>
      <c r="D327" s="4" t="str">
        <f>IF(SortedPieces!$D323="","",SortedPieces!$D323)</f>
        <v/>
      </c>
      <c r="E327" s="3" t="str">
        <f>IF(SortedPieces!$E323="","",SortedPieces!$E323)</f>
        <v/>
      </c>
      <c r="F327" s="4" t="str">
        <f>IF($B327="","",IF($C327&lt;=$O327,$C327,IF(AND($E327="Y",$D327&lt;=$O327),$D327,IF(AND($E327="Y",$D327&lt;=Inputs!$B$15,$C327&lt;=Inputs!$B$15),IF($C327&lt;$D327,$D327,$C327),IF(AND($E327="Y",$D327&lt;=Inputs!$B$15),$D327,$C327)))))</f>
        <v/>
      </c>
      <c r="G327" s="4" t="str">
        <f>IF($B327="","",IF($C327&lt;=$O327,$D327,IF(AND($E327="Y",$D327&lt;=$O327),$C327,IF(AND($E327="Y",$D327&lt;=Inputs!$B$15,$C327&lt;=Inputs!$B$15),IF($C327&lt;$D327,$C327,$D327),IF(AND($E327="Y",$D327&lt;=Inputs!$B$15),$C327,$D327)))))</f>
        <v/>
      </c>
      <c r="H327" s="3" t="str">
        <f t="shared" ref="H327:H390" si="45">IF($B327="","",IF(AND($E327="Y",$F327=$D327,$G327=$C327),"Y","N"))</f>
        <v/>
      </c>
      <c r="I327" s="4" t="str">
        <f t="shared" si="38"/>
        <v/>
      </c>
      <c r="J327" s="4" t="str">
        <f t="shared" si="39"/>
        <v/>
      </c>
      <c r="K327" s="4" t="str">
        <f t="shared" si="40"/>
        <v/>
      </c>
      <c r="L327" s="4" t="str">
        <f t="shared" si="41"/>
        <v/>
      </c>
      <c r="M327" s="4" t="str">
        <f t="shared" ref="M327:M390" si="46">IF($B327="","",$K327+$F327)</f>
        <v/>
      </c>
      <c r="N327" s="4" t="str">
        <f t="shared" si="42"/>
        <v/>
      </c>
      <c r="O327" s="4" t="str">
        <f>IF($B327="","",Inputs!$B$15-$M326)</f>
        <v/>
      </c>
      <c r="P327" s="3" t="str">
        <f t="shared" si="43"/>
        <v/>
      </c>
      <c r="Q327" s="3" t="str">
        <f t="shared" si="44"/>
        <v/>
      </c>
      <c r="R327" s="3" t="str">
        <f>IF($B327="","",IF($Q327,($L326+$N326+$G327)&gt;Inputs!$B$16,FALSE))</f>
        <v/>
      </c>
      <c r="S327" s="3" t="str">
        <f>IF($B327="","",IF(OR($F327&gt;Inputs!$B$15,$G327&gt;Inputs!$B$16),"TOO BIG",IF($R327,"NEW SHEET",IF($Q327,"NEW ROW","OK"))))</f>
        <v/>
      </c>
    </row>
    <row r="328" spans="1:19" x14ac:dyDescent="0.2">
      <c r="A328" s="4">
        <v>322</v>
      </c>
      <c r="B328" s="3" t="str">
        <f>IF(SortedPieces!$B324="","",SortedPieces!$B324)</f>
        <v/>
      </c>
      <c r="C328" s="4" t="str">
        <f>IF(SortedPieces!$C324="","",SortedPieces!$C324)</f>
        <v/>
      </c>
      <c r="D328" s="4" t="str">
        <f>IF(SortedPieces!$D324="","",SortedPieces!$D324)</f>
        <v/>
      </c>
      <c r="E328" s="3" t="str">
        <f>IF(SortedPieces!$E324="","",SortedPieces!$E324)</f>
        <v/>
      </c>
      <c r="F328" s="4" t="str">
        <f>IF($B328="","",IF($C328&lt;=$O328,$C328,IF(AND($E328="Y",$D328&lt;=$O328),$D328,IF(AND($E328="Y",$D328&lt;=Inputs!$B$15,$C328&lt;=Inputs!$B$15),IF($C328&lt;$D328,$D328,$C328),IF(AND($E328="Y",$D328&lt;=Inputs!$B$15),$D328,$C328)))))</f>
        <v/>
      </c>
      <c r="G328" s="4" t="str">
        <f>IF($B328="","",IF($C328&lt;=$O328,$D328,IF(AND($E328="Y",$D328&lt;=$O328),$C328,IF(AND($E328="Y",$D328&lt;=Inputs!$B$15,$C328&lt;=Inputs!$B$15),IF($C328&lt;$D328,$C328,$D328),IF(AND($E328="Y",$D328&lt;=Inputs!$B$15),$C328,$D328)))))</f>
        <v/>
      </c>
      <c r="H328" s="3" t="str">
        <f t="shared" si="45"/>
        <v/>
      </c>
      <c r="I328" s="4" t="str">
        <f t="shared" ref="I328:I391" si="47">IF($B328="","",IF($R328,$I327+1,$I327))</f>
        <v/>
      </c>
      <c r="J328" s="4" t="str">
        <f t="shared" ref="J328:J391" si="48">IF($B328="","",IF($R328,1,IF($Q328,$J327+1,$J327)))</f>
        <v/>
      </c>
      <c r="K328" s="4" t="str">
        <f t="shared" ref="K328:K391" si="49">IF($B328="","",IF($R328,0,IF($Q328,0,$M327)))</f>
        <v/>
      </c>
      <c r="L328" s="4" t="str">
        <f t="shared" ref="L328:L391" si="50">IF($B328="","",IF($R328,0,IF($Q328,$L327+$N327,$L327)))</f>
        <v/>
      </c>
      <c r="M328" s="4" t="str">
        <f t="shared" si="46"/>
        <v/>
      </c>
      <c r="N328" s="4" t="str">
        <f t="shared" ref="N328:N391" si="51">IF($B328="","",IF($R328,$G328,IF($Q328,$G328,MAX($N327,$G328))))</f>
        <v/>
      </c>
      <c r="O328" s="4" t="str">
        <f>IF($B328="","",Inputs!$B$15-$M327)</f>
        <v/>
      </c>
      <c r="P328" s="3" t="str">
        <f t="shared" ref="P328:P391" si="52">IF($B328="","",IF($F328&lt;=$O328,TRUE,FALSE))</f>
        <v/>
      </c>
      <c r="Q328" s="3" t="str">
        <f t="shared" ref="Q328:Q391" si="53">IF($B328="","",NOT($P328))</f>
        <v/>
      </c>
      <c r="R328" s="3" t="str">
        <f>IF($B328="","",IF($Q328,($L327+$N327+$G328)&gt;Inputs!$B$16,FALSE))</f>
        <v/>
      </c>
      <c r="S328" s="3" t="str">
        <f>IF($B328="","",IF(OR($F328&gt;Inputs!$B$15,$G328&gt;Inputs!$B$16),"TOO BIG",IF($R328,"NEW SHEET",IF($Q328,"NEW ROW","OK"))))</f>
        <v/>
      </c>
    </row>
    <row r="329" spans="1:19" x14ac:dyDescent="0.2">
      <c r="A329" s="4">
        <v>323</v>
      </c>
      <c r="B329" s="3" t="str">
        <f>IF(SortedPieces!$B325="","",SortedPieces!$B325)</f>
        <v/>
      </c>
      <c r="C329" s="4" t="str">
        <f>IF(SortedPieces!$C325="","",SortedPieces!$C325)</f>
        <v/>
      </c>
      <c r="D329" s="4" t="str">
        <f>IF(SortedPieces!$D325="","",SortedPieces!$D325)</f>
        <v/>
      </c>
      <c r="E329" s="3" t="str">
        <f>IF(SortedPieces!$E325="","",SortedPieces!$E325)</f>
        <v/>
      </c>
      <c r="F329" s="4" t="str">
        <f>IF($B329="","",IF($C329&lt;=$O329,$C329,IF(AND($E329="Y",$D329&lt;=$O329),$D329,IF(AND($E329="Y",$D329&lt;=Inputs!$B$15,$C329&lt;=Inputs!$B$15),IF($C329&lt;$D329,$D329,$C329),IF(AND($E329="Y",$D329&lt;=Inputs!$B$15),$D329,$C329)))))</f>
        <v/>
      </c>
      <c r="G329" s="4" t="str">
        <f>IF($B329="","",IF($C329&lt;=$O329,$D329,IF(AND($E329="Y",$D329&lt;=$O329),$C329,IF(AND($E329="Y",$D329&lt;=Inputs!$B$15,$C329&lt;=Inputs!$B$15),IF($C329&lt;$D329,$C329,$D329),IF(AND($E329="Y",$D329&lt;=Inputs!$B$15),$C329,$D329)))))</f>
        <v/>
      </c>
      <c r="H329" s="3" t="str">
        <f t="shared" si="45"/>
        <v/>
      </c>
      <c r="I329" s="4" t="str">
        <f t="shared" si="47"/>
        <v/>
      </c>
      <c r="J329" s="4" t="str">
        <f t="shared" si="48"/>
        <v/>
      </c>
      <c r="K329" s="4" t="str">
        <f t="shared" si="49"/>
        <v/>
      </c>
      <c r="L329" s="4" t="str">
        <f t="shared" si="50"/>
        <v/>
      </c>
      <c r="M329" s="4" t="str">
        <f t="shared" si="46"/>
        <v/>
      </c>
      <c r="N329" s="4" t="str">
        <f t="shared" si="51"/>
        <v/>
      </c>
      <c r="O329" s="4" t="str">
        <f>IF($B329="","",Inputs!$B$15-$M328)</f>
        <v/>
      </c>
      <c r="P329" s="3" t="str">
        <f t="shared" si="52"/>
        <v/>
      </c>
      <c r="Q329" s="3" t="str">
        <f t="shared" si="53"/>
        <v/>
      </c>
      <c r="R329" s="3" t="str">
        <f>IF($B329="","",IF($Q329,($L328+$N328+$G329)&gt;Inputs!$B$16,FALSE))</f>
        <v/>
      </c>
      <c r="S329" s="3" t="str">
        <f>IF($B329="","",IF(OR($F329&gt;Inputs!$B$15,$G329&gt;Inputs!$B$16),"TOO BIG",IF($R329,"NEW SHEET",IF($Q329,"NEW ROW","OK"))))</f>
        <v/>
      </c>
    </row>
    <row r="330" spans="1:19" x14ac:dyDescent="0.2">
      <c r="A330" s="4">
        <v>324</v>
      </c>
      <c r="B330" s="3" t="str">
        <f>IF(SortedPieces!$B326="","",SortedPieces!$B326)</f>
        <v/>
      </c>
      <c r="C330" s="4" t="str">
        <f>IF(SortedPieces!$C326="","",SortedPieces!$C326)</f>
        <v/>
      </c>
      <c r="D330" s="4" t="str">
        <f>IF(SortedPieces!$D326="","",SortedPieces!$D326)</f>
        <v/>
      </c>
      <c r="E330" s="3" t="str">
        <f>IF(SortedPieces!$E326="","",SortedPieces!$E326)</f>
        <v/>
      </c>
      <c r="F330" s="4" t="str">
        <f>IF($B330="","",IF($C330&lt;=$O330,$C330,IF(AND($E330="Y",$D330&lt;=$O330),$D330,IF(AND($E330="Y",$D330&lt;=Inputs!$B$15,$C330&lt;=Inputs!$B$15),IF($C330&lt;$D330,$D330,$C330),IF(AND($E330="Y",$D330&lt;=Inputs!$B$15),$D330,$C330)))))</f>
        <v/>
      </c>
      <c r="G330" s="4" t="str">
        <f>IF($B330="","",IF($C330&lt;=$O330,$D330,IF(AND($E330="Y",$D330&lt;=$O330),$C330,IF(AND($E330="Y",$D330&lt;=Inputs!$B$15,$C330&lt;=Inputs!$B$15),IF($C330&lt;$D330,$C330,$D330),IF(AND($E330="Y",$D330&lt;=Inputs!$B$15),$C330,$D330)))))</f>
        <v/>
      </c>
      <c r="H330" s="3" t="str">
        <f t="shared" si="45"/>
        <v/>
      </c>
      <c r="I330" s="4" t="str">
        <f t="shared" si="47"/>
        <v/>
      </c>
      <c r="J330" s="4" t="str">
        <f t="shared" si="48"/>
        <v/>
      </c>
      <c r="K330" s="4" t="str">
        <f t="shared" si="49"/>
        <v/>
      </c>
      <c r="L330" s="4" t="str">
        <f t="shared" si="50"/>
        <v/>
      </c>
      <c r="M330" s="4" t="str">
        <f t="shared" si="46"/>
        <v/>
      </c>
      <c r="N330" s="4" t="str">
        <f t="shared" si="51"/>
        <v/>
      </c>
      <c r="O330" s="4" t="str">
        <f>IF($B330="","",Inputs!$B$15-$M329)</f>
        <v/>
      </c>
      <c r="P330" s="3" t="str">
        <f t="shared" si="52"/>
        <v/>
      </c>
      <c r="Q330" s="3" t="str">
        <f t="shared" si="53"/>
        <v/>
      </c>
      <c r="R330" s="3" t="str">
        <f>IF($B330="","",IF($Q330,($L329+$N329+$G330)&gt;Inputs!$B$16,FALSE))</f>
        <v/>
      </c>
      <c r="S330" s="3" t="str">
        <f>IF($B330="","",IF(OR($F330&gt;Inputs!$B$15,$G330&gt;Inputs!$B$16),"TOO BIG",IF($R330,"NEW SHEET",IF($Q330,"NEW ROW","OK"))))</f>
        <v/>
      </c>
    </row>
    <row r="331" spans="1:19" x14ac:dyDescent="0.2">
      <c r="A331" s="4">
        <v>325</v>
      </c>
      <c r="B331" s="3" t="str">
        <f>IF(SortedPieces!$B327="","",SortedPieces!$B327)</f>
        <v/>
      </c>
      <c r="C331" s="4" t="str">
        <f>IF(SortedPieces!$C327="","",SortedPieces!$C327)</f>
        <v/>
      </c>
      <c r="D331" s="4" t="str">
        <f>IF(SortedPieces!$D327="","",SortedPieces!$D327)</f>
        <v/>
      </c>
      <c r="E331" s="3" t="str">
        <f>IF(SortedPieces!$E327="","",SortedPieces!$E327)</f>
        <v/>
      </c>
      <c r="F331" s="4" t="str">
        <f>IF($B331="","",IF($C331&lt;=$O331,$C331,IF(AND($E331="Y",$D331&lt;=$O331),$D331,IF(AND($E331="Y",$D331&lt;=Inputs!$B$15,$C331&lt;=Inputs!$B$15),IF($C331&lt;$D331,$D331,$C331),IF(AND($E331="Y",$D331&lt;=Inputs!$B$15),$D331,$C331)))))</f>
        <v/>
      </c>
      <c r="G331" s="4" t="str">
        <f>IF($B331="","",IF($C331&lt;=$O331,$D331,IF(AND($E331="Y",$D331&lt;=$O331),$C331,IF(AND($E331="Y",$D331&lt;=Inputs!$B$15,$C331&lt;=Inputs!$B$15),IF($C331&lt;$D331,$C331,$D331),IF(AND($E331="Y",$D331&lt;=Inputs!$B$15),$C331,$D331)))))</f>
        <v/>
      </c>
      <c r="H331" s="3" t="str">
        <f t="shared" si="45"/>
        <v/>
      </c>
      <c r="I331" s="4" t="str">
        <f t="shared" si="47"/>
        <v/>
      </c>
      <c r="J331" s="4" t="str">
        <f t="shared" si="48"/>
        <v/>
      </c>
      <c r="K331" s="4" t="str">
        <f t="shared" si="49"/>
        <v/>
      </c>
      <c r="L331" s="4" t="str">
        <f t="shared" si="50"/>
        <v/>
      </c>
      <c r="M331" s="4" t="str">
        <f t="shared" si="46"/>
        <v/>
      </c>
      <c r="N331" s="4" t="str">
        <f t="shared" si="51"/>
        <v/>
      </c>
      <c r="O331" s="4" t="str">
        <f>IF($B331="","",Inputs!$B$15-$M330)</f>
        <v/>
      </c>
      <c r="P331" s="3" t="str">
        <f t="shared" si="52"/>
        <v/>
      </c>
      <c r="Q331" s="3" t="str">
        <f t="shared" si="53"/>
        <v/>
      </c>
      <c r="R331" s="3" t="str">
        <f>IF($B331="","",IF($Q331,($L330+$N330+$G331)&gt;Inputs!$B$16,FALSE))</f>
        <v/>
      </c>
      <c r="S331" s="3" t="str">
        <f>IF($B331="","",IF(OR($F331&gt;Inputs!$B$15,$G331&gt;Inputs!$B$16),"TOO BIG",IF($R331,"NEW SHEET",IF($Q331,"NEW ROW","OK"))))</f>
        <v/>
      </c>
    </row>
    <row r="332" spans="1:19" x14ac:dyDescent="0.2">
      <c r="A332" s="4">
        <v>326</v>
      </c>
      <c r="B332" s="3" t="str">
        <f>IF(SortedPieces!$B328="","",SortedPieces!$B328)</f>
        <v/>
      </c>
      <c r="C332" s="4" t="str">
        <f>IF(SortedPieces!$C328="","",SortedPieces!$C328)</f>
        <v/>
      </c>
      <c r="D332" s="4" t="str">
        <f>IF(SortedPieces!$D328="","",SortedPieces!$D328)</f>
        <v/>
      </c>
      <c r="E332" s="3" t="str">
        <f>IF(SortedPieces!$E328="","",SortedPieces!$E328)</f>
        <v/>
      </c>
      <c r="F332" s="4" t="str">
        <f>IF($B332="","",IF($C332&lt;=$O332,$C332,IF(AND($E332="Y",$D332&lt;=$O332),$D332,IF(AND($E332="Y",$D332&lt;=Inputs!$B$15,$C332&lt;=Inputs!$B$15),IF($C332&lt;$D332,$D332,$C332),IF(AND($E332="Y",$D332&lt;=Inputs!$B$15),$D332,$C332)))))</f>
        <v/>
      </c>
      <c r="G332" s="4" t="str">
        <f>IF($B332="","",IF($C332&lt;=$O332,$D332,IF(AND($E332="Y",$D332&lt;=$O332),$C332,IF(AND($E332="Y",$D332&lt;=Inputs!$B$15,$C332&lt;=Inputs!$B$15),IF($C332&lt;$D332,$C332,$D332),IF(AND($E332="Y",$D332&lt;=Inputs!$B$15),$C332,$D332)))))</f>
        <v/>
      </c>
      <c r="H332" s="3" t="str">
        <f t="shared" si="45"/>
        <v/>
      </c>
      <c r="I332" s="4" t="str">
        <f t="shared" si="47"/>
        <v/>
      </c>
      <c r="J332" s="4" t="str">
        <f t="shared" si="48"/>
        <v/>
      </c>
      <c r="K332" s="4" t="str">
        <f t="shared" si="49"/>
        <v/>
      </c>
      <c r="L332" s="4" t="str">
        <f t="shared" si="50"/>
        <v/>
      </c>
      <c r="M332" s="4" t="str">
        <f t="shared" si="46"/>
        <v/>
      </c>
      <c r="N332" s="4" t="str">
        <f t="shared" si="51"/>
        <v/>
      </c>
      <c r="O332" s="4" t="str">
        <f>IF($B332="","",Inputs!$B$15-$M331)</f>
        <v/>
      </c>
      <c r="P332" s="3" t="str">
        <f t="shared" si="52"/>
        <v/>
      </c>
      <c r="Q332" s="3" t="str">
        <f t="shared" si="53"/>
        <v/>
      </c>
      <c r="R332" s="3" t="str">
        <f>IF($B332="","",IF($Q332,($L331+$N331+$G332)&gt;Inputs!$B$16,FALSE))</f>
        <v/>
      </c>
      <c r="S332" s="3" t="str">
        <f>IF($B332="","",IF(OR($F332&gt;Inputs!$B$15,$G332&gt;Inputs!$B$16),"TOO BIG",IF($R332,"NEW SHEET",IF($Q332,"NEW ROW","OK"))))</f>
        <v/>
      </c>
    </row>
    <row r="333" spans="1:19" x14ac:dyDescent="0.2">
      <c r="A333" s="4">
        <v>327</v>
      </c>
      <c r="B333" s="3" t="str">
        <f>IF(SortedPieces!$B329="","",SortedPieces!$B329)</f>
        <v/>
      </c>
      <c r="C333" s="4" t="str">
        <f>IF(SortedPieces!$C329="","",SortedPieces!$C329)</f>
        <v/>
      </c>
      <c r="D333" s="4" t="str">
        <f>IF(SortedPieces!$D329="","",SortedPieces!$D329)</f>
        <v/>
      </c>
      <c r="E333" s="3" t="str">
        <f>IF(SortedPieces!$E329="","",SortedPieces!$E329)</f>
        <v/>
      </c>
      <c r="F333" s="4" t="str">
        <f>IF($B333="","",IF($C333&lt;=$O333,$C333,IF(AND($E333="Y",$D333&lt;=$O333),$D333,IF(AND($E333="Y",$D333&lt;=Inputs!$B$15,$C333&lt;=Inputs!$B$15),IF($C333&lt;$D333,$D333,$C333),IF(AND($E333="Y",$D333&lt;=Inputs!$B$15),$D333,$C333)))))</f>
        <v/>
      </c>
      <c r="G333" s="4" t="str">
        <f>IF($B333="","",IF($C333&lt;=$O333,$D333,IF(AND($E333="Y",$D333&lt;=$O333),$C333,IF(AND($E333="Y",$D333&lt;=Inputs!$B$15,$C333&lt;=Inputs!$B$15),IF($C333&lt;$D333,$C333,$D333),IF(AND($E333="Y",$D333&lt;=Inputs!$B$15),$C333,$D333)))))</f>
        <v/>
      </c>
      <c r="H333" s="3" t="str">
        <f t="shared" si="45"/>
        <v/>
      </c>
      <c r="I333" s="4" t="str">
        <f t="shared" si="47"/>
        <v/>
      </c>
      <c r="J333" s="4" t="str">
        <f t="shared" si="48"/>
        <v/>
      </c>
      <c r="K333" s="4" t="str">
        <f t="shared" si="49"/>
        <v/>
      </c>
      <c r="L333" s="4" t="str">
        <f t="shared" si="50"/>
        <v/>
      </c>
      <c r="M333" s="4" t="str">
        <f t="shared" si="46"/>
        <v/>
      </c>
      <c r="N333" s="4" t="str">
        <f t="shared" si="51"/>
        <v/>
      </c>
      <c r="O333" s="4" t="str">
        <f>IF($B333="","",Inputs!$B$15-$M332)</f>
        <v/>
      </c>
      <c r="P333" s="3" t="str">
        <f t="shared" si="52"/>
        <v/>
      </c>
      <c r="Q333" s="3" t="str">
        <f t="shared" si="53"/>
        <v/>
      </c>
      <c r="R333" s="3" t="str">
        <f>IF($B333="","",IF($Q333,($L332+$N332+$G333)&gt;Inputs!$B$16,FALSE))</f>
        <v/>
      </c>
      <c r="S333" s="3" t="str">
        <f>IF($B333="","",IF(OR($F333&gt;Inputs!$B$15,$G333&gt;Inputs!$B$16),"TOO BIG",IF($R333,"NEW SHEET",IF($Q333,"NEW ROW","OK"))))</f>
        <v/>
      </c>
    </row>
    <row r="334" spans="1:19" x14ac:dyDescent="0.2">
      <c r="A334" s="4">
        <v>328</v>
      </c>
      <c r="B334" s="3" t="str">
        <f>IF(SortedPieces!$B330="","",SortedPieces!$B330)</f>
        <v/>
      </c>
      <c r="C334" s="4" t="str">
        <f>IF(SortedPieces!$C330="","",SortedPieces!$C330)</f>
        <v/>
      </c>
      <c r="D334" s="4" t="str">
        <f>IF(SortedPieces!$D330="","",SortedPieces!$D330)</f>
        <v/>
      </c>
      <c r="E334" s="3" t="str">
        <f>IF(SortedPieces!$E330="","",SortedPieces!$E330)</f>
        <v/>
      </c>
      <c r="F334" s="4" t="str">
        <f>IF($B334="","",IF($C334&lt;=$O334,$C334,IF(AND($E334="Y",$D334&lt;=$O334),$D334,IF(AND($E334="Y",$D334&lt;=Inputs!$B$15,$C334&lt;=Inputs!$B$15),IF($C334&lt;$D334,$D334,$C334),IF(AND($E334="Y",$D334&lt;=Inputs!$B$15),$D334,$C334)))))</f>
        <v/>
      </c>
      <c r="G334" s="4" t="str">
        <f>IF($B334="","",IF($C334&lt;=$O334,$D334,IF(AND($E334="Y",$D334&lt;=$O334),$C334,IF(AND($E334="Y",$D334&lt;=Inputs!$B$15,$C334&lt;=Inputs!$B$15),IF($C334&lt;$D334,$C334,$D334),IF(AND($E334="Y",$D334&lt;=Inputs!$B$15),$C334,$D334)))))</f>
        <v/>
      </c>
      <c r="H334" s="3" t="str">
        <f t="shared" si="45"/>
        <v/>
      </c>
      <c r="I334" s="4" t="str">
        <f t="shared" si="47"/>
        <v/>
      </c>
      <c r="J334" s="4" t="str">
        <f t="shared" si="48"/>
        <v/>
      </c>
      <c r="K334" s="4" t="str">
        <f t="shared" si="49"/>
        <v/>
      </c>
      <c r="L334" s="4" t="str">
        <f t="shared" si="50"/>
        <v/>
      </c>
      <c r="M334" s="4" t="str">
        <f t="shared" si="46"/>
        <v/>
      </c>
      <c r="N334" s="4" t="str">
        <f t="shared" si="51"/>
        <v/>
      </c>
      <c r="O334" s="4" t="str">
        <f>IF($B334="","",Inputs!$B$15-$M333)</f>
        <v/>
      </c>
      <c r="P334" s="3" t="str">
        <f t="shared" si="52"/>
        <v/>
      </c>
      <c r="Q334" s="3" t="str">
        <f t="shared" si="53"/>
        <v/>
      </c>
      <c r="R334" s="3" t="str">
        <f>IF($B334="","",IF($Q334,($L333+$N333+$G334)&gt;Inputs!$B$16,FALSE))</f>
        <v/>
      </c>
      <c r="S334" s="3" t="str">
        <f>IF($B334="","",IF(OR($F334&gt;Inputs!$B$15,$G334&gt;Inputs!$B$16),"TOO BIG",IF($R334,"NEW SHEET",IF($Q334,"NEW ROW","OK"))))</f>
        <v/>
      </c>
    </row>
    <row r="335" spans="1:19" x14ac:dyDescent="0.2">
      <c r="A335" s="4">
        <v>329</v>
      </c>
      <c r="B335" s="3" t="str">
        <f>IF(SortedPieces!$B331="","",SortedPieces!$B331)</f>
        <v/>
      </c>
      <c r="C335" s="4" t="str">
        <f>IF(SortedPieces!$C331="","",SortedPieces!$C331)</f>
        <v/>
      </c>
      <c r="D335" s="4" t="str">
        <f>IF(SortedPieces!$D331="","",SortedPieces!$D331)</f>
        <v/>
      </c>
      <c r="E335" s="3" t="str">
        <f>IF(SortedPieces!$E331="","",SortedPieces!$E331)</f>
        <v/>
      </c>
      <c r="F335" s="4" t="str">
        <f>IF($B335="","",IF($C335&lt;=$O335,$C335,IF(AND($E335="Y",$D335&lt;=$O335),$D335,IF(AND($E335="Y",$D335&lt;=Inputs!$B$15,$C335&lt;=Inputs!$B$15),IF($C335&lt;$D335,$D335,$C335),IF(AND($E335="Y",$D335&lt;=Inputs!$B$15),$D335,$C335)))))</f>
        <v/>
      </c>
      <c r="G335" s="4" t="str">
        <f>IF($B335="","",IF($C335&lt;=$O335,$D335,IF(AND($E335="Y",$D335&lt;=$O335),$C335,IF(AND($E335="Y",$D335&lt;=Inputs!$B$15,$C335&lt;=Inputs!$B$15),IF($C335&lt;$D335,$C335,$D335),IF(AND($E335="Y",$D335&lt;=Inputs!$B$15),$C335,$D335)))))</f>
        <v/>
      </c>
      <c r="H335" s="3" t="str">
        <f t="shared" si="45"/>
        <v/>
      </c>
      <c r="I335" s="4" t="str">
        <f t="shared" si="47"/>
        <v/>
      </c>
      <c r="J335" s="4" t="str">
        <f t="shared" si="48"/>
        <v/>
      </c>
      <c r="K335" s="4" t="str">
        <f t="shared" si="49"/>
        <v/>
      </c>
      <c r="L335" s="4" t="str">
        <f t="shared" si="50"/>
        <v/>
      </c>
      <c r="M335" s="4" t="str">
        <f t="shared" si="46"/>
        <v/>
      </c>
      <c r="N335" s="4" t="str">
        <f t="shared" si="51"/>
        <v/>
      </c>
      <c r="O335" s="4" t="str">
        <f>IF($B335="","",Inputs!$B$15-$M334)</f>
        <v/>
      </c>
      <c r="P335" s="3" t="str">
        <f t="shared" si="52"/>
        <v/>
      </c>
      <c r="Q335" s="3" t="str">
        <f t="shared" si="53"/>
        <v/>
      </c>
      <c r="R335" s="3" t="str">
        <f>IF($B335="","",IF($Q335,($L334+$N334+$G335)&gt;Inputs!$B$16,FALSE))</f>
        <v/>
      </c>
      <c r="S335" s="3" t="str">
        <f>IF($B335="","",IF(OR($F335&gt;Inputs!$B$15,$G335&gt;Inputs!$B$16),"TOO BIG",IF($R335,"NEW SHEET",IF($Q335,"NEW ROW","OK"))))</f>
        <v/>
      </c>
    </row>
    <row r="336" spans="1:19" x14ac:dyDescent="0.2">
      <c r="A336" s="4">
        <v>330</v>
      </c>
      <c r="B336" s="3" t="str">
        <f>IF(SortedPieces!$B332="","",SortedPieces!$B332)</f>
        <v/>
      </c>
      <c r="C336" s="4" t="str">
        <f>IF(SortedPieces!$C332="","",SortedPieces!$C332)</f>
        <v/>
      </c>
      <c r="D336" s="4" t="str">
        <f>IF(SortedPieces!$D332="","",SortedPieces!$D332)</f>
        <v/>
      </c>
      <c r="E336" s="3" t="str">
        <f>IF(SortedPieces!$E332="","",SortedPieces!$E332)</f>
        <v/>
      </c>
      <c r="F336" s="4" t="str">
        <f>IF($B336="","",IF($C336&lt;=$O336,$C336,IF(AND($E336="Y",$D336&lt;=$O336),$D336,IF(AND($E336="Y",$D336&lt;=Inputs!$B$15,$C336&lt;=Inputs!$B$15),IF($C336&lt;$D336,$D336,$C336),IF(AND($E336="Y",$D336&lt;=Inputs!$B$15),$D336,$C336)))))</f>
        <v/>
      </c>
      <c r="G336" s="4" t="str">
        <f>IF($B336="","",IF($C336&lt;=$O336,$D336,IF(AND($E336="Y",$D336&lt;=$O336),$C336,IF(AND($E336="Y",$D336&lt;=Inputs!$B$15,$C336&lt;=Inputs!$B$15),IF($C336&lt;$D336,$C336,$D336),IF(AND($E336="Y",$D336&lt;=Inputs!$B$15),$C336,$D336)))))</f>
        <v/>
      </c>
      <c r="H336" s="3" t="str">
        <f t="shared" si="45"/>
        <v/>
      </c>
      <c r="I336" s="4" t="str">
        <f t="shared" si="47"/>
        <v/>
      </c>
      <c r="J336" s="4" t="str">
        <f t="shared" si="48"/>
        <v/>
      </c>
      <c r="K336" s="4" t="str">
        <f t="shared" si="49"/>
        <v/>
      </c>
      <c r="L336" s="4" t="str">
        <f t="shared" si="50"/>
        <v/>
      </c>
      <c r="M336" s="4" t="str">
        <f t="shared" si="46"/>
        <v/>
      </c>
      <c r="N336" s="4" t="str">
        <f t="shared" si="51"/>
        <v/>
      </c>
      <c r="O336" s="4" t="str">
        <f>IF($B336="","",Inputs!$B$15-$M335)</f>
        <v/>
      </c>
      <c r="P336" s="3" t="str">
        <f t="shared" si="52"/>
        <v/>
      </c>
      <c r="Q336" s="3" t="str">
        <f t="shared" si="53"/>
        <v/>
      </c>
      <c r="R336" s="3" t="str">
        <f>IF($B336="","",IF($Q336,($L335+$N335+$G336)&gt;Inputs!$B$16,FALSE))</f>
        <v/>
      </c>
      <c r="S336" s="3" t="str">
        <f>IF($B336="","",IF(OR($F336&gt;Inputs!$B$15,$G336&gt;Inputs!$B$16),"TOO BIG",IF($R336,"NEW SHEET",IF($Q336,"NEW ROW","OK"))))</f>
        <v/>
      </c>
    </row>
    <row r="337" spans="1:19" x14ac:dyDescent="0.2">
      <c r="A337" s="4">
        <v>331</v>
      </c>
      <c r="B337" s="3" t="str">
        <f>IF(SortedPieces!$B333="","",SortedPieces!$B333)</f>
        <v/>
      </c>
      <c r="C337" s="4" t="str">
        <f>IF(SortedPieces!$C333="","",SortedPieces!$C333)</f>
        <v/>
      </c>
      <c r="D337" s="4" t="str">
        <f>IF(SortedPieces!$D333="","",SortedPieces!$D333)</f>
        <v/>
      </c>
      <c r="E337" s="3" t="str">
        <f>IF(SortedPieces!$E333="","",SortedPieces!$E333)</f>
        <v/>
      </c>
      <c r="F337" s="4" t="str">
        <f>IF($B337="","",IF($C337&lt;=$O337,$C337,IF(AND($E337="Y",$D337&lt;=$O337),$D337,IF(AND($E337="Y",$D337&lt;=Inputs!$B$15,$C337&lt;=Inputs!$B$15),IF($C337&lt;$D337,$D337,$C337),IF(AND($E337="Y",$D337&lt;=Inputs!$B$15),$D337,$C337)))))</f>
        <v/>
      </c>
      <c r="G337" s="4" t="str">
        <f>IF($B337="","",IF($C337&lt;=$O337,$D337,IF(AND($E337="Y",$D337&lt;=$O337),$C337,IF(AND($E337="Y",$D337&lt;=Inputs!$B$15,$C337&lt;=Inputs!$B$15),IF($C337&lt;$D337,$C337,$D337),IF(AND($E337="Y",$D337&lt;=Inputs!$B$15),$C337,$D337)))))</f>
        <v/>
      </c>
      <c r="H337" s="3" t="str">
        <f t="shared" si="45"/>
        <v/>
      </c>
      <c r="I337" s="4" t="str">
        <f t="shared" si="47"/>
        <v/>
      </c>
      <c r="J337" s="4" t="str">
        <f t="shared" si="48"/>
        <v/>
      </c>
      <c r="K337" s="4" t="str">
        <f t="shared" si="49"/>
        <v/>
      </c>
      <c r="L337" s="4" t="str">
        <f t="shared" si="50"/>
        <v/>
      </c>
      <c r="M337" s="4" t="str">
        <f t="shared" si="46"/>
        <v/>
      </c>
      <c r="N337" s="4" t="str">
        <f t="shared" si="51"/>
        <v/>
      </c>
      <c r="O337" s="4" t="str">
        <f>IF($B337="","",Inputs!$B$15-$M336)</f>
        <v/>
      </c>
      <c r="P337" s="3" t="str">
        <f t="shared" si="52"/>
        <v/>
      </c>
      <c r="Q337" s="3" t="str">
        <f t="shared" si="53"/>
        <v/>
      </c>
      <c r="R337" s="3" t="str">
        <f>IF($B337="","",IF($Q337,($L336+$N336+$G337)&gt;Inputs!$B$16,FALSE))</f>
        <v/>
      </c>
      <c r="S337" s="3" t="str">
        <f>IF($B337="","",IF(OR($F337&gt;Inputs!$B$15,$G337&gt;Inputs!$B$16),"TOO BIG",IF($R337,"NEW SHEET",IF($Q337,"NEW ROW","OK"))))</f>
        <v/>
      </c>
    </row>
    <row r="338" spans="1:19" x14ac:dyDescent="0.2">
      <c r="A338" s="4">
        <v>332</v>
      </c>
      <c r="B338" s="3" t="str">
        <f>IF(SortedPieces!$B334="","",SortedPieces!$B334)</f>
        <v/>
      </c>
      <c r="C338" s="4" t="str">
        <f>IF(SortedPieces!$C334="","",SortedPieces!$C334)</f>
        <v/>
      </c>
      <c r="D338" s="4" t="str">
        <f>IF(SortedPieces!$D334="","",SortedPieces!$D334)</f>
        <v/>
      </c>
      <c r="E338" s="3" t="str">
        <f>IF(SortedPieces!$E334="","",SortedPieces!$E334)</f>
        <v/>
      </c>
      <c r="F338" s="4" t="str">
        <f>IF($B338="","",IF($C338&lt;=$O338,$C338,IF(AND($E338="Y",$D338&lt;=$O338),$D338,IF(AND($E338="Y",$D338&lt;=Inputs!$B$15,$C338&lt;=Inputs!$B$15),IF($C338&lt;$D338,$D338,$C338),IF(AND($E338="Y",$D338&lt;=Inputs!$B$15),$D338,$C338)))))</f>
        <v/>
      </c>
      <c r="G338" s="4" t="str">
        <f>IF($B338="","",IF($C338&lt;=$O338,$D338,IF(AND($E338="Y",$D338&lt;=$O338),$C338,IF(AND($E338="Y",$D338&lt;=Inputs!$B$15,$C338&lt;=Inputs!$B$15),IF($C338&lt;$D338,$C338,$D338),IF(AND($E338="Y",$D338&lt;=Inputs!$B$15),$C338,$D338)))))</f>
        <v/>
      </c>
      <c r="H338" s="3" t="str">
        <f t="shared" si="45"/>
        <v/>
      </c>
      <c r="I338" s="4" t="str">
        <f t="shared" si="47"/>
        <v/>
      </c>
      <c r="J338" s="4" t="str">
        <f t="shared" si="48"/>
        <v/>
      </c>
      <c r="K338" s="4" t="str">
        <f t="shared" si="49"/>
        <v/>
      </c>
      <c r="L338" s="4" t="str">
        <f t="shared" si="50"/>
        <v/>
      </c>
      <c r="M338" s="4" t="str">
        <f t="shared" si="46"/>
        <v/>
      </c>
      <c r="N338" s="4" t="str">
        <f t="shared" si="51"/>
        <v/>
      </c>
      <c r="O338" s="4" t="str">
        <f>IF($B338="","",Inputs!$B$15-$M337)</f>
        <v/>
      </c>
      <c r="P338" s="3" t="str">
        <f t="shared" si="52"/>
        <v/>
      </c>
      <c r="Q338" s="3" t="str">
        <f t="shared" si="53"/>
        <v/>
      </c>
      <c r="R338" s="3" t="str">
        <f>IF($B338="","",IF($Q338,($L337+$N337+$G338)&gt;Inputs!$B$16,FALSE))</f>
        <v/>
      </c>
      <c r="S338" s="3" t="str">
        <f>IF($B338="","",IF(OR($F338&gt;Inputs!$B$15,$G338&gt;Inputs!$B$16),"TOO BIG",IF($R338,"NEW SHEET",IF($Q338,"NEW ROW","OK"))))</f>
        <v/>
      </c>
    </row>
    <row r="339" spans="1:19" x14ac:dyDescent="0.2">
      <c r="A339" s="4">
        <v>333</v>
      </c>
      <c r="B339" s="3" t="str">
        <f>IF(SortedPieces!$B335="","",SortedPieces!$B335)</f>
        <v/>
      </c>
      <c r="C339" s="4" t="str">
        <f>IF(SortedPieces!$C335="","",SortedPieces!$C335)</f>
        <v/>
      </c>
      <c r="D339" s="4" t="str">
        <f>IF(SortedPieces!$D335="","",SortedPieces!$D335)</f>
        <v/>
      </c>
      <c r="E339" s="3" t="str">
        <f>IF(SortedPieces!$E335="","",SortedPieces!$E335)</f>
        <v/>
      </c>
      <c r="F339" s="4" t="str">
        <f>IF($B339="","",IF($C339&lt;=$O339,$C339,IF(AND($E339="Y",$D339&lt;=$O339),$D339,IF(AND($E339="Y",$D339&lt;=Inputs!$B$15,$C339&lt;=Inputs!$B$15),IF($C339&lt;$D339,$D339,$C339),IF(AND($E339="Y",$D339&lt;=Inputs!$B$15),$D339,$C339)))))</f>
        <v/>
      </c>
      <c r="G339" s="4" t="str">
        <f>IF($B339="","",IF($C339&lt;=$O339,$D339,IF(AND($E339="Y",$D339&lt;=$O339),$C339,IF(AND($E339="Y",$D339&lt;=Inputs!$B$15,$C339&lt;=Inputs!$B$15),IF($C339&lt;$D339,$C339,$D339),IF(AND($E339="Y",$D339&lt;=Inputs!$B$15),$C339,$D339)))))</f>
        <v/>
      </c>
      <c r="H339" s="3" t="str">
        <f t="shared" si="45"/>
        <v/>
      </c>
      <c r="I339" s="4" t="str">
        <f t="shared" si="47"/>
        <v/>
      </c>
      <c r="J339" s="4" t="str">
        <f t="shared" si="48"/>
        <v/>
      </c>
      <c r="K339" s="4" t="str">
        <f t="shared" si="49"/>
        <v/>
      </c>
      <c r="L339" s="4" t="str">
        <f t="shared" si="50"/>
        <v/>
      </c>
      <c r="M339" s="4" t="str">
        <f t="shared" si="46"/>
        <v/>
      </c>
      <c r="N339" s="4" t="str">
        <f t="shared" si="51"/>
        <v/>
      </c>
      <c r="O339" s="4" t="str">
        <f>IF($B339="","",Inputs!$B$15-$M338)</f>
        <v/>
      </c>
      <c r="P339" s="3" t="str">
        <f t="shared" si="52"/>
        <v/>
      </c>
      <c r="Q339" s="3" t="str">
        <f t="shared" si="53"/>
        <v/>
      </c>
      <c r="R339" s="3" t="str">
        <f>IF($B339="","",IF($Q339,($L338+$N338+$G339)&gt;Inputs!$B$16,FALSE))</f>
        <v/>
      </c>
      <c r="S339" s="3" t="str">
        <f>IF($B339="","",IF(OR($F339&gt;Inputs!$B$15,$G339&gt;Inputs!$B$16),"TOO BIG",IF($R339,"NEW SHEET",IF($Q339,"NEW ROW","OK"))))</f>
        <v/>
      </c>
    </row>
    <row r="340" spans="1:19" x14ac:dyDescent="0.2">
      <c r="A340" s="4">
        <v>334</v>
      </c>
      <c r="B340" s="3" t="str">
        <f>IF(SortedPieces!$B336="","",SortedPieces!$B336)</f>
        <v/>
      </c>
      <c r="C340" s="4" t="str">
        <f>IF(SortedPieces!$C336="","",SortedPieces!$C336)</f>
        <v/>
      </c>
      <c r="D340" s="4" t="str">
        <f>IF(SortedPieces!$D336="","",SortedPieces!$D336)</f>
        <v/>
      </c>
      <c r="E340" s="3" t="str">
        <f>IF(SortedPieces!$E336="","",SortedPieces!$E336)</f>
        <v/>
      </c>
      <c r="F340" s="4" t="str">
        <f>IF($B340="","",IF($C340&lt;=$O340,$C340,IF(AND($E340="Y",$D340&lt;=$O340),$D340,IF(AND($E340="Y",$D340&lt;=Inputs!$B$15,$C340&lt;=Inputs!$B$15),IF($C340&lt;$D340,$D340,$C340),IF(AND($E340="Y",$D340&lt;=Inputs!$B$15),$D340,$C340)))))</f>
        <v/>
      </c>
      <c r="G340" s="4" t="str">
        <f>IF($B340="","",IF($C340&lt;=$O340,$D340,IF(AND($E340="Y",$D340&lt;=$O340),$C340,IF(AND($E340="Y",$D340&lt;=Inputs!$B$15,$C340&lt;=Inputs!$B$15),IF($C340&lt;$D340,$C340,$D340),IF(AND($E340="Y",$D340&lt;=Inputs!$B$15),$C340,$D340)))))</f>
        <v/>
      </c>
      <c r="H340" s="3" t="str">
        <f t="shared" si="45"/>
        <v/>
      </c>
      <c r="I340" s="4" t="str">
        <f t="shared" si="47"/>
        <v/>
      </c>
      <c r="J340" s="4" t="str">
        <f t="shared" si="48"/>
        <v/>
      </c>
      <c r="K340" s="4" t="str">
        <f t="shared" si="49"/>
        <v/>
      </c>
      <c r="L340" s="4" t="str">
        <f t="shared" si="50"/>
        <v/>
      </c>
      <c r="M340" s="4" t="str">
        <f t="shared" si="46"/>
        <v/>
      </c>
      <c r="N340" s="4" t="str">
        <f t="shared" si="51"/>
        <v/>
      </c>
      <c r="O340" s="4" t="str">
        <f>IF($B340="","",Inputs!$B$15-$M339)</f>
        <v/>
      </c>
      <c r="P340" s="3" t="str">
        <f t="shared" si="52"/>
        <v/>
      </c>
      <c r="Q340" s="3" t="str">
        <f t="shared" si="53"/>
        <v/>
      </c>
      <c r="R340" s="3" t="str">
        <f>IF($B340="","",IF($Q340,($L339+$N339+$G340)&gt;Inputs!$B$16,FALSE))</f>
        <v/>
      </c>
      <c r="S340" s="3" t="str">
        <f>IF($B340="","",IF(OR($F340&gt;Inputs!$B$15,$G340&gt;Inputs!$B$16),"TOO BIG",IF($R340,"NEW SHEET",IF($Q340,"NEW ROW","OK"))))</f>
        <v/>
      </c>
    </row>
    <row r="341" spans="1:19" x14ac:dyDescent="0.2">
      <c r="A341" s="4">
        <v>335</v>
      </c>
      <c r="B341" s="3" t="str">
        <f>IF(SortedPieces!$B337="","",SortedPieces!$B337)</f>
        <v/>
      </c>
      <c r="C341" s="4" t="str">
        <f>IF(SortedPieces!$C337="","",SortedPieces!$C337)</f>
        <v/>
      </c>
      <c r="D341" s="4" t="str">
        <f>IF(SortedPieces!$D337="","",SortedPieces!$D337)</f>
        <v/>
      </c>
      <c r="E341" s="3" t="str">
        <f>IF(SortedPieces!$E337="","",SortedPieces!$E337)</f>
        <v/>
      </c>
      <c r="F341" s="4" t="str">
        <f>IF($B341="","",IF($C341&lt;=$O341,$C341,IF(AND($E341="Y",$D341&lt;=$O341),$D341,IF(AND($E341="Y",$D341&lt;=Inputs!$B$15,$C341&lt;=Inputs!$B$15),IF($C341&lt;$D341,$D341,$C341),IF(AND($E341="Y",$D341&lt;=Inputs!$B$15),$D341,$C341)))))</f>
        <v/>
      </c>
      <c r="G341" s="4" t="str">
        <f>IF($B341="","",IF($C341&lt;=$O341,$D341,IF(AND($E341="Y",$D341&lt;=$O341),$C341,IF(AND($E341="Y",$D341&lt;=Inputs!$B$15,$C341&lt;=Inputs!$B$15),IF($C341&lt;$D341,$C341,$D341),IF(AND($E341="Y",$D341&lt;=Inputs!$B$15),$C341,$D341)))))</f>
        <v/>
      </c>
      <c r="H341" s="3" t="str">
        <f t="shared" si="45"/>
        <v/>
      </c>
      <c r="I341" s="4" t="str">
        <f t="shared" si="47"/>
        <v/>
      </c>
      <c r="J341" s="4" t="str">
        <f t="shared" si="48"/>
        <v/>
      </c>
      <c r="K341" s="4" t="str">
        <f t="shared" si="49"/>
        <v/>
      </c>
      <c r="L341" s="4" t="str">
        <f t="shared" si="50"/>
        <v/>
      </c>
      <c r="M341" s="4" t="str">
        <f t="shared" si="46"/>
        <v/>
      </c>
      <c r="N341" s="4" t="str">
        <f t="shared" si="51"/>
        <v/>
      </c>
      <c r="O341" s="4" t="str">
        <f>IF($B341="","",Inputs!$B$15-$M340)</f>
        <v/>
      </c>
      <c r="P341" s="3" t="str">
        <f t="shared" si="52"/>
        <v/>
      </c>
      <c r="Q341" s="3" t="str">
        <f t="shared" si="53"/>
        <v/>
      </c>
      <c r="R341" s="3" t="str">
        <f>IF($B341="","",IF($Q341,($L340+$N340+$G341)&gt;Inputs!$B$16,FALSE))</f>
        <v/>
      </c>
      <c r="S341" s="3" t="str">
        <f>IF($B341="","",IF(OR($F341&gt;Inputs!$B$15,$G341&gt;Inputs!$B$16),"TOO BIG",IF($R341,"NEW SHEET",IF($Q341,"NEW ROW","OK"))))</f>
        <v/>
      </c>
    </row>
    <row r="342" spans="1:19" x14ac:dyDescent="0.2">
      <c r="A342" s="4">
        <v>336</v>
      </c>
      <c r="B342" s="3" t="str">
        <f>IF(SortedPieces!$B338="","",SortedPieces!$B338)</f>
        <v/>
      </c>
      <c r="C342" s="4" t="str">
        <f>IF(SortedPieces!$C338="","",SortedPieces!$C338)</f>
        <v/>
      </c>
      <c r="D342" s="4" t="str">
        <f>IF(SortedPieces!$D338="","",SortedPieces!$D338)</f>
        <v/>
      </c>
      <c r="E342" s="3" t="str">
        <f>IF(SortedPieces!$E338="","",SortedPieces!$E338)</f>
        <v/>
      </c>
      <c r="F342" s="4" t="str">
        <f>IF($B342="","",IF($C342&lt;=$O342,$C342,IF(AND($E342="Y",$D342&lt;=$O342),$D342,IF(AND($E342="Y",$D342&lt;=Inputs!$B$15,$C342&lt;=Inputs!$B$15),IF($C342&lt;$D342,$D342,$C342),IF(AND($E342="Y",$D342&lt;=Inputs!$B$15),$D342,$C342)))))</f>
        <v/>
      </c>
      <c r="G342" s="4" t="str">
        <f>IF($B342="","",IF($C342&lt;=$O342,$D342,IF(AND($E342="Y",$D342&lt;=$O342),$C342,IF(AND($E342="Y",$D342&lt;=Inputs!$B$15,$C342&lt;=Inputs!$B$15),IF($C342&lt;$D342,$C342,$D342),IF(AND($E342="Y",$D342&lt;=Inputs!$B$15),$C342,$D342)))))</f>
        <v/>
      </c>
      <c r="H342" s="3" t="str">
        <f t="shared" si="45"/>
        <v/>
      </c>
      <c r="I342" s="4" t="str">
        <f t="shared" si="47"/>
        <v/>
      </c>
      <c r="J342" s="4" t="str">
        <f t="shared" si="48"/>
        <v/>
      </c>
      <c r="K342" s="4" t="str">
        <f t="shared" si="49"/>
        <v/>
      </c>
      <c r="L342" s="4" t="str">
        <f t="shared" si="50"/>
        <v/>
      </c>
      <c r="M342" s="4" t="str">
        <f t="shared" si="46"/>
        <v/>
      </c>
      <c r="N342" s="4" t="str">
        <f t="shared" si="51"/>
        <v/>
      </c>
      <c r="O342" s="4" t="str">
        <f>IF($B342="","",Inputs!$B$15-$M341)</f>
        <v/>
      </c>
      <c r="P342" s="3" t="str">
        <f t="shared" si="52"/>
        <v/>
      </c>
      <c r="Q342" s="3" t="str">
        <f t="shared" si="53"/>
        <v/>
      </c>
      <c r="R342" s="3" t="str">
        <f>IF($B342="","",IF($Q342,($L341+$N341+$G342)&gt;Inputs!$B$16,FALSE))</f>
        <v/>
      </c>
      <c r="S342" s="3" t="str">
        <f>IF($B342="","",IF(OR($F342&gt;Inputs!$B$15,$G342&gt;Inputs!$B$16),"TOO BIG",IF($R342,"NEW SHEET",IF($Q342,"NEW ROW","OK"))))</f>
        <v/>
      </c>
    </row>
    <row r="343" spans="1:19" x14ac:dyDescent="0.2">
      <c r="A343" s="4">
        <v>337</v>
      </c>
      <c r="B343" s="3" t="str">
        <f>IF(SortedPieces!$B339="","",SortedPieces!$B339)</f>
        <v/>
      </c>
      <c r="C343" s="4" t="str">
        <f>IF(SortedPieces!$C339="","",SortedPieces!$C339)</f>
        <v/>
      </c>
      <c r="D343" s="4" t="str">
        <f>IF(SortedPieces!$D339="","",SortedPieces!$D339)</f>
        <v/>
      </c>
      <c r="E343" s="3" t="str">
        <f>IF(SortedPieces!$E339="","",SortedPieces!$E339)</f>
        <v/>
      </c>
      <c r="F343" s="4" t="str">
        <f>IF($B343="","",IF($C343&lt;=$O343,$C343,IF(AND($E343="Y",$D343&lt;=$O343),$D343,IF(AND($E343="Y",$D343&lt;=Inputs!$B$15,$C343&lt;=Inputs!$B$15),IF($C343&lt;$D343,$D343,$C343),IF(AND($E343="Y",$D343&lt;=Inputs!$B$15),$D343,$C343)))))</f>
        <v/>
      </c>
      <c r="G343" s="4" t="str">
        <f>IF($B343="","",IF($C343&lt;=$O343,$D343,IF(AND($E343="Y",$D343&lt;=$O343),$C343,IF(AND($E343="Y",$D343&lt;=Inputs!$B$15,$C343&lt;=Inputs!$B$15),IF($C343&lt;$D343,$C343,$D343),IF(AND($E343="Y",$D343&lt;=Inputs!$B$15),$C343,$D343)))))</f>
        <v/>
      </c>
      <c r="H343" s="3" t="str">
        <f t="shared" si="45"/>
        <v/>
      </c>
      <c r="I343" s="4" t="str">
        <f t="shared" si="47"/>
        <v/>
      </c>
      <c r="J343" s="4" t="str">
        <f t="shared" si="48"/>
        <v/>
      </c>
      <c r="K343" s="4" t="str">
        <f t="shared" si="49"/>
        <v/>
      </c>
      <c r="L343" s="4" t="str">
        <f t="shared" si="50"/>
        <v/>
      </c>
      <c r="M343" s="4" t="str">
        <f t="shared" si="46"/>
        <v/>
      </c>
      <c r="N343" s="4" t="str">
        <f t="shared" si="51"/>
        <v/>
      </c>
      <c r="O343" s="4" t="str">
        <f>IF($B343="","",Inputs!$B$15-$M342)</f>
        <v/>
      </c>
      <c r="P343" s="3" t="str">
        <f t="shared" si="52"/>
        <v/>
      </c>
      <c r="Q343" s="3" t="str">
        <f t="shared" si="53"/>
        <v/>
      </c>
      <c r="R343" s="3" t="str">
        <f>IF($B343="","",IF($Q343,($L342+$N342+$G343)&gt;Inputs!$B$16,FALSE))</f>
        <v/>
      </c>
      <c r="S343" s="3" t="str">
        <f>IF($B343="","",IF(OR($F343&gt;Inputs!$B$15,$G343&gt;Inputs!$B$16),"TOO BIG",IF($R343,"NEW SHEET",IF($Q343,"NEW ROW","OK"))))</f>
        <v/>
      </c>
    </row>
    <row r="344" spans="1:19" x14ac:dyDescent="0.2">
      <c r="A344" s="4">
        <v>338</v>
      </c>
      <c r="B344" s="3" t="str">
        <f>IF(SortedPieces!$B340="","",SortedPieces!$B340)</f>
        <v/>
      </c>
      <c r="C344" s="4" t="str">
        <f>IF(SortedPieces!$C340="","",SortedPieces!$C340)</f>
        <v/>
      </c>
      <c r="D344" s="4" t="str">
        <f>IF(SortedPieces!$D340="","",SortedPieces!$D340)</f>
        <v/>
      </c>
      <c r="E344" s="3" t="str">
        <f>IF(SortedPieces!$E340="","",SortedPieces!$E340)</f>
        <v/>
      </c>
      <c r="F344" s="4" t="str">
        <f>IF($B344="","",IF($C344&lt;=$O344,$C344,IF(AND($E344="Y",$D344&lt;=$O344),$D344,IF(AND($E344="Y",$D344&lt;=Inputs!$B$15,$C344&lt;=Inputs!$B$15),IF($C344&lt;$D344,$D344,$C344),IF(AND($E344="Y",$D344&lt;=Inputs!$B$15),$D344,$C344)))))</f>
        <v/>
      </c>
      <c r="G344" s="4" t="str">
        <f>IF($B344="","",IF($C344&lt;=$O344,$D344,IF(AND($E344="Y",$D344&lt;=$O344),$C344,IF(AND($E344="Y",$D344&lt;=Inputs!$B$15,$C344&lt;=Inputs!$B$15),IF($C344&lt;$D344,$C344,$D344),IF(AND($E344="Y",$D344&lt;=Inputs!$B$15),$C344,$D344)))))</f>
        <v/>
      </c>
      <c r="H344" s="3" t="str">
        <f t="shared" si="45"/>
        <v/>
      </c>
      <c r="I344" s="4" t="str">
        <f t="shared" si="47"/>
        <v/>
      </c>
      <c r="J344" s="4" t="str">
        <f t="shared" si="48"/>
        <v/>
      </c>
      <c r="K344" s="4" t="str">
        <f t="shared" si="49"/>
        <v/>
      </c>
      <c r="L344" s="4" t="str">
        <f t="shared" si="50"/>
        <v/>
      </c>
      <c r="M344" s="4" t="str">
        <f t="shared" si="46"/>
        <v/>
      </c>
      <c r="N344" s="4" t="str">
        <f t="shared" si="51"/>
        <v/>
      </c>
      <c r="O344" s="4" t="str">
        <f>IF($B344="","",Inputs!$B$15-$M343)</f>
        <v/>
      </c>
      <c r="P344" s="3" t="str">
        <f t="shared" si="52"/>
        <v/>
      </c>
      <c r="Q344" s="3" t="str">
        <f t="shared" si="53"/>
        <v/>
      </c>
      <c r="R344" s="3" t="str">
        <f>IF($B344="","",IF($Q344,($L343+$N343+$G344)&gt;Inputs!$B$16,FALSE))</f>
        <v/>
      </c>
      <c r="S344" s="3" t="str">
        <f>IF($B344="","",IF(OR($F344&gt;Inputs!$B$15,$G344&gt;Inputs!$B$16),"TOO BIG",IF($R344,"NEW SHEET",IF($Q344,"NEW ROW","OK"))))</f>
        <v/>
      </c>
    </row>
    <row r="345" spans="1:19" x14ac:dyDescent="0.2">
      <c r="A345" s="4">
        <v>339</v>
      </c>
      <c r="B345" s="3" t="str">
        <f>IF(SortedPieces!$B341="","",SortedPieces!$B341)</f>
        <v/>
      </c>
      <c r="C345" s="4" t="str">
        <f>IF(SortedPieces!$C341="","",SortedPieces!$C341)</f>
        <v/>
      </c>
      <c r="D345" s="4" t="str">
        <f>IF(SortedPieces!$D341="","",SortedPieces!$D341)</f>
        <v/>
      </c>
      <c r="E345" s="3" t="str">
        <f>IF(SortedPieces!$E341="","",SortedPieces!$E341)</f>
        <v/>
      </c>
      <c r="F345" s="4" t="str">
        <f>IF($B345="","",IF($C345&lt;=$O345,$C345,IF(AND($E345="Y",$D345&lt;=$O345),$D345,IF(AND($E345="Y",$D345&lt;=Inputs!$B$15,$C345&lt;=Inputs!$B$15),IF($C345&lt;$D345,$D345,$C345),IF(AND($E345="Y",$D345&lt;=Inputs!$B$15),$D345,$C345)))))</f>
        <v/>
      </c>
      <c r="G345" s="4" t="str">
        <f>IF($B345="","",IF($C345&lt;=$O345,$D345,IF(AND($E345="Y",$D345&lt;=$O345),$C345,IF(AND($E345="Y",$D345&lt;=Inputs!$B$15,$C345&lt;=Inputs!$B$15),IF($C345&lt;$D345,$C345,$D345),IF(AND($E345="Y",$D345&lt;=Inputs!$B$15),$C345,$D345)))))</f>
        <v/>
      </c>
      <c r="H345" s="3" t="str">
        <f t="shared" si="45"/>
        <v/>
      </c>
      <c r="I345" s="4" t="str">
        <f t="shared" si="47"/>
        <v/>
      </c>
      <c r="J345" s="4" t="str">
        <f t="shared" si="48"/>
        <v/>
      </c>
      <c r="K345" s="4" t="str">
        <f t="shared" si="49"/>
        <v/>
      </c>
      <c r="L345" s="4" t="str">
        <f t="shared" si="50"/>
        <v/>
      </c>
      <c r="M345" s="4" t="str">
        <f t="shared" si="46"/>
        <v/>
      </c>
      <c r="N345" s="4" t="str">
        <f t="shared" si="51"/>
        <v/>
      </c>
      <c r="O345" s="4" t="str">
        <f>IF($B345="","",Inputs!$B$15-$M344)</f>
        <v/>
      </c>
      <c r="P345" s="3" t="str">
        <f t="shared" si="52"/>
        <v/>
      </c>
      <c r="Q345" s="3" t="str">
        <f t="shared" si="53"/>
        <v/>
      </c>
      <c r="R345" s="3" t="str">
        <f>IF($B345="","",IF($Q345,($L344+$N344+$G345)&gt;Inputs!$B$16,FALSE))</f>
        <v/>
      </c>
      <c r="S345" s="3" t="str">
        <f>IF($B345="","",IF(OR($F345&gt;Inputs!$B$15,$G345&gt;Inputs!$B$16),"TOO BIG",IF($R345,"NEW SHEET",IF($Q345,"NEW ROW","OK"))))</f>
        <v/>
      </c>
    </row>
    <row r="346" spans="1:19" x14ac:dyDescent="0.2">
      <c r="A346" s="4">
        <v>340</v>
      </c>
      <c r="B346" s="3" t="str">
        <f>IF(SortedPieces!$B342="","",SortedPieces!$B342)</f>
        <v/>
      </c>
      <c r="C346" s="4" t="str">
        <f>IF(SortedPieces!$C342="","",SortedPieces!$C342)</f>
        <v/>
      </c>
      <c r="D346" s="4" t="str">
        <f>IF(SortedPieces!$D342="","",SortedPieces!$D342)</f>
        <v/>
      </c>
      <c r="E346" s="3" t="str">
        <f>IF(SortedPieces!$E342="","",SortedPieces!$E342)</f>
        <v/>
      </c>
      <c r="F346" s="4" t="str">
        <f>IF($B346="","",IF($C346&lt;=$O346,$C346,IF(AND($E346="Y",$D346&lt;=$O346),$D346,IF(AND($E346="Y",$D346&lt;=Inputs!$B$15,$C346&lt;=Inputs!$B$15),IF($C346&lt;$D346,$D346,$C346),IF(AND($E346="Y",$D346&lt;=Inputs!$B$15),$D346,$C346)))))</f>
        <v/>
      </c>
      <c r="G346" s="4" t="str">
        <f>IF($B346="","",IF($C346&lt;=$O346,$D346,IF(AND($E346="Y",$D346&lt;=$O346),$C346,IF(AND($E346="Y",$D346&lt;=Inputs!$B$15,$C346&lt;=Inputs!$B$15),IF($C346&lt;$D346,$C346,$D346),IF(AND($E346="Y",$D346&lt;=Inputs!$B$15),$C346,$D346)))))</f>
        <v/>
      </c>
      <c r="H346" s="3" t="str">
        <f t="shared" si="45"/>
        <v/>
      </c>
      <c r="I346" s="4" t="str">
        <f t="shared" si="47"/>
        <v/>
      </c>
      <c r="J346" s="4" t="str">
        <f t="shared" si="48"/>
        <v/>
      </c>
      <c r="K346" s="4" t="str">
        <f t="shared" si="49"/>
        <v/>
      </c>
      <c r="L346" s="4" t="str">
        <f t="shared" si="50"/>
        <v/>
      </c>
      <c r="M346" s="4" t="str">
        <f t="shared" si="46"/>
        <v/>
      </c>
      <c r="N346" s="4" t="str">
        <f t="shared" si="51"/>
        <v/>
      </c>
      <c r="O346" s="4" t="str">
        <f>IF($B346="","",Inputs!$B$15-$M345)</f>
        <v/>
      </c>
      <c r="P346" s="3" t="str">
        <f t="shared" si="52"/>
        <v/>
      </c>
      <c r="Q346" s="3" t="str">
        <f t="shared" si="53"/>
        <v/>
      </c>
      <c r="R346" s="3" t="str">
        <f>IF($B346="","",IF($Q346,($L345+$N345+$G346)&gt;Inputs!$B$16,FALSE))</f>
        <v/>
      </c>
      <c r="S346" s="3" t="str">
        <f>IF($B346="","",IF(OR($F346&gt;Inputs!$B$15,$G346&gt;Inputs!$B$16),"TOO BIG",IF($R346,"NEW SHEET",IF($Q346,"NEW ROW","OK"))))</f>
        <v/>
      </c>
    </row>
    <row r="347" spans="1:19" x14ac:dyDescent="0.2">
      <c r="A347" s="4">
        <v>341</v>
      </c>
      <c r="B347" s="3" t="str">
        <f>IF(SortedPieces!$B343="","",SortedPieces!$B343)</f>
        <v/>
      </c>
      <c r="C347" s="4" t="str">
        <f>IF(SortedPieces!$C343="","",SortedPieces!$C343)</f>
        <v/>
      </c>
      <c r="D347" s="4" t="str">
        <f>IF(SortedPieces!$D343="","",SortedPieces!$D343)</f>
        <v/>
      </c>
      <c r="E347" s="3" t="str">
        <f>IF(SortedPieces!$E343="","",SortedPieces!$E343)</f>
        <v/>
      </c>
      <c r="F347" s="4" t="str">
        <f>IF($B347="","",IF($C347&lt;=$O347,$C347,IF(AND($E347="Y",$D347&lt;=$O347),$D347,IF(AND($E347="Y",$D347&lt;=Inputs!$B$15,$C347&lt;=Inputs!$B$15),IF($C347&lt;$D347,$D347,$C347),IF(AND($E347="Y",$D347&lt;=Inputs!$B$15),$D347,$C347)))))</f>
        <v/>
      </c>
      <c r="G347" s="4" t="str">
        <f>IF($B347="","",IF($C347&lt;=$O347,$D347,IF(AND($E347="Y",$D347&lt;=$O347),$C347,IF(AND($E347="Y",$D347&lt;=Inputs!$B$15,$C347&lt;=Inputs!$B$15),IF($C347&lt;$D347,$C347,$D347),IF(AND($E347="Y",$D347&lt;=Inputs!$B$15),$C347,$D347)))))</f>
        <v/>
      </c>
      <c r="H347" s="3" t="str">
        <f t="shared" si="45"/>
        <v/>
      </c>
      <c r="I347" s="4" t="str">
        <f t="shared" si="47"/>
        <v/>
      </c>
      <c r="J347" s="4" t="str">
        <f t="shared" si="48"/>
        <v/>
      </c>
      <c r="K347" s="4" t="str">
        <f t="shared" si="49"/>
        <v/>
      </c>
      <c r="L347" s="4" t="str">
        <f t="shared" si="50"/>
        <v/>
      </c>
      <c r="M347" s="4" t="str">
        <f t="shared" si="46"/>
        <v/>
      </c>
      <c r="N347" s="4" t="str">
        <f t="shared" si="51"/>
        <v/>
      </c>
      <c r="O347" s="4" t="str">
        <f>IF($B347="","",Inputs!$B$15-$M346)</f>
        <v/>
      </c>
      <c r="P347" s="3" t="str">
        <f t="shared" si="52"/>
        <v/>
      </c>
      <c r="Q347" s="3" t="str">
        <f t="shared" si="53"/>
        <v/>
      </c>
      <c r="R347" s="3" t="str">
        <f>IF($B347="","",IF($Q347,($L346+$N346+$G347)&gt;Inputs!$B$16,FALSE))</f>
        <v/>
      </c>
      <c r="S347" s="3" t="str">
        <f>IF($B347="","",IF(OR($F347&gt;Inputs!$B$15,$G347&gt;Inputs!$B$16),"TOO BIG",IF($R347,"NEW SHEET",IF($Q347,"NEW ROW","OK"))))</f>
        <v/>
      </c>
    </row>
    <row r="348" spans="1:19" x14ac:dyDescent="0.2">
      <c r="A348" s="4">
        <v>342</v>
      </c>
      <c r="B348" s="3" t="str">
        <f>IF(SortedPieces!$B344="","",SortedPieces!$B344)</f>
        <v/>
      </c>
      <c r="C348" s="4" t="str">
        <f>IF(SortedPieces!$C344="","",SortedPieces!$C344)</f>
        <v/>
      </c>
      <c r="D348" s="4" t="str">
        <f>IF(SortedPieces!$D344="","",SortedPieces!$D344)</f>
        <v/>
      </c>
      <c r="E348" s="3" t="str">
        <f>IF(SortedPieces!$E344="","",SortedPieces!$E344)</f>
        <v/>
      </c>
      <c r="F348" s="4" t="str">
        <f>IF($B348="","",IF($C348&lt;=$O348,$C348,IF(AND($E348="Y",$D348&lt;=$O348),$D348,IF(AND($E348="Y",$D348&lt;=Inputs!$B$15,$C348&lt;=Inputs!$B$15),IF($C348&lt;$D348,$D348,$C348),IF(AND($E348="Y",$D348&lt;=Inputs!$B$15),$D348,$C348)))))</f>
        <v/>
      </c>
      <c r="G348" s="4" t="str">
        <f>IF($B348="","",IF($C348&lt;=$O348,$D348,IF(AND($E348="Y",$D348&lt;=$O348),$C348,IF(AND($E348="Y",$D348&lt;=Inputs!$B$15,$C348&lt;=Inputs!$B$15),IF($C348&lt;$D348,$C348,$D348),IF(AND($E348="Y",$D348&lt;=Inputs!$B$15),$C348,$D348)))))</f>
        <v/>
      </c>
      <c r="H348" s="3" t="str">
        <f t="shared" si="45"/>
        <v/>
      </c>
      <c r="I348" s="4" t="str">
        <f t="shared" si="47"/>
        <v/>
      </c>
      <c r="J348" s="4" t="str">
        <f t="shared" si="48"/>
        <v/>
      </c>
      <c r="K348" s="4" t="str">
        <f t="shared" si="49"/>
        <v/>
      </c>
      <c r="L348" s="4" t="str">
        <f t="shared" si="50"/>
        <v/>
      </c>
      <c r="M348" s="4" t="str">
        <f t="shared" si="46"/>
        <v/>
      </c>
      <c r="N348" s="4" t="str">
        <f t="shared" si="51"/>
        <v/>
      </c>
      <c r="O348" s="4" t="str">
        <f>IF($B348="","",Inputs!$B$15-$M347)</f>
        <v/>
      </c>
      <c r="P348" s="3" t="str">
        <f t="shared" si="52"/>
        <v/>
      </c>
      <c r="Q348" s="3" t="str">
        <f t="shared" si="53"/>
        <v/>
      </c>
      <c r="R348" s="3" t="str">
        <f>IF($B348="","",IF($Q348,($L347+$N347+$G348)&gt;Inputs!$B$16,FALSE))</f>
        <v/>
      </c>
      <c r="S348" s="3" t="str">
        <f>IF($B348="","",IF(OR($F348&gt;Inputs!$B$15,$G348&gt;Inputs!$B$16),"TOO BIG",IF($R348,"NEW SHEET",IF($Q348,"NEW ROW","OK"))))</f>
        <v/>
      </c>
    </row>
    <row r="349" spans="1:19" x14ac:dyDescent="0.2">
      <c r="A349" s="4">
        <v>343</v>
      </c>
      <c r="B349" s="3" t="str">
        <f>IF(SortedPieces!$B345="","",SortedPieces!$B345)</f>
        <v/>
      </c>
      <c r="C349" s="4" t="str">
        <f>IF(SortedPieces!$C345="","",SortedPieces!$C345)</f>
        <v/>
      </c>
      <c r="D349" s="4" t="str">
        <f>IF(SortedPieces!$D345="","",SortedPieces!$D345)</f>
        <v/>
      </c>
      <c r="E349" s="3" t="str">
        <f>IF(SortedPieces!$E345="","",SortedPieces!$E345)</f>
        <v/>
      </c>
      <c r="F349" s="4" t="str">
        <f>IF($B349="","",IF($C349&lt;=$O349,$C349,IF(AND($E349="Y",$D349&lt;=$O349),$D349,IF(AND($E349="Y",$D349&lt;=Inputs!$B$15,$C349&lt;=Inputs!$B$15),IF($C349&lt;$D349,$D349,$C349),IF(AND($E349="Y",$D349&lt;=Inputs!$B$15),$D349,$C349)))))</f>
        <v/>
      </c>
      <c r="G349" s="4" t="str">
        <f>IF($B349="","",IF($C349&lt;=$O349,$D349,IF(AND($E349="Y",$D349&lt;=$O349),$C349,IF(AND($E349="Y",$D349&lt;=Inputs!$B$15,$C349&lt;=Inputs!$B$15),IF($C349&lt;$D349,$C349,$D349),IF(AND($E349="Y",$D349&lt;=Inputs!$B$15),$C349,$D349)))))</f>
        <v/>
      </c>
      <c r="H349" s="3" t="str">
        <f t="shared" si="45"/>
        <v/>
      </c>
      <c r="I349" s="4" t="str">
        <f t="shared" si="47"/>
        <v/>
      </c>
      <c r="J349" s="4" t="str">
        <f t="shared" si="48"/>
        <v/>
      </c>
      <c r="K349" s="4" t="str">
        <f t="shared" si="49"/>
        <v/>
      </c>
      <c r="L349" s="4" t="str">
        <f t="shared" si="50"/>
        <v/>
      </c>
      <c r="M349" s="4" t="str">
        <f t="shared" si="46"/>
        <v/>
      </c>
      <c r="N349" s="4" t="str">
        <f t="shared" si="51"/>
        <v/>
      </c>
      <c r="O349" s="4" t="str">
        <f>IF($B349="","",Inputs!$B$15-$M348)</f>
        <v/>
      </c>
      <c r="P349" s="3" t="str">
        <f t="shared" si="52"/>
        <v/>
      </c>
      <c r="Q349" s="3" t="str">
        <f t="shared" si="53"/>
        <v/>
      </c>
      <c r="R349" s="3" t="str">
        <f>IF($B349="","",IF($Q349,($L348+$N348+$G349)&gt;Inputs!$B$16,FALSE))</f>
        <v/>
      </c>
      <c r="S349" s="3" t="str">
        <f>IF($B349="","",IF(OR($F349&gt;Inputs!$B$15,$G349&gt;Inputs!$B$16),"TOO BIG",IF($R349,"NEW SHEET",IF($Q349,"NEW ROW","OK"))))</f>
        <v/>
      </c>
    </row>
    <row r="350" spans="1:19" x14ac:dyDescent="0.2">
      <c r="A350" s="4">
        <v>344</v>
      </c>
      <c r="B350" s="3" t="str">
        <f>IF(SortedPieces!$B346="","",SortedPieces!$B346)</f>
        <v/>
      </c>
      <c r="C350" s="4" t="str">
        <f>IF(SortedPieces!$C346="","",SortedPieces!$C346)</f>
        <v/>
      </c>
      <c r="D350" s="4" t="str">
        <f>IF(SortedPieces!$D346="","",SortedPieces!$D346)</f>
        <v/>
      </c>
      <c r="E350" s="3" t="str">
        <f>IF(SortedPieces!$E346="","",SortedPieces!$E346)</f>
        <v/>
      </c>
      <c r="F350" s="4" t="str">
        <f>IF($B350="","",IF($C350&lt;=$O350,$C350,IF(AND($E350="Y",$D350&lt;=$O350),$D350,IF(AND($E350="Y",$D350&lt;=Inputs!$B$15,$C350&lt;=Inputs!$B$15),IF($C350&lt;$D350,$D350,$C350),IF(AND($E350="Y",$D350&lt;=Inputs!$B$15),$D350,$C350)))))</f>
        <v/>
      </c>
      <c r="G350" s="4" t="str">
        <f>IF($B350="","",IF($C350&lt;=$O350,$D350,IF(AND($E350="Y",$D350&lt;=$O350),$C350,IF(AND($E350="Y",$D350&lt;=Inputs!$B$15,$C350&lt;=Inputs!$B$15),IF($C350&lt;$D350,$C350,$D350),IF(AND($E350="Y",$D350&lt;=Inputs!$B$15),$C350,$D350)))))</f>
        <v/>
      </c>
      <c r="H350" s="3" t="str">
        <f t="shared" si="45"/>
        <v/>
      </c>
      <c r="I350" s="4" t="str">
        <f t="shared" si="47"/>
        <v/>
      </c>
      <c r="J350" s="4" t="str">
        <f t="shared" si="48"/>
        <v/>
      </c>
      <c r="K350" s="4" t="str">
        <f t="shared" si="49"/>
        <v/>
      </c>
      <c r="L350" s="4" t="str">
        <f t="shared" si="50"/>
        <v/>
      </c>
      <c r="M350" s="4" t="str">
        <f t="shared" si="46"/>
        <v/>
      </c>
      <c r="N350" s="4" t="str">
        <f t="shared" si="51"/>
        <v/>
      </c>
      <c r="O350" s="4" t="str">
        <f>IF($B350="","",Inputs!$B$15-$M349)</f>
        <v/>
      </c>
      <c r="P350" s="3" t="str">
        <f t="shared" si="52"/>
        <v/>
      </c>
      <c r="Q350" s="3" t="str">
        <f t="shared" si="53"/>
        <v/>
      </c>
      <c r="R350" s="3" t="str">
        <f>IF($B350="","",IF($Q350,($L349+$N349+$G350)&gt;Inputs!$B$16,FALSE))</f>
        <v/>
      </c>
      <c r="S350" s="3" t="str">
        <f>IF($B350="","",IF(OR($F350&gt;Inputs!$B$15,$G350&gt;Inputs!$B$16),"TOO BIG",IF($R350,"NEW SHEET",IF($Q350,"NEW ROW","OK"))))</f>
        <v/>
      </c>
    </row>
    <row r="351" spans="1:19" x14ac:dyDescent="0.2">
      <c r="A351" s="4">
        <v>345</v>
      </c>
      <c r="B351" s="3" t="str">
        <f>IF(SortedPieces!$B347="","",SortedPieces!$B347)</f>
        <v/>
      </c>
      <c r="C351" s="4" t="str">
        <f>IF(SortedPieces!$C347="","",SortedPieces!$C347)</f>
        <v/>
      </c>
      <c r="D351" s="4" t="str">
        <f>IF(SortedPieces!$D347="","",SortedPieces!$D347)</f>
        <v/>
      </c>
      <c r="E351" s="3" t="str">
        <f>IF(SortedPieces!$E347="","",SortedPieces!$E347)</f>
        <v/>
      </c>
      <c r="F351" s="4" t="str">
        <f>IF($B351="","",IF($C351&lt;=$O351,$C351,IF(AND($E351="Y",$D351&lt;=$O351),$D351,IF(AND($E351="Y",$D351&lt;=Inputs!$B$15,$C351&lt;=Inputs!$B$15),IF($C351&lt;$D351,$D351,$C351),IF(AND($E351="Y",$D351&lt;=Inputs!$B$15),$D351,$C351)))))</f>
        <v/>
      </c>
      <c r="G351" s="4" t="str">
        <f>IF($B351="","",IF($C351&lt;=$O351,$D351,IF(AND($E351="Y",$D351&lt;=$O351),$C351,IF(AND($E351="Y",$D351&lt;=Inputs!$B$15,$C351&lt;=Inputs!$B$15),IF($C351&lt;$D351,$C351,$D351),IF(AND($E351="Y",$D351&lt;=Inputs!$B$15),$C351,$D351)))))</f>
        <v/>
      </c>
      <c r="H351" s="3" t="str">
        <f t="shared" si="45"/>
        <v/>
      </c>
      <c r="I351" s="4" t="str">
        <f t="shared" si="47"/>
        <v/>
      </c>
      <c r="J351" s="4" t="str">
        <f t="shared" si="48"/>
        <v/>
      </c>
      <c r="K351" s="4" t="str">
        <f t="shared" si="49"/>
        <v/>
      </c>
      <c r="L351" s="4" t="str">
        <f t="shared" si="50"/>
        <v/>
      </c>
      <c r="M351" s="4" t="str">
        <f t="shared" si="46"/>
        <v/>
      </c>
      <c r="N351" s="4" t="str">
        <f t="shared" si="51"/>
        <v/>
      </c>
      <c r="O351" s="4" t="str">
        <f>IF($B351="","",Inputs!$B$15-$M350)</f>
        <v/>
      </c>
      <c r="P351" s="3" t="str">
        <f t="shared" si="52"/>
        <v/>
      </c>
      <c r="Q351" s="3" t="str">
        <f t="shared" si="53"/>
        <v/>
      </c>
      <c r="R351" s="3" t="str">
        <f>IF($B351="","",IF($Q351,($L350+$N350+$G351)&gt;Inputs!$B$16,FALSE))</f>
        <v/>
      </c>
      <c r="S351" s="3" t="str">
        <f>IF($B351="","",IF(OR($F351&gt;Inputs!$B$15,$G351&gt;Inputs!$B$16),"TOO BIG",IF($R351,"NEW SHEET",IF($Q351,"NEW ROW","OK"))))</f>
        <v/>
      </c>
    </row>
    <row r="352" spans="1:19" x14ac:dyDescent="0.2">
      <c r="A352" s="4">
        <v>346</v>
      </c>
      <c r="B352" s="3" t="str">
        <f>IF(SortedPieces!$B348="","",SortedPieces!$B348)</f>
        <v/>
      </c>
      <c r="C352" s="4" t="str">
        <f>IF(SortedPieces!$C348="","",SortedPieces!$C348)</f>
        <v/>
      </c>
      <c r="D352" s="4" t="str">
        <f>IF(SortedPieces!$D348="","",SortedPieces!$D348)</f>
        <v/>
      </c>
      <c r="E352" s="3" t="str">
        <f>IF(SortedPieces!$E348="","",SortedPieces!$E348)</f>
        <v/>
      </c>
      <c r="F352" s="4" t="str">
        <f>IF($B352="","",IF($C352&lt;=$O352,$C352,IF(AND($E352="Y",$D352&lt;=$O352),$D352,IF(AND($E352="Y",$D352&lt;=Inputs!$B$15,$C352&lt;=Inputs!$B$15),IF($C352&lt;$D352,$D352,$C352),IF(AND($E352="Y",$D352&lt;=Inputs!$B$15),$D352,$C352)))))</f>
        <v/>
      </c>
      <c r="G352" s="4" t="str">
        <f>IF($B352="","",IF($C352&lt;=$O352,$D352,IF(AND($E352="Y",$D352&lt;=$O352),$C352,IF(AND($E352="Y",$D352&lt;=Inputs!$B$15,$C352&lt;=Inputs!$B$15),IF($C352&lt;$D352,$C352,$D352),IF(AND($E352="Y",$D352&lt;=Inputs!$B$15),$C352,$D352)))))</f>
        <v/>
      </c>
      <c r="H352" s="3" t="str">
        <f t="shared" si="45"/>
        <v/>
      </c>
      <c r="I352" s="4" t="str">
        <f t="shared" si="47"/>
        <v/>
      </c>
      <c r="J352" s="4" t="str">
        <f t="shared" si="48"/>
        <v/>
      </c>
      <c r="K352" s="4" t="str">
        <f t="shared" si="49"/>
        <v/>
      </c>
      <c r="L352" s="4" t="str">
        <f t="shared" si="50"/>
        <v/>
      </c>
      <c r="M352" s="4" t="str">
        <f t="shared" si="46"/>
        <v/>
      </c>
      <c r="N352" s="4" t="str">
        <f t="shared" si="51"/>
        <v/>
      </c>
      <c r="O352" s="4" t="str">
        <f>IF($B352="","",Inputs!$B$15-$M351)</f>
        <v/>
      </c>
      <c r="P352" s="3" t="str">
        <f t="shared" si="52"/>
        <v/>
      </c>
      <c r="Q352" s="3" t="str">
        <f t="shared" si="53"/>
        <v/>
      </c>
      <c r="R352" s="3" t="str">
        <f>IF($B352="","",IF($Q352,($L351+$N351+$G352)&gt;Inputs!$B$16,FALSE))</f>
        <v/>
      </c>
      <c r="S352" s="3" t="str">
        <f>IF($B352="","",IF(OR($F352&gt;Inputs!$B$15,$G352&gt;Inputs!$B$16),"TOO BIG",IF($R352,"NEW SHEET",IF($Q352,"NEW ROW","OK"))))</f>
        <v/>
      </c>
    </row>
    <row r="353" spans="1:19" x14ac:dyDescent="0.2">
      <c r="A353" s="4">
        <v>347</v>
      </c>
      <c r="B353" s="3" t="str">
        <f>IF(SortedPieces!$B349="","",SortedPieces!$B349)</f>
        <v/>
      </c>
      <c r="C353" s="4" t="str">
        <f>IF(SortedPieces!$C349="","",SortedPieces!$C349)</f>
        <v/>
      </c>
      <c r="D353" s="4" t="str">
        <f>IF(SortedPieces!$D349="","",SortedPieces!$D349)</f>
        <v/>
      </c>
      <c r="E353" s="3" t="str">
        <f>IF(SortedPieces!$E349="","",SortedPieces!$E349)</f>
        <v/>
      </c>
      <c r="F353" s="4" t="str">
        <f>IF($B353="","",IF($C353&lt;=$O353,$C353,IF(AND($E353="Y",$D353&lt;=$O353),$D353,IF(AND($E353="Y",$D353&lt;=Inputs!$B$15,$C353&lt;=Inputs!$B$15),IF($C353&lt;$D353,$D353,$C353),IF(AND($E353="Y",$D353&lt;=Inputs!$B$15),$D353,$C353)))))</f>
        <v/>
      </c>
      <c r="G353" s="4" t="str">
        <f>IF($B353="","",IF($C353&lt;=$O353,$D353,IF(AND($E353="Y",$D353&lt;=$O353),$C353,IF(AND($E353="Y",$D353&lt;=Inputs!$B$15,$C353&lt;=Inputs!$B$15),IF($C353&lt;$D353,$C353,$D353),IF(AND($E353="Y",$D353&lt;=Inputs!$B$15),$C353,$D353)))))</f>
        <v/>
      </c>
      <c r="H353" s="3" t="str">
        <f t="shared" si="45"/>
        <v/>
      </c>
      <c r="I353" s="4" t="str">
        <f t="shared" si="47"/>
        <v/>
      </c>
      <c r="J353" s="4" t="str">
        <f t="shared" si="48"/>
        <v/>
      </c>
      <c r="K353" s="4" t="str">
        <f t="shared" si="49"/>
        <v/>
      </c>
      <c r="L353" s="4" t="str">
        <f t="shared" si="50"/>
        <v/>
      </c>
      <c r="M353" s="4" t="str">
        <f t="shared" si="46"/>
        <v/>
      </c>
      <c r="N353" s="4" t="str">
        <f t="shared" si="51"/>
        <v/>
      </c>
      <c r="O353" s="4" t="str">
        <f>IF($B353="","",Inputs!$B$15-$M352)</f>
        <v/>
      </c>
      <c r="P353" s="3" t="str">
        <f t="shared" si="52"/>
        <v/>
      </c>
      <c r="Q353" s="3" t="str">
        <f t="shared" si="53"/>
        <v/>
      </c>
      <c r="R353" s="3" t="str">
        <f>IF($B353="","",IF($Q353,($L352+$N352+$G353)&gt;Inputs!$B$16,FALSE))</f>
        <v/>
      </c>
      <c r="S353" s="3" t="str">
        <f>IF($B353="","",IF(OR($F353&gt;Inputs!$B$15,$G353&gt;Inputs!$B$16),"TOO BIG",IF($R353,"NEW SHEET",IF($Q353,"NEW ROW","OK"))))</f>
        <v/>
      </c>
    </row>
    <row r="354" spans="1:19" x14ac:dyDescent="0.2">
      <c r="A354" s="4">
        <v>348</v>
      </c>
      <c r="B354" s="3" t="str">
        <f>IF(SortedPieces!$B350="","",SortedPieces!$B350)</f>
        <v/>
      </c>
      <c r="C354" s="4" t="str">
        <f>IF(SortedPieces!$C350="","",SortedPieces!$C350)</f>
        <v/>
      </c>
      <c r="D354" s="4" t="str">
        <f>IF(SortedPieces!$D350="","",SortedPieces!$D350)</f>
        <v/>
      </c>
      <c r="E354" s="3" t="str">
        <f>IF(SortedPieces!$E350="","",SortedPieces!$E350)</f>
        <v/>
      </c>
      <c r="F354" s="4" t="str">
        <f>IF($B354="","",IF($C354&lt;=$O354,$C354,IF(AND($E354="Y",$D354&lt;=$O354),$D354,IF(AND($E354="Y",$D354&lt;=Inputs!$B$15,$C354&lt;=Inputs!$B$15),IF($C354&lt;$D354,$D354,$C354),IF(AND($E354="Y",$D354&lt;=Inputs!$B$15),$D354,$C354)))))</f>
        <v/>
      </c>
      <c r="G354" s="4" t="str">
        <f>IF($B354="","",IF($C354&lt;=$O354,$D354,IF(AND($E354="Y",$D354&lt;=$O354),$C354,IF(AND($E354="Y",$D354&lt;=Inputs!$B$15,$C354&lt;=Inputs!$B$15),IF($C354&lt;$D354,$C354,$D354),IF(AND($E354="Y",$D354&lt;=Inputs!$B$15),$C354,$D354)))))</f>
        <v/>
      </c>
      <c r="H354" s="3" t="str">
        <f t="shared" si="45"/>
        <v/>
      </c>
      <c r="I354" s="4" t="str">
        <f t="shared" si="47"/>
        <v/>
      </c>
      <c r="J354" s="4" t="str">
        <f t="shared" si="48"/>
        <v/>
      </c>
      <c r="K354" s="4" t="str">
        <f t="shared" si="49"/>
        <v/>
      </c>
      <c r="L354" s="4" t="str">
        <f t="shared" si="50"/>
        <v/>
      </c>
      <c r="M354" s="4" t="str">
        <f t="shared" si="46"/>
        <v/>
      </c>
      <c r="N354" s="4" t="str">
        <f t="shared" si="51"/>
        <v/>
      </c>
      <c r="O354" s="4" t="str">
        <f>IF($B354="","",Inputs!$B$15-$M353)</f>
        <v/>
      </c>
      <c r="P354" s="3" t="str">
        <f t="shared" si="52"/>
        <v/>
      </c>
      <c r="Q354" s="3" t="str">
        <f t="shared" si="53"/>
        <v/>
      </c>
      <c r="R354" s="3" t="str">
        <f>IF($B354="","",IF($Q354,($L353+$N353+$G354)&gt;Inputs!$B$16,FALSE))</f>
        <v/>
      </c>
      <c r="S354" s="3" t="str">
        <f>IF($B354="","",IF(OR($F354&gt;Inputs!$B$15,$G354&gt;Inputs!$B$16),"TOO BIG",IF($R354,"NEW SHEET",IF($Q354,"NEW ROW","OK"))))</f>
        <v/>
      </c>
    </row>
    <row r="355" spans="1:19" x14ac:dyDescent="0.2">
      <c r="A355" s="4">
        <v>349</v>
      </c>
      <c r="B355" s="3" t="str">
        <f>IF(SortedPieces!$B351="","",SortedPieces!$B351)</f>
        <v/>
      </c>
      <c r="C355" s="4" t="str">
        <f>IF(SortedPieces!$C351="","",SortedPieces!$C351)</f>
        <v/>
      </c>
      <c r="D355" s="4" t="str">
        <f>IF(SortedPieces!$D351="","",SortedPieces!$D351)</f>
        <v/>
      </c>
      <c r="E355" s="3" t="str">
        <f>IF(SortedPieces!$E351="","",SortedPieces!$E351)</f>
        <v/>
      </c>
      <c r="F355" s="4" t="str">
        <f>IF($B355="","",IF($C355&lt;=$O355,$C355,IF(AND($E355="Y",$D355&lt;=$O355),$D355,IF(AND($E355="Y",$D355&lt;=Inputs!$B$15,$C355&lt;=Inputs!$B$15),IF($C355&lt;$D355,$D355,$C355),IF(AND($E355="Y",$D355&lt;=Inputs!$B$15),$D355,$C355)))))</f>
        <v/>
      </c>
      <c r="G355" s="4" t="str">
        <f>IF($B355="","",IF($C355&lt;=$O355,$D355,IF(AND($E355="Y",$D355&lt;=$O355),$C355,IF(AND($E355="Y",$D355&lt;=Inputs!$B$15,$C355&lt;=Inputs!$B$15),IF($C355&lt;$D355,$C355,$D355),IF(AND($E355="Y",$D355&lt;=Inputs!$B$15),$C355,$D355)))))</f>
        <v/>
      </c>
      <c r="H355" s="3" t="str">
        <f t="shared" si="45"/>
        <v/>
      </c>
      <c r="I355" s="4" t="str">
        <f t="shared" si="47"/>
        <v/>
      </c>
      <c r="J355" s="4" t="str">
        <f t="shared" si="48"/>
        <v/>
      </c>
      <c r="K355" s="4" t="str">
        <f t="shared" si="49"/>
        <v/>
      </c>
      <c r="L355" s="4" t="str">
        <f t="shared" si="50"/>
        <v/>
      </c>
      <c r="M355" s="4" t="str">
        <f t="shared" si="46"/>
        <v/>
      </c>
      <c r="N355" s="4" t="str">
        <f t="shared" si="51"/>
        <v/>
      </c>
      <c r="O355" s="4" t="str">
        <f>IF($B355="","",Inputs!$B$15-$M354)</f>
        <v/>
      </c>
      <c r="P355" s="3" t="str">
        <f t="shared" si="52"/>
        <v/>
      </c>
      <c r="Q355" s="3" t="str">
        <f t="shared" si="53"/>
        <v/>
      </c>
      <c r="R355" s="3" t="str">
        <f>IF($B355="","",IF($Q355,($L354+$N354+$G355)&gt;Inputs!$B$16,FALSE))</f>
        <v/>
      </c>
      <c r="S355" s="3" t="str">
        <f>IF($B355="","",IF(OR($F355&gt;Inputs!$B$15,$G355&gt;Inputs!$B$16),"TOO BIG",IF($R355,"NEW SHEET",IF($Q355,"NEW ROW","OK"))))</f>
        <v/>
      </c>
    </row>
    <row r="356" spans="1:19" x14ac:dyDescent="0.2">
      <c r="A356" s="4">
        <v>350</v>
      </c>
      <c r="B356" s="3" t="str">
        <f>IF(SortedPieces!$B352="","",SortedPieces!$B352)</f>
        <v/>
      </c>
      <c r="C356" s="4" t="str">
        <f>IF(SortedPieces!$C352="","",SortedPieces!$C352)</f>
        <v/>
      </c>
      <c r="D356" s="4" t="str">
        <f>IF(SortedPieces!$D352="","",SortedPieces!$D352)</f>
        <v/>
      </c>
      <c r="E356" s="3" t="str">
        <f>IF(SortedPieces!$E352="","",SortedPieces!$E352)</f>
        <v/>
      </c>
      <c r="F356" s="4" t="str">
        <f>IF($B356="","",IF($C356&lt;=$O356,$C356,IF(AND($E356="Y",$D356&lt;=$O356),$D356,IF(AND($E356="Y",$D356&lt;=Inputs!$B$15,$C356&lt;=Inputs!$B$15),IF($C356&lt;$D356,$D356,$C356),IF(AND($E356="Y",$D356&lt;=Inputs!$B$15),$D356,$C356)))))</f>
        <v/>
      </c>
      <c r="G356" s="4" t="str">
        <f>IF($B356="","",IF($C356&lt;=$O356,$D356,IF(AND($E356="Y",$D356&lt;=$O356),$C356,IF(AND($E356="Y",$D356&lt;=Inputs!$B$15,$C356&lt;=Inputs!$B$15),IF($C356&lt;$D356,$C356,$D356),IF(AND($E356="Y",$D356&lt;=Inputs!$B$15),$C356,$D356)))))</f>
        <v/>
      </c>
      <c r="H356" s="3" t="str">
        <f t="shared" si="45"/>
        <v/>
      </c>
      <c r="I356" s="4" t="str">
        <f t="shared" si="47"/>
        <v/>
      </c>
      <c r="J356" s="4" t="str">
        <f t="shared" si="48"/>
        <v/>
      </c>
      <c r="K356" s="4" t="str">
        <f t="shared" si="49"/>
        <v/>
      </c>
      <c r="L356" s="4" t="str">
        <f t="shared" si="50"/>
        <v/>
      </c>
      <c r="M356" s="4" t="str">
        <f t="shared" si="46"/>
        <v/>
      </c>
      <c r="N356" s="4" t="str">
        <f t="shared" si="51"/>
        <v/>
      </c>
      <c r="O356" s="4" t="str">
        <f>IF($B356="","",Inputs!$B$15-$M355)</f>
        <v/>
      </c>
      <c r="P356" s="3" t="str">
        <f t="shared" si="52"/>
        <v/>
      </c>
      <c r="Q356" s="3" t="str">
        <f t="shared" si="53"/>
        <v/>
      </c>
      <c r="R356" s="3" t="str">
        <f>IF($B356="","",IF($Q356,($L355+$N355+$G356)&gt;Inputs!$B$16,FALSE))</f>
        <v/>
      </c>
      <c r="S356" s="3" t="str">
        <f>IF($B356="","",IF(OR($F356&gt;Inputs!$B$15,$G356&gt;Inputs!$B$16),"TOO BIG",IF($R356,"NEW SHEET",IF($Q356,"NEW ROW","OK"))))</f>
        <v/>
      </c>
    </row>
    <row r="357" spans="1:19" x14ac:dyDescent="0.2">
      <c r="A357" s="4">
        <v>351</v>
      </c>
      <c r="B357" s="3" t="str">
        <f>IF(SortedPieces!$B353="","",SortedPieces!$B353)</f>
        <v/>
      </c>
      <c r="C357" s="4" t="str">
        <f>IF(SortedPieces!$C353="","",SortedPieces!$C353)</f>
        <v/>
      </c>
      <c r="D357" s="4" t="str">
        <f>IF(SortedPieces!$D353="","",SortedPieces!$D353)</f>
        <v/>
      </c>
      <c r="E357" s="3" t="str">
        <f>IF(SortedPieces!$E353="","",SortedPieces!$E353)</f>
        <v/>
      </c>
      <c r="F357" s="4" t="str">
        <f>IF($B357="","",IF($C357&lt;=$O357,$C357,IF(AND($E357="Y",$D357&lt;=$O357),$D357,IF(AND($E357="Y",$D357&lt;=Inputs!$B$15,$C357&lt;=Inputs!$B$15),IF($C357&lt;$D357,$D357,$C357),IF(AND($E357="Y",$D357&lt;=Inputs!$B$15),$D357,$C357)))))</f>
        <v/>
      </c>
      <c r="G357" s="4" t="str">
        <f>IF($B357="","",IF($C357&lt;=$O357,$D357,IF(AND($E357="Y",$D357&lt;=$O357),$C357,IF(AND($E357="Y",$D357&lt;=Inputs!$B$15,$C357&lt;=Inputs!$B$15),IF($C357&lt;$D357,$C357,$D357),IF(AND($E357="Y",$D357&lt;=Inputs!$B$15),$C357,$D357)))))</f>
        <v/>
      </c>
      <c r="H357" s="3" t="str">
        <f t="shared" si="45"/>
        <v/>
      </c>
      <c r="I357" s="4" t="str">
        <f t="shared" si="47"/>
        <v/>
      </c>
      <c r="J357" s="4" t="str">
        <f t="shared" si="48"/>
        <v/>
      </c>
      <c r="K357" s="4" t="str">
        <f t="shared" si="49"/>
        <v/>
      </c>
      <c r="L357" s="4" t="str">
        <f t="shared" si="50"/>
        <v/>
      </c>
      <c r="M357" s="4" t="str">
        <f t="shared" si="46"/>
        <v/>
      </c>
      <c r="N357" s="4" t="str">
        <f t="shared" si="51"/>
        <v/>
      </c>
      <c r="O357" s="4" t="str">
        <f>IF($B357="","",Inputs!$B$15-$M356)</f>
        <v/>
      </c>
      <c r="P357" s="3" t="str">
        <f t="shared" si="52"/>
        <v/>
      </c>
      <c r="Q357" s="3" t="str">
        <f t="shared" si="53"/>
        <v/>
      </c>
      <c r="R357" s="3" t="str">
        <f>IF($B357="","",IF($Q357,($L356+$N356+$G357)&gt;Inputs!$B$16,FALSE))</f>
        <v/>
      </c>
      <c r="S357" s="3" t="str">
        <f>IF($B357="","",IF(OR($F357&gt;Inputs!$B$15,$G357&gt;Inputs!$B$16),"TOO BIG",IF($R357,"NEW SHEET",IF($Q357,"NEW ROW","OK"))))</f>
        <v/>
      </c>
    </row>
    <row r="358" spans="1:19" x14ac:dyDescent="0.2">
      <c r="A358" s="4">
        <v>352</v>
      </c>
      <c r="B358" s="3" t="str">
        <f>IF(SortedPieces!$B354="","",SortedPieces!$B354)</f>
        <v/>
      </c>
      <c r="C358" s="4" t="str">
        <f>IF(SortedPieces!$C354="","",SortedPieces!$C354)</f>
        <v/>
      </c>
      <c r="D358" s="4" t="str">
        <f>IF(SortedPieces!$D354="","",SortedPieces!$D354)</f>
        <v/>
      </c>
      <c r="E358" s="3" t="str">
        <f>IF(SortedPieces!$E354="","",SortedPieces!$E354)</f>
        <v/>
      </c>
      <c r="F358" s="4" t="str">
        <f>IF($B358="","",IF($C358&lt;=$O358,$C358,IF(AND($E358="Y",$D358&lt;=$O358),$D358,IF(AND($E358="Y",$D358&lt;=Inputs!$B$15,$C358&lt;=Inputs!$B$15),IF($C358&lt;$D358,$D358,$C358),IF(AND($E358="Y",$D358&lt;=Inputs!$B$15),$D358,$C358)))))</f>
        <v/>
      </c>
      <c r="G358" s="4" t="str">
        <f>IF($B358="","",IF($C358&lt;=$O358,$D358,IF(AND($E358="Y",$D358&lt;=$O358),$C358,IF(AND($E358="Y",$D358&lt;=Inputs!$B$15,$C358&lt;=Inputs!$B$15),IF($C358&lt;$D358,$C358,$D358),IF(AND($E358="Y",$D358&lt;=Inputs!$B$15),$C358,$D358)))))</f>
        <v/>
      </c>
      <c r="H358" s="3" t="str">
        <f t="shared" si="45"/>
        <v/>
      </c>
      <c r="I358" s="4" t="str">
        <f t="shared" si="47"/>
        <v/>
      </c>
      <c r="J358" s="4" t="str">
        <f t="shared" si="48"/>
        <v/>
      </c>
      <c r="K358" s="4" t="str">
        <f t="shared" si="49"/>
        <v/>
      </c>
      <c r="L358" s="4" t="str">
        <f t="shared" si="50"/>
        <v/>
      </c>
      <c r="M358" s="4" t="str">
        <f t="shared" si="46"/>
        <v/>
      </c>
      <c r="N358" s="4" t="str">
        <f t="shared" si="51"/>
        <v/>
      </c>
      <c r="O358" s="4" t="str">
        <f>IF($B358="","",Inputs!$B$15-$M357)</f>
        <v/>
      </c>
      <c r="P358" s="3" t="str">
        <f t="shared" si="52"/>
        <v/>
      </c>
      <c r="Q358" s="3" t="str">
        <f t="shared" si="53"/>
        <v/>
      </c>
      <c r="R358" s="3" t="str">
        <f>IF($B358="","",IF($Q358,($L357+$N357+$G358)&gt;Inputs!$B$16,FALSE))</f>
        <v/>
      </c>
      <c r="S358" s="3" t="str">
        <f>IF($B358="","",IF(OR($F358&gt;Inputs!$B$15,$G358&gt;Inputs!$B$16),"TOO BIG",IF($R358,"NEW SHEET",IF($Q358,"NEW ROW","OK"))))</f>
        <v/>
      </c>
    </row>
    <row r="359" spans="1:19" x14ac:dyDescent="0.2">
      <c r="A359" s="4">
        <v>353</v>
      </c>
      <c r="B359" s="3" t="str">
        <f>IF(SortedPieces!$B355="","",SortedPieces!$B355)</f>
        <v/>
      </c>
      <c r="C359" s="4" t="str">
        <f>IF(SortedPieces!$C355="","",SortedPieces!$C355)</f>
        <v/>
      </c>
      <c r="D359" s="4" t="str">
        <f>IF(SortedPieces!$D355="","",SortedPieces!$D355)</f>
        <v/>
      </c>
      <c r="E359" s="3" t="str">
        <f>IF(SortedPieces!$E355="","",SortedPieces!$E355)</f>
        <v/>
      </c>
      <c r="F359" s="4" t="str">
        <f>IF($B359="","",IF($C359&lt;=$O359,$C359,IF(AND($E359="Y",$D359&lt;=$O359),$D359,IF(AND($E359="Y",$D359&lt;=Inputs!$B$15,$C359&lt;=Inputs!$B$15),IF($C359&lt;$D359,$D359,$C359),IF(AND($E359="Y",$D359&lt;=Inputs!$B$15),$D359,$C359)))))</f>
        <v/>
      </c>
      <c r="G359" s="4" t="str">
        <f>IF($B359="","",IF($C359&lt;=$O359,$D359,IF(AND($E359="Y",$D359&lt;=$O359),$C359,IF(AND($E359="Y",$D359&lt;=Inputs!$B$15,$C359&lt;=Inputs!$B$15),IF($C359&lt;$D359,$C359,$D359),IF(AND($E359="Y",$D359&lt;=Inputs!$B$15),$C359,$D359)))))</f>
        <v/>
      </c>
      <c r="H359" s="3" t="str">
        <f t="shared" si="45"/>
        <v/>
      </c>
      <c r="I359" s="4" t="str">
        <f t="shared" si="47"/>
        <v/>
      </c>
      <c r="J359" s="4" t="str">
        <f t="shared" si="48"/>
        <v/>
      </c>
      <c r="K359" s="4" t="str">
        <f t="shared" si="49"/>
        <v/>
      </c>
      <c r="L359" s="4" t="str">
        <f t="shared" si="50"/>
        <v/>
      </c>
      <c r="M359" s="4" t="str">
        <f t="shared" si="46"/>
        <v/>
      </c>
      <c r="N359" s="4" t="str">
        <f t="shared" si="51"/>
        <v/>
      </c>
      <c r="O359" s="4" t="str">
        <f>IF($B359="","",Inputs!$B$15-$M358)</f>
        <v/>
      </c>
      <c r="P359" s="3" t="str">
        <f t="shared" si="52"/>
        <v/>
      </c>
      <c r="Q359" s="3" t="str">
        <f t="shared" si="53"/>
        <v/>
      </c>
      <c r="R359" s="3" t="str">
        <f>IF($B359="","",IF($Q359,($L358+$N358+$G359)&gt;Inputs!$B$16,FALSE))</f>
        <v/>
      </c>
      <c r="S359" s="3" t="str">
        <f>IF($B359="","",IF(OR($F359&gt;Inputs!$B$15,$G359&gt;Inputs!$B$16),"TOO BIG",IF($R359,"NEW SHEET",IF($Q359,"NEW ROW","OK"))))</f>
        <v/>
      </c>
    </row>
    <row r="360" spans="1:19" x14ac:dyDescent="0.2">
      <c r="A360" s="4">
        <v>354</v>
      </c>
      <c r="B360" s="3" t="str">
        <f>IF(SortedPieces!$B356="","",SortedPieces!$B356)</f>
        <v/>
      </c>
      <c r="C360" s="4" t="str">
        <f>IF(SortedPieces!$C356="","",SortedPieces!$C356)</f>
        <v/>
      </c>
      <c r="D360" s="4" t="str">
        <f>IF(SortedPieces!$D356="","",SortedPieces!$D356)</f>
        <v/>
      </c>
      <c r="E360" s="3" t="str">
        <f>IF(SortedPieces!$E356="","",SortedPieces!$E356)</f>
        <v/>
      </c>
      <c r="F360" s="4" t="str">
        <f>IF($B360="","",IF($C360&lt;=$O360,$C360,IF(AND($E360="Y",$D360&lt;=$O360),$D360,IF(AND($E360="Y",$D360&lt;=Inputs!$B$15,$C360&lt;=Inputs!$B$15),IF($C360&lt;$D360,$D360,$C360),IF(AND($E360="Y",$D360&lt;=Inputs!$B$15),$D360,$C360)))))</f>
        <v/>
      </c>
      <c r="G360" s="4" t="str">
        <f>IF($B360="","",IF($C360&lt;=$O360,$D360,IF(AND($E360="Y",$D360&lt;=$O360),$C360,IF(AND($E360="Y",$D360&lt;=Inputs!$B$15,$C360&lt;=Inputs!$B$15),IF($C360&lt;$D360,$C360,$D360),IF(AND($E360="Y",$D360&lt;=Inputs!$B$15),$C360,$D360)))))</f>
        <v/>
      </c>
      <c r="H360" s="3" t="str">
        <f t="shared" si="45"/>
        <v/>
      </c>
      <c r="I360" s="4" t="str">
        <f t="shared" si="47"/>
        <v/>
      </c>
      <c r="J360" s="4" t="str">
        <f t="shared" si="48"/>
        <v/>
      </c>
      <c r="K360" s="4" t="str">
        <f t="shared" si="49"/>
        <v/>
      </c>
      <c r="L360" s="4" t="str">
        <f t="shared" si="50"/>
        <v/>
      </c>
      <c r="M360" s="4" t="str">
        <f t="shared" si="46"/>
        <v/>
      </c>
      <c r="N360" s="4" t="str">
        <f t="shared" si="51"/>
        <v/>
      </c>
      <c r="O360" s="4" t="str">
        <f>IF($B360="","",Inputs!$B$15-$M359)</f>
        <v/>
      </c>
      <c r="P360" s="3" t="str">
        <f t="shared" si="52"/>
        <v/>
      </c>
      <c r="Q360" s="3" t="str">
        <f t="shared" si="53"/>
        <v/>
      </c>
      <c r="R360" s="3" t="str">
        <f>IF($B360="","",IF($Q360,($L359+$N359+$G360)&gt;Inputs!$B$16,FALSE))</f>
        <v/>
      </c>
      <c r="S360" s="3" t="str">
        <f>IF($B360="","",IF(OR($F360&gt;Inputs!$B$15,$G360&gt;Inputs!$B$16),"TOO BIG",IF($R360,"NEW SHEET",IF($Q360,"NEW ROW","OK"))))</f>
        <v/>
      </c>
    </row>
    <row r="361" spans="1:19" x14ac:dyDescent="0.2">
      <c r="A361" s="4">
        <v>355</v>
      </c>
      <c r="B361" s="3" t="str">
        <f>IF(SortedPieces!$B357="","",SortedPieces!$B357)</f>
        <v/>
      </c>
      <c r="C361" s="4" t="str">
        <f>IF(SortedPieces!$C357="","",SortedPieces!$C357)</f>
        <v/>
      </c>
      <c r="D361" s="4" t="str">
        <f>IF(SortedPieces!$D357="","",SortedPieces!$D357)</f>
        <v/>
      </c>
      <c r="E361" s="3" t="str">
        <f>IF(SortedPieces!$E357="","",SortedPieces!$E357)</f>
        <v/>
      </c>
      <c r="F361" s="4" t="str">
        <f>IF($B361="","",IF($C361&lt;=$O361,$C361,IF(AND($E361="Y",$D361&lt;=$O361),$D361,IF(AND($E361="Y",$D361&lt;=Inputs!$B$15,$C361&lt;=Inputs!$B$15),IF($C361&lt;$D361,$D361,$C361),IF(AND($E361="Y",$D361&lt;=Inputs!$B$15),$D361,$C361)))))</f>
        <v/>
      </c>
      <c r="G361" s="4" t="str">
        <f>IF($B361="","",IF($C361&lt;=$O361,$D361,IF(AND($E361="Y",$D361&lt;=$O361),$C361,IF(AND($E361="Y",$D361&lt;=Inputs!$B$15,$C361&lt;=Inputs!$B$15),IF($C361&lt;$D361,$C361,$D361),IF(AND($E361="Y",$D361&lt;=Inputs!$B$15),$C361,$D361)))))</f>
        <v/>
      </c>
      <c r="H361" s="3" t="str">
        <f t="shared" si="45"/>
        <v/>
      </c>
      <c r="I361" s="4" t="str">
        <f t="shared" si="47"/>
        <v/>
      </c>
      <c r="J361" s="4" t="str">
        <f t="shared" si="48"/>
        <v/>
      </c>
      <c r="K361" s="4" t="str">
        <f t="shared" si="49"/>
        <v/>
      </c>
      <c r="L361" s="4" t="str">
        <f t="shared" si="50"/>
        <v/>
      </c>
      <c r="M361" s="4" t="str">
        <f t="shared" si="46"/>
        <v/>
      </c>
      <c r="N361" s="4" t="str">
        <f t="shared" si="51"/>
        <v/>
      </c>
      <c r="O361" s="4" t="str">
        <f>IF($B361="","",Inputs!$B$15-$M360)</f>
        <v/>
      </c>
      <c r="P361" s="3" t="str">
        <f t="shared" si="52"/>
        <v/>
      </c>
      <c r="Q361" s="3" t="str">
        <f t="shared" si="53"/>
        <v/>
      </c>
      <c r="R361" s="3" t="str">
        <f>IF($B361="","",IF($Q361,($L360+$N360+$G361)&gt;Inputs!$B$16,FALSE))</f>
        <v/>
      </c>
      <c r="S361" s="3" t="str">
        <f>IF($B361="","",IF(OR($F361&gt;Inputs!$B$15,$G361&gt;Inputs!$B$16),"TOO BIG",IF($R361,"NEW SHEET",IF($Q361,"NEW ROW","OK"))))</f>
        <v/>
      </c>
    </row>
    <row r="362" spans="1:19" x14ac:dyDescent="0.2">
      <c r="A362" s="4">
        <v>356</v>
      </c>
      <c r="B362" s="3" t="str">
        <f>IF(SortedPieces!$B358="","",SortedPieces!$B358)</f>
        <v/>
      </c>
      <c r="C362" s="4" t="str">
        <f>IF(SortedPieces!$C358="","",SortedPieces!$C358)</f>
        <v/>
      </c>
      <c r="D362" s="4" t="str">
        <f>IF(SortedPieces!$D358="","",SortedPieces!$D358)</f>
        <v/>
      </c>
      <c r="E362" s="3" t="str">
        <f>IF(SortedPieces!$E358="","",SortedPieces!$E358)</f>
        <v/>
      </c>
      <c r="F362" s="4" t="str">
        <f>IF($B362="","",IF($C362&lt;=$O362,$C362,IF(AND($E362="Y",$D362&lt;=$O362),$D362,IF(AND($E362="Y",$D362&lt;=Inputs!$B$15,$C362&lt;=Inputs!$B$15),IF($C362&lt;$D362,$D362,$C362),IF(AND($E362="Y",$D362&lt;=Inputs!$B$15),$D362,$C362)))))</f>
        <v/>
      </c>
      <c r="G362" s="4" t="str">
        <f>IF($B362="","",IF($C362&lt;=$O362,$D362,IF(AND($E362="Y",$D362&lt;=$O362),$C362,IF(AND($E362="Y",$D362&lt;=Inputs!$B$15,$C362&lt;=Inputs!$B$15),IF($C362&lt;$D362,$C362,$D362),IF(AND($E362="Y",$D362&lt;=Inputs!$B$15),$C362,$D362)))))</f>
        <v/>
      </c>
      <c r="H362" s="3" t="str">
        <f t="shared" si="45"/>
        <v/>
      </c>
      <c r="I362" s="4" t="str">
        <f t="shared" si="47"/>
        <v/>
      </c>
      <c r="J362" s="4" t="str">
        <f t="shared" si="48"/>
        <v/>
      </c>
      <c r="K362" s="4" t="str">
        <f t="shared" si="49"/>
        <v/>
      </c>
      <c r="L362" s="4" t="str">
        <f t="shared" si="50"/>
        <v/>
      </c>
      <c r="M362" s="4" t="str">
        <f t="shared" si="46"/>
        <v/>
      </c>
      <c r="N362" s="4" t="str">
        <f t="shared" si="51"/>
        <v/>
      </c>
      <c r="O362" s="4" t="str">
        <f>IF($B362="","",Inputs!$B$15-$M361)</f>
        <v/>
      </c>
      <c r="P362" s="3" t="str">
        <f t="shared" si="52"/>
        <v/>
      </c>
      <c r="Q362" s="3" t="str">
        <f t="shared" si="53"/>
        <v/>
      </c>
      <c r="R362" s="3" t="str">
        <f>IF($B362="","",IF($Q362,($L361+$N361+$G362)&gt;Inputs!$B$16,FALSE))</f>
        <v/>
      </c>
      <c r="S362" s="3" t="str">
        <f>IF($B362="","",IF(OR($F362&gt;Inputs!$B$15,$G362&gt;Inputs!$B$16),"TOO BIG",IF($R362,"NEW SHEET",IF($Q362,"NEW ROW","OK"))))</f>
        <v/>
      </c>
    </row>
    <row r="363" spans="1:19" x14ac:dyDescent="0.2">
      <c r="A363" s="4">
        <v>357</v>
      </c>
      <c r="B363" s="3" t="str">
        <f>IF(SortedPieces!$B359="","",SortedPieces!$B359)</f>
        <v/>
      </c>
      <c r="C363" s="4" t="str">
        <f>IF(SortedPieces!$C359="","",SortedPieces!$C359)</f>
        <v/>
      </c>
      <c r="D363" s="4" t="str">
        <f>IF(SortedPieces!$D359="","",SortedPieces!$D359)</f>
        <v/>
      </c>
      <c r="E363" s="3" t="str">
        <f>IF(SortedPieces!$E359="","",SortedPieces!$E359)</f>
        <v/>
      </c>
      <c r="F363" s="4" t="str">
        <f>IF($B363="","",IF($C363&lt;=$O363,$C363,IF(AND($E363="Y",$D363&lt;=$O363),$D363,IF(AND($E363="Y",$D363&lt;=Inputs!$B$15,$C363&lt;=Inputs!$B$15),IF($C363&lt;$D363,$D363,$C363),IF(AND($E363="Y",$D363&lt;=Inputs!$B$15),$D363,$C363)))))</f>
        <v/>
      </c>
      <c r="G363" s="4" t="str">
        <f>IF($B363="","",IF($C363&lt;=$O363,$D363,IF(AND($E363="Y",$D363&lt;=$O363),$C363,IF(AND($E363="Y",$D363&lt;=Inputs!$B$15,$C363&lt;=Inputs!$B$15),IF($C363&lt;$D363,$C363,$D363),IF(AND($E363="Y",$D363&lt;=Inputs!$B$15),$C363,$D363)))))</f>
        <v/>
      </c>
      <c r="H363" s="3" t="str">
        <f t="shared" si="45"/>
        <v/>
      </c>
      <c r="I363" s="4" t="str">
        <f t="shared" si="47"/>
        <v/>
      </c>
      <c r="J363" s="4" t="str">
        <f t="shared" si="48"/>
        <v/>
      </c>
      <c r="K363" s="4" t="str">
        <f t="shared" si="49"/>
        <v/>
      </c>
      <c r="L363" s="4" t="str">
        <f t="shared" si="50"/>
        <v/>
      </c>
      <c r="M363" s="4" t="str">
        <f t="shared" si="46"/>
        <v/>
      </c>
      <c r="N363" s="4" t="str">
        <f t="shared" si="51"/>
        <v/>
      </c>
      <c r="O363" s="4" t="str">
        <f>IF($B363="","",Inputs!$B$15-$M362)</f>
        <v/>
      </c>
      <c r="P363" s="3" t="str">
        <f t="shared" si="52"/>
        <v/>
      </c>
      <c r="Q363" s="3" t="str">
        <f t="shared" si="53"/>
        <v/>
      </c>
      <c r="R363" s="3" t="str">
        <f>IF($B363="","",IF($Q363,($L362+$N362+$G363)&gt;Inputs!$B$16,FALSE))</f>
        <v/>
      </c>
      <c r="S363" s="3" t="str">
        <f>IF($B363="","",IF(OR($F363&gt;Inputs!$B$15,$G363&gt;Inputs!$B$16),"TOO BIG",IF($R363,"NEW SHEET",IF($Q363,"NEW ROW","OK"))))</f>
        <v/>
      </c>
    </row>
    <row r="364" spans="1:19" x14ac:dyDescent="0.2">
      <c r="A364" s="4">
        <v>358</v>
      </c>
      <c r="B364" s="3" t="str">
        <f>IF(SortedPieces!$B360="","",SortedPieces!$B360)</f>
        <v/>
      </c>
      <c r="C364" s="4" t="str">
        <f>IF(SortedPieces!$C360="","",SortedPieces!$C360)</f>
        <v/>
      </c>
      <c r="D364" s="4" t="str">
        <f>IF(SortedPieces!$D360="","",SortedPieces!$D360)</f>
        <v/>
      </c>
      <c r="E364" s="3" t="str">
        <f>IF(SortedPieces!$E360="","",SortedPieces!$E360)</f>
        <v/>
      </c>
      <c r="F364" s="4" t="str">
        <f>IF($B364="","",IF($C364&lt;=$O364,$C364,IF(AND($E364="Y",$D364&lt;=$O364),$D364,IF(AND($E364="Y",$D364&lt;=Inputs!$B$15,$C364&lt;=Inputs!$B$15),IF($C364&lt;$D364,$D364,$C364),IF(AND($E364="Y",$D364&lt;=Inputs!$B$15),$D364,$C364)))))</f>
        <v/>
      </c>
      <c r="G364" s="4" t="str">
        <f>IF($B364="","",IF($C364&lt;=$O364,$D364,IF(AND($E364="Y",$D364&lt;=$O364),$C364,IF(AND($E364="Y",$D364&lt;=Inputs!$B$15,$C364&lt;=Inputs!$B$15),IF($C364&lt;$D364,$C364,$D364),IF(AND($E364="Y",$D364&lt;=Inputs!$B$15),$C364,$D364)))))</f>
        <v/>
      </c>
      <c r="H364" s="3" t="str">
        <f t="shared" si="45"/>
        <v/>
      </c>
      <c r="I364" s="4" t="str">
        <f t="shared" si="47"/>
        <v/>
      </c>
      <c r="J364" s="4" t="str">
        <f t="shared" si="48"/>
        <v/>
      </c>
      <c r="K364" s="4" t="str">
        <f t="shared" si="49"/>
        <v/>
      </c>
      <c r="L364" s="4" t="str">
        <f t="shared" si="50"/>
        <v/>
      </c>
      <c r="M364" s="4" t="str">
        <f t="shared" si="46"/>
        <v/>
      </c>
      <c r="N364" s="4" t="str">
        <f t="shared" si="51"/>
        <v/>
      </c>
      <c r="O364" s="4" t="str">
        <f>IF($B364="","",Inputs!$B$15-$M363)</f>
        <v/>
      </c>
      <c r="P364" s="3" t="str">
        <f t="shared" si="52"/>
        <v/>
      </c>
      <c r="Q364" s="3" t="str">
        <f t="shared" si="53"/>
        <v/>
      </c>
      <c r="R364" s="3" t="str">
        <f>IF($B364="","",IF($Q364,($L363+$N363+$G364)&gt;Inputs!$B$16,FALSE))</f>
        <v/>
      </c>
      <c r="S364" s="3" t="str">
        <f>IF($B364="","",IF(OR($F364&gt;Inputs!$B$15,$G364&gt;Inputs!$B$16),"TOO BIG",IF($R364,"NEW SHEET",IF($Q364,"NEW ROW","OK"))))</f>
        <v/>
      </c>
    </row>
    <row r="365" spans="1:19" x14ac:dyDescent="0.2">
      <c r="A365" s="4">
        <v>359</v>
      </c>
      <c r="B365" s="3" t="str">
        <f>IF(SortedPieces!$B361="","",SortedPieces!$B361)</f>
        <v/>
      </c>
      <c r="C365" s="4" t="str">
        <f>IF(SortedPieces!$C361="","",SortedPieces!$C361)</f>
        <v/>
      </c>
      <c r="D365" s="4" t="str">
        <f>IF(SortedPieces!$D361="","",SortedPieces!$D361)</f>
        <v/>
      </c>
      <c r="E365" s="3" t="str">
        <f>IF(SortedPieces!$E361="","",SortedPieces!$E361)</f>
        <v/>
      </c>
      <c r="F365" s="4" t="str">
        <f>IF($B365="","",IF($C365&lt;=$O365,$C365,IF(AND($E365="Y",$D365&lt;=$O365),$D365,IF(AND($E365="Y",$D365&lt;=Inputs!$B$15,$C365&lt;=Inputs!$B$15),IF($C365&lt;$D365,$D365,$C365),IF(AND($E365="Y",$D365&lt;=Inputs!$B$15),$D365,$C365)))))</f>
        <v/>
      </c>
      <c r="G365" s="4" t="str">
        <f>IF($B365="","",IF($C365&lt;=$O365,$D365,IF(AND($E365="Y",$D365&lt;=$O365),$C365,IF(AND($E365="Y",$D365&lt;=Inputs!$B$15,$C365&lt;=Inputs!$B$15),IF($C365&lt;$D365,$C365,$D365),IF(AND($E365="Y",$D365&lt;=Inputs!$B$15),$C365,$D365)))))</f>
        <v/>
      </c>
      <c r="H365" s="3" t="str">
        <f t="shared" si="45"/>
        <v/>
      </c>
      <c r="I365" s="4" t="str">
        <f t="shared" si="47"/>
        <v/>
      </c>
      <c r="J365" s="4" t="str">
        <f t="shared" si="48"/>
        <v/>
      </c>
      <c r="K365" s="4" t="str">
        <f t="shared" si="49"/>
        <v/>
      </c>
      <c r="L365" s="4" t="str">
        <f t="shared" si="50"/>
        <v/>
      </c>
      <c r="M365" s="4" t="str">
        <f t="shared" si="46"/>
        <v/>
      </c>
      <c r="N365" s="4" t="str">
        <f t="shared" si="51"/>
        <v/>
      </c>
      <c r="O365" s="4" t="str">
        <f>IF($B365="","",Inputs!$B$15-$M364)</f>
        <v/>
      </c>
      <c r="P365" s="3" t="str">
        <f t="shared" si="52"/>
        <v/>
      </c>
      <c r="Q365" s="3" t="str">
        <f t="shared" si="53"/>
        <v/>
      </c>
      <c r="R365" s="3" t="str">
        <f>IF($B365="","",IF($Q365,($L364+$N364+$G365)&gt;Inputs!$B$16,FALSE))</f>
        <v/>
      </c>
      <c r="S365" s="3" t="str">
        <f>IF($B365="","",IF(OR($F365&gt;Inputs!$B$15,$G365&gt;Inputs!$B$16),"TOO BIG",IF($R365,"NEW SHEET",IF($Q365,"NEW ROW","OK"))))</f>
        <v/>
      </c>
    </row>
    <row r="366" spans="1:19" x14ac:dyDescent="0.2">
      <c r="A366" s="4">
        <v>360</v>
      </c>
      <c r="B366" s="3" t="str">
        <f>IF(SortedPieces!$B362="","",SortedPieces!$B362)</f>
        <v/>
      </c>
      <c r="C366" s="4" t="str">
        <f>IF(SortedPieces!$C362="","",SortedPieces!$C362)</f>
        <v/>
      </c>
      <c r="D366" s="4" t="str">
        <f>IF(SortedPieces!$D362="","",SortedPieces!$D362)</f>
        <v/>
      </c>
      <c r="E366" s="3" t="str">
        <f>IF(SortedPieces!$E362="","",SortedPieces!$E362)</f>
        <v/>
      </c>
      <c r="F366" s="4" t="str">
        <f>IF($B366="","",IF($C366&lt;=$O366,$C366,IF(AND($E366="Y",$D366&lt;=$O366),$D366,IF(AND($E366="Y",$D366&lt;=Inputs!$B$15,$C366&lt;=Inputs!$B$15),IF($C366&lt;$D366,$D366,$C366),IF(AND($E366="Y",$D366&lt;=Inputs!$B$15),$D366,$C366)))))</f>
        <v/>
      </c>
      <c r="G366" s="4" t="str">
        <f>IF($B366="","",IF($C366&lt;=$O366,$D366,IF(AND($E366="Y",$D366&lt;=$O366),$C366,IF(AND($E366="Y",$D366&lt;=Inputs!$B$15,$C366&lt;=Inputs!$B$15),IF($C366&lt;$D366,$C366,$D366),IF(AND($E366="Y",$D366&lt;=Inputs!$B$15),$C366,$D366)))))</f>
        <v/>
      </c>
      <c r="H366" s="3" t="str">
        <f t="shared" si="45"/>
        <v/>
      </c>
      <c r="I366" s="4" t="str">
        <f t="shared" si="47"/>
        <v/>
      </c>
      <c r="J366" s="4" t="str">
        <f t="shared" si="48"/>
        <v/>
      </c>
      <c r="K366" s="4" t="str">
        <f t="shared" si="49"/>
        <v/>
      </c>
      <c r="L366" s="4" t="str">
        <f t="shared" si="50"/>
        <v/>
      </c>
      <c r="M366" s="4" t="str">
        <f t="shared" si="46"/>
        <v/>
      </c>
      <c r="N366" s="4" t="str">
        <f t="shared" si="51"/>
        <v/>
      </c>
      <c r="O366" s="4" t="str">
        <f>IF($B366="","",Inputs!$B$15-$M365)</f>
        <v/>
      </c>
      <c r="P366" s="3" t="str">
        <f t="shared" si="52"/>
        <v/>
      </c>
      <c r="Q366" s="3" t="str">
        <f t="shared" si="53"/>
        <v/>
      </c>
      <c r="R366" s="3" t="str">
        <f>IF($B366="","",IF($Q366,($L365+$N365+$G366)&gt;Inputs!$B$16,FALSE))</f>
        <v/>
      </c>
      <c r="S366" s="3" t="str">
        <f>IF($B366="","",IF(OR($F366&gt;Inputs!$B$15,$G366&gt;Inputs!$B$16),"TOO BIG",IF($R366,"NEW SHEET",IF($Q366,"NEW ROW","OK"))))</f>
        <v/>
      </c>
    </row>
    <row r="367" spans="1:19" x14ac:dyDescent="0.2">
      <c r="A367" s="4">
        <v>361</v>
      </c>
      <c r="B367" s="3" t="str">
        <f>IF(SortedPieces!$B363="","",SortedPieces!$B363)</f>
        <v/>
      </c>
      <c r="C367" s="4" t="str">
        <f>IF(SortedPieces!$C363="","",SortedPieces!$C363)</f>
        <v/>
      </c>
      <c r="D367" s="4" t="str">
        <f>IF(SortedPieces!$D363="","",SortedPieces!$D363)</f>
        <v/>
      </c>
      <c r="E367" s="3" t="str">
        <f>IF(SortedPieces!$E363="","",SortedPieces!$E363)</f>
        <v/>
      </c>
      <c r="F367" s="4" t="str">
        <f>IF($B367="","",IF($C367&lt;=$O367,$C367,IF(AND($E367="Y",$D367&lt;=$O367),$D367,IF(AND($E367="Y",$D367&lt;=Inputs!$B$15,$C367&lt;=Inputs!$B$15),IF($C367&lt;$D367,$D367,$C367),IF(AND($E367="Y",$D367&lt;=Inputs!$B$15),$D367,$C367)))))</f>
        <v/>
      </c>
      <c r="G367" s="4" t="str">
        <f>IF($B367="","",IF($C367&lt;=$O367,$D367,IF(AND($E367="Y",$D367&lt;=$O367),$C367,IF(AND($E367="Y",$D367&lt;=Inputs!$B$15,$C367&lt;=Inputs!$B$15),IF($C367&lt;$D367,$C367,$D367),IF(AND($E367="Y",$D367&lt;=Inputs!$B$15),$C367,$D367)))))</f>
        <v/>
      </c>
      <c r="H367" s="3" t="str">
        <f t="shared" si="45"/>
        <v/>
      </c>
      <c r="I367" s="4" t="str">
        <f t="shared" si="47"/>
        <v/>
      </c>
      <c r="J367" s="4" t="str">
        <f t="shared" si="48"/>
        <v/>
      </c>
      <c r="K367" s="4" t="str">
        <f t="shared" si="49"/>
        <v/>
      </c>
      <c r="L367" s="4" t="str">
        <f t="shared" si="50"/>
        <v/>
      </c>
      <c r="M367" s="4" t="str">
        <f t="shared" si="46"/>
        <v/>
      </c>
      <c r="N367" s="4" t="str">
        <f t="shared" si="51"/>
        <v/>
      </c>
      <c r="O367" s="4" t="str">
        <f>IF($B367="","",Inputs!$B$15-$M366)</f>
        <v/>
      </c>
      <c r="P367" s="3" t="str">
        <f t="shared" si="52"/>
        <v/>
      </c>
      <c r="Q367" s="3" t="str">
        <f t="shared" si="53"/>
        <v/>
      </c>
      <c r="R367" s="3" t="str">
        <f>IF($B367="","",IF($Q367,($L366+$N366+$G367)&gt;Inputs!$B$16,FALSE))</f>
        <v/>
      </c>
      <c r="S367" s="3" t="str">
        <f>IF($B367="","",IF(OR($F367&gt;Inputs!$B$15,$G367&gt;Inputs!$B$16),"TOO BIG",IF($R367,"NEW SHEET",IF($Q367,"NEW ROW","OK"))))</f>
        <v/>
      </c>
    </row>
    <row r="368" spans="1:19" x14ac:dyDescent="0.2">
      <c r="A368" s="4">
        <v>362</v>
      </c>
      <c r="B368" s="3" t="str">
        <f>IF(SortedPieces!$B364="","",SortedPieces!$B364)</f>
        <v/>
      </c>
      <c r="C368" s="4" t="str">
        <f>IF(SortedPieces!$C364="","",SortedPieces!$C364)</f>
        <v/>
      </c>
      <c r="D368" s="4" t="str">
        <f>IF(SortedPieces!$D364="","",SortedPieces!$D364)</f>
        <v/>
      </c>
      <c r="E368" s="3" t="str">
        <f>IF(SortedPieces!$E364="","",SortedPieces!$E364)</f>
        <v/>
      </c>
      <c r="F368" s="4" t="str">
        <f>IF($B368="","",IF($C368&lt;=$O368,$C368,IF(AND($E368="Y",$D368&lt;=$O368),$D368,IF(AND($E368="Y",$D368&lt;=Inputs!$B$15,$C368&lt;=Inputs!$B$15),IF($C368&lt;$D368,$D368,$C368),IF(AND($E368="Y",$D368&lt;=Inputs!$B$15),$D368,$C368)))))</f>
        <v/>
      </c>
      <c r="G368" s="4" t="str">
        <f>IF($B368="","",IF($C368&lt;=$O368,$D368,IF(AND($E368="Y",$D368&lt;=$O368),$C368,IF(AND($E368="Y",$D368&lt;=Inputs!$B$15,$C368&lt;=Inputs!$B$15),IF($C368&lt;$D368,$C368,$D368),IF(AND($E368="Y",$D368&lt;=Inputs!$B$15),$C368,$D368)))))</f>
        <v/>
      </c>
      <c r="H368" s="3" t="str">
        <f t="shared" si="45"/>
        <v/>
      </c>
      <c r="I368" s="4" t="str">
        <f t="shared" si="47"/>
        <v/>
      </c>
      <c r="J368" s="4" t="str">
        <f t="shared" si="48"/>
        <v/>
      </c>
      <c r="K368" s="4" t="str">
        <f t="shared" si="49"/>
        <v/>
      </c>
      <c r="L368" s="4" t="str">
        <f t="shared" si="50"/>
        <v/>
      </c>
      <c r="M368" s="4" t="str">
        <f t="shared" si="46"/>
        <v/>
      </c>
      <c r="N368" s="4" t="str">
        <f t="shared" si="51"/>
        <v/>
      </c>
      <c r="O368" s="4" t="str">
        <f>IF($B368="","",Inputs!$B$15-$M367)</f>
        <v/>
      </c>
      <c r="P368" s="3" t="str">
        <f t="shared" si="52"/>
        <v/>
      </c>
      <c r="Q368" s="3" t="str">
        <f t="shared" si="53"/>
        <v/>
      </c>
      <c r="R368" s="3" t="str">
        <f>IF($B368="","",IF($Q368,($L367+$N367+$G368)&gt;Inputs!$B$16,FALSE))</f>
        <v/>
      </c>
      <c r="S368" s="3" t="str">
        <f>IF($B368="","",IF(OR($F368&gt;Inputs!$B$15,$G368&gt;Inputs!$B$16),"TOO BIG",IF($R368,"NEW SHEET",IF($Q368,"NEW ROW","OK"))))</f>
        <v/>
      </c>
    </row>
    <row r="369" spans="1:19" x14ac:dyDescent="0.2">
      <c r="A369" s="4">
        <v>363</v>
      </c>
      <c r="B369" s="3" t="str">
        <f>IF(SortedPieces!$B365="","",SortedPieces!$B365)</f>
        <v/>
      </c>
      <c r="C369" s="4" t="str">
        <f>IF(SortedPieces!$C365="","",SortedPieces!$C365)</f>
        <v/>
      </c>
      <c r="D369" s="4" t="str">
        <f>IF(SortedPieces!$D365="","",SortedPieces!$D365)</f>
        <v/>
      </c>
      <c r="E369" s="3" t="str">
        <f>IF(SortedPieces!$E365="","",SortedPieces!$E365)</f>
        <v/>
      </c>
      <c r="F369" s="4" t="str">
        <f>IF($B369="","",IF($C369&lt;=$O369,$C369,IF(AND($E369="Y",$D369&lt;=$O369),$D369,IF(AND($E369="Y",$D369&lt;=Inputs!$B$15,$C369&lt;=Inputs!$B$15),IF($C369&lt;$D369,$D369,$C369),IF(AND($E369="Y",$D369&lt;=Inputs!$B$15),$D369,$C369)))))</f>
        <v/>
      </c>
      <c r="G369" s="4" t="str">
        <f>IF($B369="","",IF($C369&lt;=$O369,$D369,IF(AND($E369="Y",$D369&lt;=$O369),$C369,IF(AND($E369="Y",$D369&lt;=Inputs!$B$15,$C369&lt;=Inputs!$B$15),IF($C369&lt;$D369,$C369,$D369),IF(AND($E369="Y",$D369&lt;=Inputs!$B$15),$C369,$D369)))))</f>
        <v/>
      </c>
      <c r="H369" s="3" t="str">
        <f t="shared" si="45"/>
        <v/>
      </c>
      <c r="I369" s="4" t="str">
        <f t="shared" si="47"/>
        <v/>
      </c>
      <c r="J369" s="4" t="str">
        <f t="shared" si="48"/>
        <v/>
      </c>
      <c r="K369" s="4" t="str">
        <f t="shared" si="49"/>
        <v/>
      </c>
      <c r="L369" s="4" t="str">
        <f t="shared" si="50"/>
        <v/>
      </c>
      <c r="M369" s="4" t="str">
        <f t="shared" si="46"/>
        <v/>
      </c>
      <c r="N369" s="4" t="str">
        <f t="shared" si="51"/>
        <v/>
      </c>
      <c r="O369" s="4" t="str">
        <f>IF($B369="","",Inputs!$B$15-$M368)</f>
        <v/>
      </c>
      <c r="P369" s="3" t="str">
        <f t="shared" si="52"/>
        <v/>
      </c>
      <c r="Q369" s="3" t="str">
        <f t="shared" si="53"/>
        <v/>
      </c>
      <c r="R369" s="3" t="str">
        <f>IF($B369="","",IF($Q369,($L368+$N368+$G369)&gt;Inputs!$B$16,FALSE))</f>
        <v/>
      </c>
      <c r="S369" s="3" t="str">
        <f>IF($B369="","",IF(OR($F369&gt;Inputs!$B$15,$G369&gt;Inputs!$B$16),"TOO BIG",IF($R369,"NEW SHEET",IF($Q369,"NEW ROW","OK"))))</f>
        <v/>
      </c>
    </row>
    <row r="370" spans="1:19" x14ac:dyDescent="0.2">
      <c r="A370" s="4">
        <v>364</v>
      </c>
      <c r="B370" s="3" t="str">
        <f>IF(SortedPieces!$B366="","",SortedPieces!$B366)</f>
        <v/>
      </c>
      <c r="C370" s="4" t="str">
        <f>IF(SortedPieces!$C366="","",SortedPieces!$C366)</f>
        <v/>
      </c>
      <c r="D370" s="4" t="str">
        <f>IF(SortedPieces!$D366="","",SortedPieces!$D366)</f>
        <v/>
      </c>
      <c r="E370" s="3" t="str">
        <f>IF(SortedPieces!$E366="","",SortedPieces!$E366)</f>
        <v/>
      </c>
      <c r="F370" s="4" t="str">
        <f>IF($B370="","",IF($C370&lt;=$O370,$C370,IF(AND($E370="Y",$D370&lt;=$O370),$D370,IF(AND($E370="Y",$D370&lt;=Inputs!$B$15,$C370&lt;=Inputs!$B$15),IF($C370&lt;$D370,$D370,$C370),IF(AND($E370="Y",$D370&lt;=Inputs!$B$15),$D370,$C370)))))</f>
        <v/>
      </c>
      <c r="G370" s="4" t="str">
        <f>IF($B370="","",IF($C370&lt;=$O370,$D370,IF(AND($E370="Y",$D370&lt;=$O370),$C370,IF(AND($E370="Y",$D370&lt;=Inputs!$B$15,$C370&lt;=Inputs!$B$15),IF($C370&lt;$D370,$C370,$D370),IF(AND($E370="Y",$D370&lt;=Inputs!$B$15),$C370,$D370)))))</f>
        <v/>
      </c>
      <c r="H370" s="3" t="str">
        <f t="shared" si="45"/>
        <v/>
      </c>
      <c r="I370" s="4" t="str">
        <f t="shared" si="47"/>
        <v/>
      </c>
      <c r="J370" s="4" t="str">
        <f t="shared" si="48"/>
        <v/>
      </c>
      <c r="K370" s="4" t="str">
        <f t="shared" si="49"/>
        <v/>
      </c>
      <c r="L370" s="4" t="str">
        <f t="shared" si="50"/>
        <v/>
      </c>
      <c r="M370" s="4" t="str">
        <f t="shared" si="46"/>
        <v/>
      </c>
      <c r="N370" s="4" t="str">
        <f t="shared" si="51"/>
        <v/>
      </c>
      <c r="O370" s="4" t="str">
        <f>IF($B370="","",Inputs!$B$15-$M369)</f>
        <v/>
      </c>
      <c r="P370" s="3" t="str">
        <f t="shared" si="52"/>
        <v/>
      </c>
      <c r="Q370" s="3" t="str">
        <f t="shared" si="53"/>
        <v/>
      </c>
      <c r="R370" s="3" t="str">
        <f>IF($B370="","",IF($Q370,($L369+$N369+$G370)&gt;Inputs!$B$16,FALSE))</f>
        <v/>
      </c>
      <c r="S370" s="3" t="str">
        <f>IF($B370="","",IF(OR($F370&gt;Inputs!$B$15,$G370&gt;Inputs!$B$16),"TOO BIG",IF($R370,"NEW SHEET",IF($Q370,"NEW ROW","OK"))))</f>
        <v/>
      </c>
    </row>
    <row r="371" spans="1:19" x14ac:dyDescent="0.2">
      <c r="A371" s="4">
        <v>365</v>
      </c>
      <c r="B371" s="3" t="str">
        <f>IF(SortedPieces!$B367="","",SortedPieces!$B367)</f>
        <v/>
      </c>
      <c r="C371" s="4" t="str">
        <f>IF(SortedPieces!$C367="","",SortedPieces!$C367)</f>
        <v/>
      </c>
      <c r="D371" s="4" t="str">
        <f>IF(SortedPieces!$D367="","",SortedPieces!$D367)</f>
        <v/>
      </c>
      <c r="E371" s="3" t="str">
        <f>IF(SortedPieces!$E367="","",SortedPieces!$E367)</f>
        <v/>
      </c>
      <c r="F371" s="4" t="str">
        <f>IF($B371="","",IF($C371&lt;=$O371,$C371,IF(AND($E371="Y",$D371&lt;=$O371),$D371,IF(AND($E371="Y",$D371&lt;=Inputs!$B$15,$C371&lt;=Inputs!$B$15),IF($C371&lt;$D371,$D371,$C371),IF(AND($E371="Y",$D371&lt;=Inputs!$B$15),$D371,$C371)))))</f>
        <v/>
      </c>
      <c r="G371" s="4" t="str">
        <f>IF($B371="","",IF($C371&lt;=$O371,$D371,IF(AND($E371="Y",$D371&lt;=$O371),$C371,IF(AND($E371="Y",$D371&lt;=Inputs!$B$15,$C371&lt;=Inputs!$B$15),IF($C371&lt;$D371,$C371,$D371),IF(AND($E371="Y",$D371&lt;=Inputs!$B$15),$C371,$D371)))))</f>
        <v/>
      </c>
      <c r="H371" s="3" t="str">
        <f t="shared" si="45"/>
        <v/>
      </c>
      <c r="I371" s="4" t="str">
        <f t="shared" si="47"/>
        <v/>
      </c>
      <c r="J371" s="4" t="str">
        <f t="shared" si="48"/>
        <v/>
      </c>
      <c r="K371" s="4" t="str">
        <f t="shared" si="49"/>
        <v/>
      </c>
      <c r="L371" s="4" t="str">
        <f t="shared" si="50"/>
        <v/>
      </c>
      <c r="M371" s="4" t="str">
        <f t="shared" si="46"/>
        <v/>
      </c>
      <c r="N371" s="4" t="str">
        <f t="shared" si="51"/>
        <v/>
      </c>
      <c r="O371" s="4" t="str">
        <f>IF($B371="","",Inputs!$B$15-$M370)</f>
        <v/>
      </c>
      <c r="P371" s="3" t="str">
        <f t="shared" si="52"/>
        <v/>
      </c>
      <c r="Q371" s="3" t="str">
        <f t="shared" si="53"/>
        <v/>
      </c>
      <c r="R371" s="3" t="str">
        <f>IF($B371="","",IF($Q371,($L370+$N370+$G371)&gt;Inputs!$B$16,FALSE))</f>
        <v/>
      </c>
      <c r="S371" s="3" t="str">
        <f>IF($B371="","",IF(OR($F371&gt;Inputs!$B$15,$G371&gt;Inputs!$B$16),"TOO BIG",IF($R371,"NEW SHEET",IF($Q371,"NEW ROW","OK"))))</f>
        <v/>
      </c>
    </row>
    <row r="372" spans="1:19" x14ac:dyDescent="0.2">
      <c r="A372" s="4">
        <v>366</v>
      </c>
      <c r="B372" s="3" t="str">
        <f>IF(SortedPieces!$B368="","",SortedPieces!$B368)</f>
        <v/>
      </c>
      <c r="C372" s="4" t="str">
        <f>IF(SortedPieces!$C368="","",SortedPieces!$C368)</f>
        <v/>
      </c>
      <c r="D372" s="4" t="str">
        <f>IF(SortedPieces!$D368="","",SortedPieces!$D368)</f>
        <v/>
      </c>
      <c r="E372" s="3" t="str">
        <f>IF(SortedPieces!$E368="","",SortedPieces!$E368)</f>
        <v/>
      </c>
      <c r="F372" s="4" t="str">
        <f>IF($B372="","",IF($C372&lt;=$O372,$C372,IF(AND($E372="Y",$D372&lt;=$O372),$D372,IF(AND($E372="Y",$D372&lt;=Inputs!$B$15,$C372&lt;=Inputs!$B$15),IF($C372&lt;$D372,$D372,$C372),IF(AND($E372="Y",$D372&lt;=Inputs!$B$15),$D372,$C372)))))</f>
        <v/>
      </c>
      <c r="G372" s="4" t="str">
        <f>IF($B372="","",IF($C372&lt;=$O372,$D372,IF(AND($E372="Y",$D372&lt;=$O372),$C372,IF(AND($E372="Y",$D372&lt;=Inputs!$B$15,$C372&lt;=Inputs!$B$15),IF($C372&lt;$D372,$C372,$D372),IF(AND($E372="Y",$D372&lt;=Inputs!$B$15),$C372,$D372)))))</f>
        <v/>
      </c>
      <c r="H372" s="3" t="str">
        <f t="shared" si="45"/>
        <v/>
      </c>
      <c r="I372" s="4" t="str">
        <f t="shared" si="47"/>
        <v/>
      </c>
      <c r="J372" s="4" t="str">
        <f t="shared" si="48"/>
        <v/>
      </c>
      <c r="K372" s="4" t="str">
        <f t="shared" si="49"/>
        <v/>
      </c>
      <c r="L372" s="4" t="str">
        <f t="shared" si="50"/>
        <v/>
      </c>
      <c r="M372" s="4" t="str">
        <f t="shared" si="46"/>
        <v/>
      </c>
      <c r="N372" s="4" t="str">
        <f t="shared" si="51"/>
        <v/>
      </c>
      <c r="O372" s="4" t="str">
        <f>IF($B372="","",Inputs!$B$15-$M371)</f>
        <v/>
      </c>
      <c r="P372" s="3" t="str">
        <f t="shared" si="52"/>
        <v/>
      </c>
      <c r="Q372" s="3" t="str">
        <f t="shared" si="53"/>
        <v/>
      </c>
      <c r="R372" s="3" t="str">
        <f>IF($B372="","",IF($Q372,($L371+$N371+$G372)&gt;Inputs!$B$16,FALSE))</f>
        <v/>
      </c>
      <c r="S372" s="3" t="str">
        <f>IF($B372="","",IF(OR($F372&gt;Inputs!$B$15,$G372&gt;Inputs!$B$16),"TOO BIG",IF($R372,"NEW SHEET",IF($Q372,"NEW ROW","OK"))))</f>
        <v/>
      </c>
    </row>
    <row r="373" spans="1:19" x14ac:dyDescent="0.2">
      <c r="A373" s="4">
        <v>367</v>
      </c>
      <c r="B373" s="3" t="str">
        <f>IF(SortedPieces!$B369="","",SortedPieces!$B369)</f>
        <v/>
      </c>
      <c r="C373" s="4" t="str">
        <f>IF(SortedPieces!$C369="","",SortedPieces!$C369)</f>
        <v/>
      </c>
      <c r="D373" s="4" t="str">
        <f>IF(SortedPieces!$D369="","",SortedPieces!$D369)</f>
        <v/>
      </c>
      <c r="E373" s="3" t="str">
        <f>IF(SortedPieces!$E369="","",SortedPieces!$E369)</f>
        <v/>
      </c>
      <c r="F373" s="4" t="str">
        <f>IF($B373="","",IF($C373&lt;=$O373,$C373,IF(AND($E373="Y",$D373&lt;=$O373),$D373,IF(AND($E373="Y",$D373&lt;=Inputs!$B$15,$C373&lt;=Inputs!$B$15),IF($C373&lt;$D373,$D373,$C373),IF(AND($E373="Y",$D373&lt;=Inputs!$B$15),$D373,$C373)))))</f>
        <v/>
      </c>
      <c r="G373" s="4" t="str">
        <f>IF($B373="","",IF($C373&lt;=$O373,$D373,IF(AND($E373="Y",$D373&lt;=$O373),$C373,IF(AND($E373="Y",$D373&lt;=Inputs!$B$15,$C373&lt;=Inputs!$B$15),IF($C373&lt;$D373,$C373,$D373),IF(AND($E373="Y",$D373&lt;=Inputs!$B$15),$C373,$D373)))))</f>
        <v/>
      </c>
      <c r="H373" s="3" t="str">
        <f t="shared" si="45"/>
        <v/>
      </c>
      <c r="I373" s="4" t="str">
        <f t="shared" si="47"/>
        <v/>
      </c>
      <c r="J373" s="4" t="str">
        <f t="shared" si="48"/>
        <v/>
      </c>
      <c r="K373" s="4" t="str">
        <f t="shared" si="49"/>
        <v/>
      </c>
      <c r="L373" s="4" t="str">
        <f t="shared" si="50"/>
        <v/>
      </c>
      <c r="M373" s="4" t="str">
        <f t="shared" si="46"/>
        <v/>
      </c>
      <c r="N373" s="4" t="str">
        <f t="shared" si="51"/>
        <v/>
      </c>
      <c r="O373" s="4" t="str">
        <f>IF($B373="","",Inputs!$B$15-$M372)</f>
        <v/>
      </c>
      <c r="P373" s="3" t="str">
        <f t="shared" si="52"/>
        <v/>
      </c>
      <c r="Q373" s="3" t="str">
        <f t="shared" si="53"/>
        <v/>
      </c>
      <c r="R373" s="3" t="str">
        <f>IF($B373="","",IF($Q373,($L372+$N372+$G373)&gt;Inputs!$B$16,FALSE))</f>
        <v/>
      </c>
      <c r="S373" s="3" t="str">
        <f>IF($B373="","",IF(OR($F373&gt;Inputs!$B$15,$G373&gt;Inputs!$B$16),"TOO BIG",IF($R373,"NEW SHEET",IF($Q373,"NEW ROW","OK"))))</f>
        <v/>
      </c>
    </row>
    <row r="374" spans="1:19" x14ac:dyDescent="0.2">
      <c r="A374" s="4">
        <v>368</v>
      </c>
      <c r="B374" s="3" t="str">
        <f>IF(SortedPieces!$B370="","",SortedPieces!$B370)</f>
        <v/>
      </c>
      <c r="C374" s="4" t="str">
        <f>IF(SortedPieces!$C370="","",SortedPieces!$C370)</f>
        <v/>
      </c>
      <c r="D374" s="4" t="str">
        <f>IF(SortedPieces!$D370="","",SortedPieces!$D370)</f>
        <v/>
      </c>
      <c r="E374" s="3" t="str">
        <f>IF(SortedPieces!$E370="","",SortedPieces!$E370)</f>
        <v/>
      </c>
      <c r="F374" s="4" t="str">
        <f>IF($B374="","",IF($C374&lt;=$O374,$C374,IF(AND($E374="Y",$D374&lt;=$O374),$D374,IF(AND($E374="Y",$D374&lt;=Inputs!$B$15,$C374&lt;=Inputs!$B$15),IF($C374&lt;$D374,$D374,$C374),IF(AND($E374="Y",$D374&lt;=Inputs!$B$15),$D374,$C374)))))</f>
        <v/>
      </c>
      <c r="G374" s="4" t="str">
        <f>IF($B374="","",IF($C374&lt;=$O374,$D374,IF(AND($E374="Y",$D374&lt;=$O374),$C374,IF(AND($E374="Y",$D374&lt;=Inputs!$B$15,$C374&lt;=Inputs!$B$15),IF($C374&lt;$D374,$C374,$D374),IF(AND($E374="Y",$D374&lt;=Inputs!$B$15),$C374,$D374)))))</f>
        <v/>
      </c>
      <c r="H374" s="3" t="str">
        <f t="shared" si="45"/>
        <v/>
      </c>
      <c r="I374" s="4" t="str">
        <f t="shared" si="47"/>
        <v/>
      </c>
      <c r="J374" s="4" t="str">
        <f t="shared" si="48"/>
        <v/>
      </c>
      <c r="K374" s="4" t="str">
        <f t="shared" si="49"/>
        <v/>
      </c>
      <c r="L374" s="4" t="str">
        <f t="shared" si="50"/>
        <v/>
      </c>
      <c r="M374" s="4" t="str">
        <f t="shared" si="46"/>
        <v/>
      </c>
      <c r="N374" s="4" t="str">
        <f t="shared" si="51"/>
        <v/>
      </c>
      <c r="O374" s="4" t="str">
        <f>IF($B374="","",Inputs!$B$15-$M373)</f>
        <v/>
      </c>
      <c r="P374" s="3" t="str">
        <f t="shared" si="52"/>
        <v/>
      </c>
      <c r="Q374" s="3" t="str">
        <f t="shared" si="53"/>
        <v/>
      </c>
      <c r="R374" s="3" t="str">
        <f>IF($B374="","",IF($Q374,($L373+$N373+$G374)&gt;Inputs!$B$16,FALSE))</f>
        <v/>
      </c>
      <c r="S374" s="3" t="str">
        <f>IF($B374="","",IF(OR($F374&gt;Inputs!$B$15,$G374&gt;Inputs!$B$16),"TOO BIG",IF($R374,"NEW SHEET",IF($Q374,"NEW ROW","OK"))))</f>
        <v/>
      </c>
    </row>
    <row r="375" spans="1:19" x14ac:dyDescent="0.2">
      <c r="A375" s="4">
        <v>369</v>
      </c>
      <c r="B375" s="3" t="str">
        <f>IF(SortedPieces!$B371="","",SortedPieces!$B371)</f>
        <v/>
      </c>
      <c r="C375" s="4" t="str">
        <f>IF(SortedPieces!$C371="","",SortedPieces!$C371)</f>
        <v/>
      </c>
      <c r="D375" s="4" t="str">
        <f>IF(SortedPieces!$D371="","",SortedPieces!$D371)</f>
        <v/>
      </c>
      <c r="E375" s="3" t="str">
        <f>IF(SortedPieces!$E371="","",SortedPieces!$E371)</f>
        <v/>
      </c>
      <c r="F375" s="4" t="str">
        <f>IF($B375="","",IF($C375&lt;=$O375,$C375,IF(AND($E375="Y",$D375&lt;=$O375),$D375,IF(AND($E375="Y",$D375&lt;=Inputs!$B$15,$C375&lt;=Inputs!$B$15),IF($C375&lt;$D375,$D375,$C375),IF(AND($E375="Y",$D375&lt;=Inputs!$B$15),$D375,$C375)))))</f>
        <v/>
      </c>
      <c r="G375" s="4" t="str">
        <f>IF($B375="","",IF($C375&lt;=$O375,$D375,IF(AND($E375="Y",$D375&lt;=$O375),$C375,IF(AND($E375="Y",$D375&lt;=Inputs!$B$15,$C375&lt;=Inputs!$B$15),IF($C375&lt;$D375,$C375,$D375),IF(AND($E375="Y",$D375&lt;=Inputs!$B$15),$C375,$D375)))))</f>
        <v/>
      </c>
      <c r="H375" s="3" t="str">
        <f t="shared" si="45"/>
        <v/>
      </c>
      <c r="I375" s="4" t="str">
        <f t="shared" si="47"/>
        <v/>
      </c>
      <c r="J375" s="4" t="str">
        <f t="shared" si="48"/>
        <v/>
      </c>
      <c r="K375" s="4" t="str">
        <f t="shared" si="49"/>
        <v/>
      </c>
      <c r="L375" s="4" t="str">
        <f t="shared" si="50"/>
        <v/>
      </c>
      <c r="M375" s="4" t="str">
        <f t="shared" si="46"/>
        <v/>
      </c>
      <c r="N375" s="4" t="str">
        <f t="shared" si="51"/>
        <v/>
      </c>
      <c r="O375" s="4" t="str">
        <f>IF($B375="","",Inputs!$B$15-$M374)</f>
        <v/>
      </c>
      <c r="P375" s="3" t="str">
        <f t="shared" si="52"/>
        <v/>
      </c>
      <c r="Q375" s="3" t="str">
        <f t="shared" si="53"/>
        <v/>
      </c>
      <c r="R375" s="3" t="str">
        <f>IF($B375="","",IF($Q375,($L374+$N374+$G375)&gt;Inputs!$B$16,FALSE))</f>
        <v/>
      </c>
      <c r="S375" s="3" t="str">
        <f>IF($B375="","",IF(OR($F375&gt;Inputs!$B$15,$G375&gt;Inputs!$B$16),"TOO BIG",IF($R375,"NEW SHEET",IF($Q375,"NEW ROW","OK"))))</f>
        <v/>
      </c>
    </row>
    <row r="376" spans="1:19" x14ac:dyDescent="0.2">
      <c r="A376" s="4">
        <v>370</v>
      </c>
      <c r="B376" s="3" t="str">
        <f>IF(SortedPieces!$B372="","",SortedPieces!$B372)</f>
        <v/>
      </c>
      <c r="C376" s="4" t="str">
        <f>IF(SortedPieces!$C372="","",SortedPieces!$C372)</f>
        <v/>
      </c>
      <c r="D376" s="4" t="str">
        <f>IF(SortedPieces!$D372="","",SortedPieces!$D372)</f>
        <v/>
      </c>
      <c r="E376" s="3" t="str">
        <f>IF(SortedPieces!$E372="","",SortedPieces!$E372)</f>
        <v/>
      </c>
      <c r="F376" s="4" t="str">
        <f>IF($B376="","",IF($C376&lt;=$O376,$C376,IF(AND($E376="Y",$D376&lt;=$O376),$D376,IF(AND($E376="Y",$D376&lt;=Inputs!$B$15,$C376&lt;=Inputs!$B$15),IF($C376&lt;$D376,$D376,$C376),IF(AND($E376="Y",$D376&lt;=Inputs!$B$15),$D376,$C376)))))</f>
        <v/>
      </c>
      <c r="G376" s="4" t="str">
        <f>IF($B376="","",IF($C376&lt;=$O376,$D376,IF(AND($E376="Y",$D376&lt;=$O376),$C376,IF(AND($E376="Y",$D376&lt;=Inputs!$B$15,$C376&lt;=Inputs!$B$15),IF($C376&lt;$D376,$C376,$D376),IF(AND($E376="Y",$D376&lt;=Inputs!$B$15),$C376,$D376)))))</f>
        <v/>
      </c>
      <c r="H376" s="3" t="str">
        <f t="shared" si="45"/>
        <v/>
      </c>
      <c r="I376" s="4" t="str">
        <f t="shared" si="47"/>
        <v/>
      </c>
      <c r="J376" s="4" t="str">
        <f t="shared" si="48"/>
        <v/>
      </c>
      <c r="K376" s="4" t="str">
        <f t="shared" si="49"/>
        <v/>
      </c>
      <c r="L376" s="4" t="str">
        <f t="shared" si="50"/>
        <v/>
      </c>
      <c r="M376" s="4" t="str">
        <f t="shared" si="46"/>
        <v/>
      </c>
      <c r="N376" s="4" t="str">
        <f t="shared" si="51"/>
        <v/>
      </c>
      <c r="O376" s="4" t="str">
        <f>IF($B376="","",Inputs!$B$15-$M375)</f>
        <v/>
      </c>
      <c r="P376" s="3" t="str">
        <f t="shared" si="52"/>
        <v/>
      </c>
      <c r="Q376" s="3" t="str">
        <f t="shared" si="53"/>
        <v/>
      </c>
      <c r="R376" s="3" t="str">
        <f>IF($B376="","",IF($Q376,($L375+$N375+$G376)&gt;Inputs!$B$16,FALSE))</f>
        <v/>
      </c>
      <c r="S376" s="3" t="str">
        <f>IF($B376="","",IF(OR($F376&gt;Inputs!$B$15,$G376&gt;Inputs!$B$16),"TOO BIG",IF($R376,"NEW SHEET",IF($Q376,"NEW ROW","OK"))))</f>
        <v/>
      </c>
    </row>
    <row r="377" spans="1:19" x14ac:dyDescent="0.2">
      <c r="A377" s="4">
        <v>371</v>
      </c>
      <c r="B377" s="3" t="str">
        <f>IF(SortedPieces!$B373="","",SortedPieces!$B373)</f>
        <v/>
      </c>
      <c r="C377" s="4" t="str">
        <f>IF(SortedPieces!$C373="","",SortedPieces!$C373)</f>
        <v/>
      </c>
      <c r="D377" s="4" t="str">
        <f>IF(SortedPieces!$D373="","",SortedPieces!$D373)</f>
        <v/>
      </c>
      <c r="E377" s="3" t="str">
        <f>IF(SortedPieces!$E373="","",SortedPieces!$E373)</f>
        <v/>
      </c>
      <c r="F377" s="4" t="str">
        <f>IF($B377="","",IF($C377&lt;=$O377,$C377,IF(AND($E377="Y",$D377&lt;=$O377),$D377,IF(AND($E377="Y",$D377&lt;=Inputs!$B$15,$C377&lt;=Inputs!$B$15),IF($C377&lt;$D377,$D377,$C377),IF(AND($E377="Y",$D377&lt;=Inputs!$B$15),$D377,$C377)))))</f>
        <v/>
      </c>
      <c r="G377" s="4" t="str">
        <f>IF($B377="","",IF($C377&lt;=$O377,$D377,IF(AND($E377="Y",$D377&lt;=$O377),$C377,IF(AND($E377="Y",$D377&lt;=Inputs!$B$15,$C377&lt;=Inputs!$B$15),IF($C377&lt;$D377,$C377,$D377),IF(AND($E377="Y",$D377&lt;=Inputs!$B$15),$C377,$D377)))))</f>
        <v/>
      </c>
      <c r="H377" s="3" t="str">
        <f t="shared" si="45"/>
        <v/>
      </c>
      <c r="I377" s="4" t="str">
        <f t="shared" si="47"/>
        <v/>
      </c>
      <c r="J377" s="4" t="str">
        <f t="shared" si="48"/>
        <v/>
      </c>
      <c r="K377" s="4" t="str">
        <f t="shared" si="49"/>
        <v/>
      </c>
      <c r="L377" s="4" t="str">
        <f t="shared" si="50"/>
        <v/>
      </c>
      <c r="M377" s="4" t="str">
        <f t="shared" si="46"/>
        <v/>
      </c>
      <c r="N377" s="4" t="str">
        <f t="shared" si="51"/>
        <v/>
      </c>
      <c r="O377" s="4" t="str">
        <f>IF($B377="","",Inputs!$B$15-$M376)</f>
        <v/>
      </c>
      <c r="P377" s="3" t="str">
        <f t="shared" si="52"/>
        <v/>
      </c>
      <c r="Q377" s="3" t="str">
        <f t="shared" si="53"/>
        <v/>
      </c>
      <c r="R377" s="3" t="str">
        <f>IF($B377="","",IF($Q377,($L376+$N376+$G377)&gt;Inputs!$B$16,FALSE))</f>
        <v/>
      </c>
      <c r="S377" s="3" t="str">
        <f>IF($B377="","",IF(OR($F377&gt;Inputs!$B$15,$G377&gt;Inputs!$B$16),"TOO BIG",IF($R377,"NEW SHEET",IF($Q377,"NEW ROW","OK"))))</f>
        <v/>
      </c>
    </row>
    <row r="378" spans="1:19" x14ac:dyDescent="0.2">
      <c r="A378" s="4">
        <v>372</v>
      </c>
      <c r="B378" s="3" t="str">
        <f>IF(SortedPieces!$B374="","",SortedPieces!$B374)</f>
        <v/>
      </c>
      <c r="C378" s="4" t="str">
        <f>IF(SortedPieces!$C374="","",SortedPieces!$C374)</f>
        <v/>
      </c>
      <c r="D378" s="4" t="str">
        <f>IF(SortedPieces!$D374="","",SortedPieces!$D374)</f>
        <v/>
      </c>
      <c r="E378" s="3" t="str">
        <f>IF(SortedPieces!$E374="","",SortedPieces!$E374)</f>
        <v/>
      </c>
      <c r="F378" s="4" t="str">
        <f>IF($B378="","",IF($C378&lt;=$O378,$C378,IF(AND($E378="Y",$D378&lt;=$O378),$D378,IF(AND($E378="Y",$D378&lt;=Inputs!$B$15,$C378&lt;=Inputs!$B$15),IF($C378&lt;$D378,$D378,$C378),IF(AND($E378="Y",$D378&lt;=Inputs!$B$15),$D378,$C378)))))</f>
        <v/>
      </c>
      <c r="G378" s="4" t="str">
        <f>IF($B378="","",IF($C378&lt;=$O378,$D378,IF(AND($E378="Y",$D378&lt;=$O378),$C378,IF(AND($E378="Y",$D378&lt;=Inputs!$B$15,$C378&lt;=Inputs!$B$15),IF($C378&lt;$D378,$C378,$D378),IF(AND($E378="Y",$D378&lt;=Inputs!$B$15),$C378,$D378)))))</f>
        <v/>
      </c>
      <c r="H378" s="3" t="str">
        <f t="shared" si="45"/>
        <v/>
      </c>
      <c r="I378" s="4" t="str">
        <f t="shared" si="47"/>
        <v/>
      </c>
      <c r="J378" s="4" t="str">
        <f t="shared" si="48"/>
        <v/>
      </c>
      <c r="K378" s="4" t="str">
        <f t="shared" si="49"/>
        <v/>
      </c>
      <c r="L378" s="4" t="str">
        <f t="shared" si="50"/>
        <v/>
      </c>
      <c r="M378" s="4" t="str">
        <f t="shared" si="46"/>
        <v/>
      </c>
      <c r="N378" s="4" t="str">
        <f t="shared" si="51"/>
        <v/>
      </c>
      <c r="O378" s="4" t="str">
        <f>IF($B378="","",Inputs!$B$15-$M377)</f>
        <v/>
      </c>
      <c r="P378" s="3" t="str">
        <f t="shared" si="52"/>
        <v/>
      </c>
      <c r="Q378" s="3" t="str">
        <f t="shared" si="53"/>
        <v/>
      </c>
      <c r="R378" s="3" t="str">
        <f>IF($B378="","",IF($Q378,($L377+$N377+$G378)&gt;Inputs!$B$16,FALSE))</f>
        <v/>
      </c>
      <c r="S378" s="3" t="str">
        <f>IF($B378="","",IF(OR($F378&gt;Inputs!$B$15,$G378&gt;Inputs!$B$16),"TOO BIG",IF($R378,"NEW SHEET",IF($Q378,"NEW ROW","OK"))))</f>
        <v/>
      </c>
    </row>
    <row r="379" spans="1:19" x14ac:dyDescent="0.2">
      <c r="A379" s="4">
        <v>373</v>
      </c>
      <c r="B379" s="3" t="str">
        <f>IF(SortedPieces!$B375="","",SortedPieces!$B375)</f>
        <v/>
      </c>
      <c r="C379" s="4" t="str">
        <f>IF(SortedPieces!$C375="","",SortedPieces!$C375)</f>
        <v/>
      </c>
      <c r="D379" s="4" t="str">
        <f>IF(SortedPieces!$D375="","",SortedPieces!$D375)</f>
        <v/>
      </c>
      <c r="E379" s="3" t="str">
        <f>IF(SortedPieces!$E375="","",SortedPieces!$E375)</f>
        <v/>
      </c>
      <c r="F379" s="4" t="str">
        <f>IF($B379="","",IF($C379&lt;=$O379,$C379,IF(AND($E379="Y",$D379&lt;=$O379),$D379,IF(AND($E379="Y",$D379&lt;=Inputs!$B$15,$C379&lt;=Inputs!$B$15),IF($C379&lt;$D379,$D379,$C379),IF(AND($E379="Y",$D379&lt;=Inputs!$B$15),$D379,$C379)))))</f>
        <v/>
      </c>
      <c r="G379" s="4" t="str">
        <f>IF($B379="","",IF($C379&lt;=$O379,$D379,IF(AND($E379="Y",$D379&lt;=$O379),$C379,IF(AND($E379="Y",$D379&lt;=Inputs!$B$15,$C379&lt;=Inputs!$B$15),IF($C379&lt;$D379,$C379,$D379),IF(AND($E379="Y",$D379&lt;=Inputs!$B$15),$C379,$D379)))))</f>
        <v/>
      </c>
      <c r="H379" s="3" t="str">
        <f t="shared" si="45"/>
        <v/>
      </c>
      <c r="I379" s="4" t="str">
        <f t="shared" si="47"/>
        <v/>
      </c>
      <c r="J379" s="4" t="str">
        <f t="shared" si="48"/>
        <v/>
      </c>
      <c r="K379" s="4" t="str">
        <f t="shared" si="49"/>
        <v/>
      </c>
      <c r="L379" s="4" t="str">
        <f t="shared" si="50"/>
        <v/>
      </c>
      <c r="M379" s="4" t="str">
        <f t="shared" si="46"/>
        <v/>
      </c>
      <c r="N379" s="4" t="str">
        <f t="shared" si="51"/>
        <v/>
      </c>
      <c r="O379" s="4" t="str">
        <f>IF($B379="","",Inputs!$B$15-$M378)</f>
        <v/>
      </c>
      <c r="P379" s="3" t="str">
        <f t="shared" si="52"/>
        <v/>
      </c>
      <c r="Q379" s="3" t="str">
        <f t="shared" si="53"/>
        <v/>
      </c>
      <c r="R379" s="3" t="str">
        <f>IF($B379="","",IF($Q379,($L378+$N378+$G379)&gt;Inputs!$B$16,FALSE))</f>
        <v/>
      </c>
      <c r="S379" s="3" t="str">
        <f>IF($B379="","",IF(OR($F379&gt;Inputs!$B$15,$G379&gt;Inputs!$B$16),"TOO BIG",IF($R379,"NEW SHEET",IF($Q379,"NEW ROW","OK"))))</f>
        <v/>
      </c>
    </row>
    <row r="380" spans="1:19" x14ac:dyDescent="0.2">
      <c r="A380" s="4">
        <v>374</v>
      </c>
      <c r="B380" s="3" t="str">
        <f>IF(SortedPieces!$B376="","",SortedPieces!$B376)</f>
        <v/>
      </c>
      <c r="C380" s="4" t="str">
        <f>IF(SortedPieces!$C376="","",SortedPieces!$C376)</f>
        <v/>
      </c>
      <c r="D380" s="4" t="str">
        <f>IF(SortedPieces!$D376="","",SortedPieces!$D376)</f>
        <v/>
      </c>
      <c r="E380" s="3" t="str">
        <f>IF(SortedPieces!$E376="","",SortedPieces!$E376)</f>
        <v/>
      </c>
      <c r="F380" s="4" t="str">
        <f>IF($B380="","",IF($C380&lt;=$O380,$C380,IF(AND($E380="Y",$D380&lt;=$O380),$D380,IF(AND($E380="Y",$D380&lt;=Inputs!$B$15,$C380&lt;=Inputs!$B$15),IF($C380&lt;$D380,$D380,$C380),IF(AND($E380="Y",$D380&lt;=Inputs!$B$15),$D380,$C380)))))</f>
        <v/>
      </c>
      <c r="G380" s="4" t="str">
        <f>IF($B380="","",IF($C380&lt;=$O380,$D380,IF(AND($E380="Y",$D380&lt;=$O380),$C380,IF(AND($E380="Y",$D380&lt;=Inputs!$B$15,$C380&lt;=Inputs!$B$15),IF($C380&lt;$D380,$C380,$D380),IF(AND($E380="Y",$D380&lt;=Inputs!$B$15),$C380,$D380)))))</f>
        <v/>
      </c>
      <c r="H380" s="3" t="str">
        <f t="shared" si="45"/>
        <v/>
      </c>
      <c r="I380" s="4" t="str">
        <f t="shared" si="47"/>
        <v/>
      </c>
      <c r="J380" s="4" t="str">
        <f t="shared" si="48"/>
        <v/>
      </c>
      <c r="K380" s="4" t="str">
        <f t="shared" si="49"/>
        <v/>
      </c>
      <c r="L380" s="4" t="str">
        <f t="shared" si="50"/>
        <v/>
      </c>
      <c r="M380" s="4" t="str">
        <f t="shared" si="46"/>
        <v/>
      </c>
      <c r="N380" s="4" t="str">
        <f t="shared" si="51"/>
        <v/>
      </c>
      <c r="O380" s="4" t="str">
        <f>IF($B380="","",Inputs!$B$15-$M379)</f>
        <v/>
      </c>
      <c r="P380" s="3" t="str">
        <f t="shared" si="52"/>
        <v/>
      </c>
      <c r="Q380" s="3" t="str">
        <f t="shared" si="53"/>
        <v/>
      </c>
      <c r="R380" s="3" t="str">
        <f>IF($B380="","",IF($Q380,($L379+$N379+$G380)&gt;Inputs!$B$16,FALSE))</f>
        <v/>
      </c>
      <c r="S380" s="3" t="str">
        <f>IF($B380="","",IF(OR($F380&gt;Inputs!$B$15,$G380&gt;Inputs!$B$16),"TOO BIG",IF($R380,"NEW SHEET",IF($Q380,"NEW ROW","OK"))))</f>
        <v/>
      </c>
    </row>
    <row r="381" spans="1:19" x14ac:dyDescent="0.2">
      <c r="A381" s="4">
        <v>375</v>
      </c>
      <c r="B381" s="3" t="str">
        <f>IF(SortedPieces!$B377="","",SortedPieces!$B377)</f>
        <v/>
      </c>
      <c r="C381" s="4" t="str">
        <f>IF(SortedPieces!$C377="","",SortedPieces!$C377)</f>
        <v/>
      </c>
      <c r="D381" s="4" t="str">
        <f>IF(SortedPieces!$D377="","",SortedPieces!$D377)</f>
        <v/>
      </c>
      <c r="E381" s="3" t="str">
        <f>IF(SortedPieces!$E377="","",SortedPieces!$E377)</f>
        <v/>
      </c>
      <c r="F381" s="4" t="str">
        <f>IF($B381="","",IF($C381&lt;=$O381,$C381,IF(AND($E381="Y",$D381&lt;=$O381),$D381,IF(AND($E381="Y",$D381&lt;=Inputs!$B$15,$C381&lt;=Inputs!$B$15),IF($C381&lt;$D381,$D381,$C381),IF(AND($E381="Y",$D381&lt;=Inputs!$B$15),$D381,$C381)))))</f>
        <v/>
      </c>
      <c r="G381" s="4" t="str">
        <f>IF($B381="","",IF($C381&lt;=$O381,$D381,IF(AND($E381="Y",$D381&lt;=$O381),$C381,IF(AND($E381="Y",$D381&lt;=Inputs!$B$15,$C381&lt;=Inputs!$B$15),IF($C381&lt;$D381,$C381,$D381),IF(AND($E381="Y",$D381&lt;=Inputs!$B$15),$C381,$D381)))))</f>
        <v/>
      </c>
      <c r="H381" s="3" t="str">
        <f t="shared" si="45"/>
        <v/>
      </c>
      <c r="I381" s="4" t="str">
        <f t="shared" si="47"/>
        <v/>
      </c>
      <c r="J381" s="4" t="str">
        <f t="shared" si="48"/>
        <v/>
      </c>
      <c r="K381" s="4" t="str">
        <f t="shared" si="49"/>
        <v/>
      </c>
      <c r="L381" s="4" t="str">
        <f t="shared" si="50"/>
        <v/>
      </c>
      <c r="M381" s="4" t="str">
        <f t="shared" si="46"/>
        <v/>
      </c>
      <c r="N381" s="4" t="str">
        <f t="shared" si="51"/>
        <v/>
      </c>
      <c r="O381" s="4" t="str">
        <f>IF($B381="","",Inputs!$B$15-$M380)</f>
        <v/>
      </c>
      <c r="P381" s="3" t="str">
        <f t="shared" si="52"/>
        <v/>
      </c>
      <c r="Q381" s="3" t="str">
        <f t="shared" si="53"/>
        <v/>
      </c>
      <c r="R381" s="3" t="str">
        <f>IF($B381="","",IF($Q381,($L380+$N380+$G381)&gt;Inputs!$B$16,FALSE))</f>
        <v/>
      </c>
      <c r="S381" s="3" t="str">
        <f>IF($B381="","",IF(OR($F381&gt;Inputs!$B$15,$G381&gt;Inputs!$B$16),"TOO BIG",IF($R381,"NEW SHEET",IF($Q381,"NEW ROW","OK"))))</f>
        <v/>
      </c>
    </row>
    <row r="382" spans="1:19" x14ac:dyDescent="0.2">
      <c r="A382" s="4">
        <v>376</v>
      </c>
      <c r="B382" s="3" t="str">
        <f>IF(SortedPieces!$B378="","",SortedPieces!$B378)</f>
        <v/>
      </c>
      <c r="C382" s="4" t="str">
        <f>IF(SortedPieces!$C378="","",SortedPieces!$C378)</f>
        <v/>
      </c>
      <c r="D382" s="4" t="str">
        <f>IF(SortedPieces!$D378="","",SortedPieces!$D378)</f>
        <v/>
      </c>
      <c r="E382" s="3" t="str">
        <f>IF(SortedPieces!$E378="","",SortedPieces!$E378)</f>
        <v/>
      </c>
      <c r="F382" s="4" t="str">
        <f>IF($B382="","",IF($C382&lt;=$O382,$C382,IF(AND($E382="Y",$D382&lt;=$O382),$D382,IF(AND($E382="Y",$D382&lt;=Inputs!$B$15,$C382&lt;=Inputs!$B$15),IF($C382&lt;$D382,$D382,$C382),IF(AND($E382="Y",$D382&lt;=Inputs!$B$15),$D382,$C382)))))</f>
        <v/>
      </c>
      <c r="G382" s="4" t="str">
        <f>IF($B382="","",IF($C382&lt;=$O382,$D382,IF(AND($E382="Y",$D382&lt;=$O382),$C382,IF(AND($E382="Y",$D382&lt;=Inputs!$B$15,$C382&lt;=Inputs!$B$15),IF($C382&lt;$D382,$C382,$D382),IF(AND($E382="Y",$D382&lt;=Inputs!$B$15),$C382,$D382)))))</f>
        <v/>
      </c>
      <c r="H382" s="3" t="str">
        <f t="shared" si="45"/>
        <v/>
      </c>
      <c r="I382" s="4" t="str">
        <f t="shared" si="47"/>
        <v/>
      </c>
      <c r="J382" s="4" t="str">
        <f t="shared" si="48"/>
        <v/>
      </c>
      <c r="K382" s="4" t="str">
        <f t="shared" si="49"/>
        <v/>
      </c>
      <c r="L382" s="4" t="str">
        <f t="shared" si="50"/>
        <v/>
      </c>
      <c r="M382" s="4" t="str">
        <f t="shared" si="46"/>
        <v/>
      </c>
      <c r="N382" s="4" t="str">
        <f t="shared" si="51"/>
        <v/>
      </c>
      <c r="O382" s="4" t="str">
        <f>IF($B382="","",Inputs!$B$15-$M381)</f>
        <v/>
      </c>
      <c r="P382" s="3" t="str">
        <f t="shared" si="52"/>
        <v/>
      </c>
      <c r="Q382" s="3" t="str">
        <f t="shared" si="53"/>
        <v/>
      </c>
      <c r="R382" s="3" t="str">
        <f>IF($B382="","",IF($Q382,($L381+$N381+$G382)&gt;Inputs!$B$16,FALSE))</f>
        <v/>
      </c>
      <c r="S382" s="3" t="str">
        <f>IF($B382="","",IF(OR($F382&gt;Inputs!$B$15,$G382&gt;Inputs!$B$16),"TOO BIG",IF($R382,"NEW SHEET",IF($Q382,"NEW ROW","OK"))))</f>
        <v/>
      </c>
    </row>
    <row r="383" spans="1:19" x14ac:dyDescent="0.2">
      <c r="A383" s="4">
        <v>377</v>
      </c>
      <c r="B383" s="3" t="str">
        <f>IF(SortedPieces!$B379="","",SortedPieces!$B379)</f>
        <v/>
      </c>
      <c r="C383" s="4" t="str">
        <f>IF(SortedPieces!$C379="","",SortedPieces!$C379)</f>
        <v/>
      </c>
      <c r="D383" s="4" t="str">
        <f>IF(SortedPieces!$D379="","",SortedPieces!$D379)</f>
        <v/>
      </c>
      <c r="E383" s="3" t="str">
        <f>IF(SortedPieces!$E379="","",SortedPieces!$E379)</f>
        <v/>
      </c>
      <c r="F383" s="4" t="str">
        <f>IF($B383="","",IF($C383&lt;=$O383,$C383,IF(AND($E383="Y",$D383&lt;=$O383),$D383,IF(AND($E383="Y",$D383&lt;=Inputs!$B$15,$C383&lt;=Inputs!$B$15),IF($C383&lt;$D383,$D383,$C383),IF(AND($E383="Y",$D383&lt;=Inputs!$B$15),$D383,$C383)))))</f>
        <v/>
      </c>
      <c r="G383" s="4" t="str">
        <f>IF($B383="","",IF($C383&lt;=$O383,$D383,IF(AND($E383="Y",$D383&lt;=$O383),$C383,IF(AND($E383="Y",$D383&lt;=Inputs!$B$15,$C383&lt;=Inputs!$B$15),IF($C383&lt;$D383,$C383,$D383),IF(AND($E383="Y",$D383&lt;=Inputs!$B$15),$C383,$D383)))))</f>
        <v/>
      </c>
      <c r="H383" s="3" t="str">
        <f t="shared" si="45"/>
        <v/>
      </c>
      <c r="I383" s="4" t="str">
        <f t="shared" si="47"/>
        <v/>
      </c>
      <c r="J383" s="4" t="str">
        <f t="shared" si="48"/>
        <v/>
      </c>
      <c r="K383" s="4" t="str">
        <f t="shared" si="49"/>
        <v/>
      </c>
      <c r="L383" s="4" t="str">
        <f t="shared" si="50"/>
        <v/>
      </c>
      <c r="M383" s="4" t="str">
        <f t="shared" si="46"/>
        <v/>
      </c>
      <c r="N383" s="4" t="str">
        <f t="shared" si="51"/>
        <v/>
      </c>
      <c r="O383" s="4" t="str">
        <f>IF($B383="","",Inputs!$B$15-$M382)</f>
        <v/>
      </c>
      <c r="P383" s="3" t="str">
        <f t="shared" si="52"/>
        <v/>
      </c>
      <c r="Q383" s="3" t="str">
        <f t="shared" si="53"/>
        <v/>
      </c>
      <c r="R383" s="3" t="str">
        <f>IF($B383="","",IF($Q383,($L382+$N382+$G383)&gt;Inputs!$B$16,FALSE))</f>
        <v/>
      </c>
      <c r="S383" s="3" t="str">
        <f>IF($B383="","",IF(OR($F383&gt;Inputs!$B$15,$G383&gt;Inputs!$B$16),"TOO BIG",IF($R383,"NEW SHEET",IF($Q383,"NEW ROW","OK"))))</f>
        <v/>
      </c>
    </row>
    <row r="384" spans="1:19" x14ac:dyDescent="0.2">
      <c r="A384" s="4">
        <v>378</v>
      </c>
      <c r="B384" s="3" t="str">
        <f>IF(SortedPieces!$B380="","",SortedPieces!$B380)</f>
        <v/>
      </c>
      <c r="C384" s="4" t="str">
        <f>IF(SortedPieces!$C380="","",SortedPieces!$C380)</f>
        <v/>
      </c>
      <c r="D384" s="4" t="str">
        <f>IF(SortedPieces!$D380="","",SortedPieces!$D380)</f>
        <v/>
      </c>
      <c r="E384" s="3" t="str">
        <f>IF(SortedPieces!$E380="","",SortedPieces!$E380)</f>
        <v/>
      </c>
      <c r="F384" s="4" t="str">
        <f>IF($B384="","",IF($C384&lt;=$O384,$C384,IF(AND($E384="Y",$D384&lt;=$O384),$D384,IF(AND($E384="Y",$D384&lt;=Inputs!$B$15,$C384&lt;=Inputs!$B$15),IF($C384&lt;$D384,$D384,$C384),IF(AND($E384="Y",$D384&lt;=Inputs!$B$15),$D384,$C384)))))</f>
        <v/>
      </c>
      <c r="G384" s="4" t="str">
        <f>IF($B384="","",IF($C384&lt;=$O384,$D384,IF(AND($E384="Y",$D384&lt;=$O384),$C384,IF(AND($E384="Y",$D384&lt;=Inputs!$B$15,$C384&lt;=Inputs!$B$15),IF($C384&lt;$D384,$C384,$D384),IF(AND($E384="Y",$D384&lt;=Inputs!$B$15),$C384,$D384)))))</f>
        <v/>
      </c>
      <c r="H384" s="3" t="str">
        <f t="shared" si="45"/>
        <v/>
      </c>
      <c r="I384" s="4" t="str">
        <f t="shared" si="47"/>
        <v/>
      </c>
      <c r="J384" s="4" t="str">
        <f t="shared" si="48"/>
        <v/>
      </c>
      <c r="K384" s="4" t="str">
        <f t="shared" si="49"/>
        <v/>
      </c>
      <c r="L384" s="4" t="str">
        <f t="shared" si="50"/>
        <v/>
      </c>
      <c r="M384" s="4" t="str">
        <f t="shared" si="46"/>
        <v/>
      </c>
      <c r="N384" s="4" t="str">
        <f t="shared" si="51"/>
        <v/>
      </c>
      <c r="O384" s="4" t="str">
        <f>IF($B384="","",Inputs!$B$15-$M383)</f>
        <v/>
      </c>
      <c r="P384" s="3" t="str">
        <f t="shared" si="52"/>
        <v/>
      </c>
      <c r="Q384" s="3" t="str">
        <f t="shared" si="53"/>
        <v/>
      </c>
      <c r="R384" s="3" t="str">
        <f>IF($B384="","",IF($Q384,($L383+$N383+$G384)&gt;Inputs!$B$16,FALSE))</f>
        <v/>
      </c>
      <c r="S384" s="3" t="str">
        <f>IF($B384="","",IF(OR($F384&gt;Inputs!$B$15,$G384&gt;Inputs!$B$16),"TOO BIG",IF($R384,"NEW SHEET",IF($Q384,"NEW ROW","OK"))))</f>
        <v/>
      </c>
    </row>
    <row r="385" spans="1:19" x14ac:dyDescent="0.2">
      <c r="A385" s="4">
        <v>379</v>
      </c>
      <c r="B385" s="3" t="str">
        <f>IF(SortedPieces!$B381="","",SortedPieces!$B381)</f>
        <v/>
      </c>
      <c r="C385" s="4" t="str">
        <f>IF(SortedPieces!$C381="","",SortedPieces!$C381)</f>
        <v/>
      </c>
      <c r="D385" s="4" t="str">
        <f>IF(SortedPieces!$D381="","",SortedPieces!$D381)</f>
        <v/>
      </c>
      <c r="E385" s="3" t="str">
        <f>IF(SortedPieces!$E381="","",SortedPieces!$E381)</f>
        <v/>
      </c>
      <c r="F385" s="4" t="str">
        <f>IF($B385="","",IF($C385&lt;=$O385,$C385,IF(AND($E385="Y",$D385&lt;=$O385),$D385,IF(AND($E385="Y",$D385&lt;=Inputs!$B$15,$C385&lt;=Inputs!$B$15),IF($C385&lt;$D385,$D385,$C385),IF(AND($E385="Y",$D385&lt;=Inputs!$B$15),$D385,$C385)))))</f>
        <v/>
      </c>
      <c r="G385" s="4" t="str">
        <f>IF($B385="","",IF($C385&lt;=$O385,$D385,IF(AND($E385="Y",$D385&lt;=$O385),$C385,IF(AND($E385="Y",$D385&lt;=Inputs!$B$15,$C385&lt;=Inputs!$B$15),IF($C385&lt;$D385,$C385,$D385),IF(AND($E385="Y",$D385&lt;=Inputs!$B$15),$C385,$D385)))))</f>
        <v/>
      </c>
      <c r="H385" s="3" t="str">
        <f t="shared" si="45"/>
        <v/>
      </c>
      <c r="I385" s="4" t="str">
        <f t="shared" si="47"/>
        <v/>
      </c>
      <c r="J385" s="4" t="str">
        <f t="shared" si="48"/>
        <v/>
      </c>
      <c r="K385" s="4" t="str">
        <f t="shared" si="49"/>
        <v/>
      </c>
      <c r="L385" s="4" t="str">
        <f t="shared" si="50"/>
        <v/>
      </c>
      <c r="M385" s="4" t="str">
        <f t="shared" si="46"/>
        <v/>
      </c>
      <c r="N385" s="4" t="str">
        <f t="shared" si="51"/>
        <v/>
      </c>
      <c r="O385" s="4" t="str">
        <f>IF($B385="","",Inputs!$B$15-$M384)</f>
        <v/>
      </c>
      <c r="P385" s="3" t="str">
        <f t="shared" si="52"/>
        <v/>
      </c>
      <c r="Q385" s="3" t="str">
        <f t="shared" si="53"/>
        <v/>
      </c>
      <c r="R385" s="3" t="str">
        <f>IF($B385="","",IF($Q385,($L384+$N384+$G385)&gt;Inputs!$B$16,FALSE))</f>
        <v/>
      </c>
      <c r="S385" s="3" t="str">
        <f>IF($B385="","",IF(OR($F385&gt;Inputs!$B$15,$G385&gt;Inputs!$B$16),"TOO BIG",IF($R385,"NEW SHEET",IF($Q385,"NEW ROW","OK"))))</f>
        <v/>
      </c>
    </row>
    <row r="386" spans="1:19" x14ac:dyDescent="0.2">
      <c r="A386" s="4">
        <v>380</v>
      </c>
      <c r="B386" s="3" t="str">
        <f>IF(SortedPieces!$B382="","",SortedPieces!$B382)</f>
        <v/>
      </c>
      <c r="C386" s="4" t="str">
        <f>IF(SortedPieces!$C382="","",SortedPieces!$C382)</f>
        <v/>
      </c>
      <c r="D386" s="4" t="str">
        <f>IF(SortedPieces!$D382="","",SortedPieces!$D382)</f>
        <v/>
      </c>
      <c r="E386" s="3" t="str">
        <f>IF(SortedPieces!$E382="","",SortedPieces!$E382)</f>
        <v/>
      </c>
      <c r="F386" s="4" t="str">
        <f>IF($B386="","",IF($C386&lt;=$O386,$C386,IF(AND($E386="Y",$D386&lt;=$O386),$D386,IF(AND($E386="Y",$D386&lt;=Inputs!$B$15,$C386&lt;=Inputs!$B$15),IF($C386&lt;$D386,$D386,$C386),IF(AND($E386="Y",$D386&lt;=Inputs!$B$15),$D386,$C386)))))</f>
        <v/>
      </c>
      <c r="G386" s="4" t="str">
        <f>IF($B386="","",IF($C386&lt;=$O386,$D386,IF(AND($E386="Y",$D386&lt;=$O386),$C386,IF(AND($E386="Y",$D386&lt;=Inputs!$B$15,$C386&lt;=Inputs!$B$15),IF($C386&lt;$D386,$C386,$D386),IF(AND($E386="Y",$D386&lt;=Inputs!$B$15),$C386,$D386)))))</f>
        <v/>
      </c>
      <c r="H386" s="3" t="str">
        <f t="shared" si="45"/>
        <v/>
      </c>
      <c r="I386" s="4" t="str">
        <f t="shared" si="47"/>
        <v/>
      </c>
      <c r="J386" s="4" t="str">
        <f t="shared" si="48"/>
        <v/>
      </c>
      <c r="K386" s="4" t="str">
        <f t="shared" si="49"/>
        <v/>
      </c>
      <c r="L386" s="4" t="str">
        <f t="shared" si="50"/>
        <v/>
      </c>
      <c r="M386" s="4" t="str">
        <f t="shared" si="46"/>
        <v/>
      </c>
      <c r="N386" s="4" t="str">
        <f t="shared" si="51"/>
        <v/>
      </c>
      <c r="O386" s="4" t="str">
        <f>IF($B386="","",Inputs!$B$15-$M385)</f>
        <v/>
      </c>
      <c r="P386" s="3" t="str">
        <f t="shared" si="52"/>
        <v/>
      </c>
      <c r="Q386" s="3" t="str">
        <f t="shared" si="53"/>
        <v/>
      </c>
      <c r="R386" s="3" t="str">
        <f>IF($B386="","",IF($Q386,($L385+$N385+$G386)&gt;Inputs!$B$16,FALSE))</f>
        <v/>
      </c>
      <c r="S386" s="3" t="str">
        <f>IF($B386="","",IF(OR($F386&gt;Inputs!$B$15,$G386&gt;Inputs!$B$16),"TOO BIG",IF($R386,"NEW SHEET",IF($Q386,"NEW ROW","OK"))))</f>
        <v/>
      </c>
    </row>
    <row r="387" spans="1:19" x14ac:dyDescent="0.2">
      <c r="A387" s="4">
        <v>381</v>
      </c>
      <c r="B387" s="3" t="str">
        <f>IF(SortedPieces!$B383="","",SortedPieces!$B383)</f>
        <v/>
      </c>
      <c r="C387" s="4" t="str">
        <f>IF(SortedPieces!$C383="","",SortedPieces!$C383)</f>
        <v/>
      </c>
      <c r="D387" s="4" t="str">
        <f>IF(SortedPieces!$D383="","",SortedPieces!$D383)</f>
        <v/>
      </c>
      <c r="E387" s="3" t="str">
        <f>IF(SortedPieces!$E383="","",SortedPieces!$E383)</f>
        <v/>
      </c>
      <c r="F387" s="4" t="str">
        <f>IF($B387="","",IF($C387&lt;=$O387,$C387,IF(AND($E387="Y",$D387&lt;=$O387),$D387,IF(AND($E387="Y",$D387&lt;=Inputs!$B$15,$C387&lt;=Inputs!$B$15),IF($C387&lt;$D387,$D387,$C387),IF(AND($E387="Y",$D387&lt;=Inputs!$B$15),$D387,$C387)))))</f>
        <v/>
      </c>
      <c r="G387" s="4" t="str">
        <f>IF($B387="","",IF($C387&lt;=$O387,$D387,IF(AND($E387="Y",$D387&lt;=$O387),$C387,IF(AND($E387="Y",$D387&lt;=Inputs!$B$15,$C387&lt;=Inputs!$B$15),IF($C387&lt;$D387,$C387,$D387),IF(AND($E387="Y",$D387&lt;=Inputs!$B$15),$C387,$D387)))))</f>
        <v/>
      </c>
      <c r="H387" s="3" t="str">
        <f t="shared" si="45"/>
        <v/>
      </c>
      <c r="I387" s="4" t="str">
        <f t="shared" si="47"/>
        <v/>
      </c>
      <c r="J387" s="4" t="str">
        <f t="shared" si="48"/>
        <v/>
      </c>
      <c r="K387" s="4" t="str">
        <f t="shared" si="49"/>
        <v/>
      </c>
      <c r="L387" s="4" t="str">
        <f t="shared" si="50"/>
        <v/>
      </c>
      <c r="M387" s="4" t="str">
        <f t="shared" si="46"/>
        <v/>
      </c>
      <c r="N387" s="4" t="str">
        <f t="shared" si="51"/>
        <v/>
      </c>
      <c r="O387" s="4" t="str">
        <f>IF($B387="","",Inputs!$B$15-$M386)</f>
        <v/>
      </c>
      <c r="P387" s="3" t="str">
        <f t="shared" si="52"/>
        <v/>
      </c>
      <c r="Q387" s="3" t="str">
        <f t="shared" si="53"/>
        <v/>
      </c>
      <c r="R387" s="3" t="str">
        <f>IF($B387="","",IF($Q387,($L386+$N386+$G387)&gt;Inputs!$B$16,FALSE))</f>
        <v/>
      </c>
      <c r="S387" s="3" t="str">
        <f>IF($B387="","",IF(OR($F387&gt;Inputs!$B$15,$G387&gt;Inputs!$B$16),"TOO BIG",IF($R387,"NEW SHEET",IF($Q387,"NEW ROW","OK"))))</f>
        <v/>
      </c>
    </row>
    <row r="388" spans="1:19" x14ac:dyDescent="0.2">
      <c r="A388" s="4">
        <v>382</v>
      </c>
      <c r="B388" s="3" t="str">
        <f>IF(SortedPieces!$B384="","",SortedPieces!$B384)</f>
        <v/>
      </c>
      <c r="C388" s="4" t="str">
        <f>IF(SortedPieces!$C384="","",SortedPieces!$C384)</f>
        <v/>
      </c>
      <c r="D388" s="4" t="str">
        <f>IF(SortedPieces!$D384="","",SortedPieces!$D384)</f>
        <v/>
      </c>
      <c r="E388" s="3" t="str">
        <f>IF(SortedPieces!$E384="","",SortedPieces!$E384)</f>
        <v/>
      </c>
      <c r="F388" s="4" t="str">
        <f>IF($B388="","",IF($C388&lt;=$O388,$C388,IF(AND($E388="Y",$D388&lt;=$O388),$D388,IF(AND($E388="Y",$D388&lt;=Inputs!$B$15,$C388&lt;=Inputs!$B$15),IF($C388&lt;$D388,$D388,$C388),IF(AND($E388="Y",$D388&lt;=Inputs!$B$15),$D388,$C388)))))</f>
        <v/>
      </c>
      <c r="G388" s="4" t="str">
        <f>IF($B388="","",IF($C388&lt;=$O388,$D388,IF(AND($E388="Y",$D388&lt;=$O388),$C388,IF(AND($E388="Y",$D388&lt;=Inputs!$B$15,$C388&lt;=Inputs!$B$15),IF($C388&lt;$D388,$C388,$D388),IF(AND($E388="Y",$D388&lt;=Inputs!$B$15),$C388,$D388)))))</f>
        <v/>
      </c>
      <c r="H388" s="3" t="str">
        <f t="shared" si="45"/>
        <v/>
      </c>
      <c r="I388" s="4" t="str">
        <f t="shared" si="47"/>
        <v/>
      </c>
      <c r="J388" s="4" t="str">
        <f t="shared" si="48"/>
        <v/>
      </c>
      <c r="K388" s="4" t="str">
        <f t="shared" si="49"/>
        <v/>
      </c>
      <c r="L388" s="4" t="str">
        <f t="shared" si="50"/>
        <v/>
      </c>
      <c r="M388" s="4" t="str">
        <f t="shared" si="46"/>
        <v/>
      </c>
      <c r="N388" s="4" t="str">
        <f t="shared" si="51"/>
        <v/>
      </c>
      <c r="O388" s="4" t="str">
        <f>IF($B388="","",Inputs!$B$15-$M387)</f>
        <v/>
      </c>
      <c r="P388" s="3" t="str">
        <f t="shared" si="52"/>
        <v/>
      </c>
      <c r="Q388" s="3" t="str">
        <f t="shared" si="53"/>
        <v/>
      </c>
      <c r="R388" s="3" t="str">
        <f>IF($B388="","",IF($Q388,($L387+$N387+$G388)&gt;Inputs!$B$16,FALSE))</f>
        <v/>
      </c>
      <c r="S388" s="3" t="str">
        <f>IF($B388="","",IF(OR($F388&gt;Inputs!$B$15,$G388&gt;Inputs!$B$16),"TOO BIG",IF($R388,"NEW SHEET",IF($Q388,"NEW ROW","OK"))))</f>
        <v/>
      </c>
    </row>
    <row r="389" spans="1:19" x14ac:dyDescent="0.2">
      <c r="A389" s="4">
        <v>383</v>
      </c>
      <c r="B389" s="3" t="str">
        <f>IF(SortedPieces!$B385="","",SortedPieces!$B385)</f>
        <v/>
      </c>
      <c r="C389" s="4" t="str">
        <f>IF(SortedPieces!$C385="","",SortedPieces!$C385)</f>
        <v/>
      </c>
      <c r="D389" s="4" t="str">
        <f>IF(SortedPieces!$D385="","",SortedPieces!$D385)</f>
        <v/>
      </c>
      <c r="E389" s="3" t="str">
        <f>IF(SortedPieces!$E385="","",SortedPieces!$E385)</f>
        <v/>
      </c>
      <c r="F389" s="4" t="str">
        <f>IF($B389="","",IF($C389&lt;=$O389,$C389,IF(AND($E389="Y",$D389&lt;=$O389),$D389,IF(AND($E389="Y",$D389&lt;=Inputs!$B$15,$C389&lt;=Inputs!$B$15),IF($C389&lt;$D389,$D389,$C389),IF(AND($E389="Y",$D389&lt;=Inputs!$B$15),$D389,$C389)))))</f>
        <v/>
      </c>
      <c r="G389" s="4" t="str">
        <f>IF($B389="","",IF($C389&lt;=$O389,$D389,IF(AND($E389="Y",$D389&lt;=$O389),$C389,IF(AND($E389="Y",$D389&lt;=Inputs!$B$15,$C389&lt;=Inputs!$B$15),IF($C389&lt;$D389,$C389,$D389),IF(AND($E389="Y",$D389&lt;=Inputs!$B$15),$C389,$D389)))))</f>
        <v/>
      </c>
      <c r="H389" s="3" t="str">
        <f t="shared" si="45"/>
        <v/>
      </c>
      <c r="I389" s="4" t="str">
        <f t="shared" si="47"/>
        <v/>
      </c>
      <c r="J389" s="4" t="str">
        <f t="shared" si="48"/>
        <v/>
      </c>
      <c r="K389" s="4" t="str">
        <f t="shared" si="49"/>
        <v/>
      </c>
      <c r="L389" s="4" t="str">
        <f t="shared" si="50"/>
        <v/>
      </c>
      <c r="M389" s="4" t="str">
        <f t="shared" si="46"/>
        <v/>
      </c>
      <c r="N389" s="4" t="str">
        <f t="shared" si="51"/>
        <v/>
      </c>
      <c r="O389" s="4" t="str">
        <f>IF($B389="","",Inputs!$B$15-$M388)</f>
        <v/>
      </c>
      <c r="P389" s="3" t="str">
        <f t="shared" si="52"/>
        <v/>
      </c>
      <c r="Q389" s="3" t="str">
        <f t="shared" si="53"/>
        <v/>
      </c>
      <c r="R389" s="3" t="str">
        <f>IF($B389="","",IF($Q389,($L388+$N388+$G389)&gt;Inputs!$B$16,FALSE))</f>
        <v/>
      </c>
      <c r="S389" s="3" t="str">
        <f>IF($B389="","",IF(OR($F389&gt;Inputs!$B$15,$G389&gt;Inputs!$B$16),"TOO BIG",IF($R389,"NEW SHEET",IF($Q389,"NEW ROW","OK"))))</f>
        <v/>
      </c>
    </row>
    <row r="390" spans="1:19" x14ac:dyDescent="0.2">
      <c r="A390" s="4">
        <v>384</v>
      </c>
      <c r="B390" s="3" t="str">
        <f>IF(SortedPieces!$B386="","",SortedPieces!$B386)</f>
        <v/>
      </c>
      <c r="C390" s="4" t="str">
        <f>IF(SortedPieces!$C386="","",SortedPieces!$C386)</f>
        <v/>
      </c>
      <c r="D390" s="4" t="str">
        <f>IF(SortedPieces!$D386="","",SortedPieces!$D386)</f>
        <v/>
      </c>
      <c r="E390" s="3" t="str">
        <f>IF(SortedPieces!$E386="","",SortedPieces!$E386)</f>
        <v/>
      </c>
      <c r="F390" s="4" t="str">
        <f>IF($B390="","",IF($C390&lt;=$O390,$C390,IF(AND($E390="Y",$D390&lt;=$O390),$D390,IF(AND($E390="Y",$D390&lt;=Inputs!$B$15,$C390&lt;=Inputs!$B$15),IF($C390&lt;$D390,$D390,$C390),IF(AND($E390="Y",$D390&lt;=Inputs!$B$15),$D390,$C390)))))</f>
        <v/>
      </c>
      <c r="G390" s="4" t="str">
        <f>IF($B390="","",IF($C390&lt;=$O390,$D390,IF(AND($E390="Y",$D390&lt;=$O390),$C390,IF(AND($E390="Y",$D390&lt;=Inputs!$B$15,$C390&lt;=Inputs!$B$15),IF($C390&lt;$D390,$C390,$D390),IF(AND($E390="Y",$D390&lt;=Inputs!$B$15),$C390,$D390)))))</f>
        <v/>
      </c>
      <c r="H390" s="3" t="str">
        <f t="shared" si="45"/>
        <v/>
      </c>
      <c r="I390" s="4" t="str">
        <f t="shared" si="47"/>
        <v/>
      </c>
      <c r="J390" s="4" t="str">
        <f t="shared" si="48"/>
        <v/>
      </c>
      <c r="K390" s="4" t="str">
        <f t="shared" si="49"/>
        <v/>
      </c>
      <c r="L390" s="4" t="str">
        <f t="shared" si="50"/>
        <v/>
      </c>
      <c r="M390" s="4" t="str">
        <f t="shared" si="46"/>
        <v/>
      </c>
      <c r="N390" s="4" t="str">
        <f t="shared" si="51"/>
        <v/>
      </c>
      <c r="O390" s="4" t="str">
        <f>IF($B390="","",Inputs!$B$15-$M389)</f>
        <v/>
      </c>
      <c r="P390" s="3" t="str">
        <f t="shared" si="52"/>
        <v/>
      </c>
      <c r="Q390" s="3" t="str">
        <f t="shared" si="53"/>
        <v/>
      </c>
      <c r="R390" s="3" t="str">
        <f>IF($B390="","",IF($Q390,($L389+$N389+$G390)&gt;Inputs!$B$16,FALSE))</f>
        <v/>
      </c>
      <c r="S390" s="3" t="str">
        <f>IF($B390="","",IF(OR($F390&gt;Inputs!$B$15,$G390&gt;Inputs!$B$16),"TOO BIG",IF($R390,"NEW SHEET",IF($Q390,"NEW ROW","OK"))))</f>
        <v/>
      </c>
    </row>
    <row r="391" spans="1:19" x14ac:dyDescent="0.2">
      <c r="A391" s="4">
        <v>385</v>
      </c>
      <c r="B391" s="3" t="str">
        <f>IF(SortedPieces!$B387="","",SortedPieces!$B387)</f>
        <v/>
      </c>
      <c r="C391" s="4" t="str">
        <f>IF(SortedPieces!$C387="","",SortedPieces!$C387)</f>
        <v/>
      </c>
      <c r="D391" s="4" t="str">
        <f>IF(SortedPieces!$D387="","",SortedPieces!$D387)</f>
        <v/>
      </c>
      <c r="E391" s="3" t="str">
        <f>IF(SortedPieces!$E387="","",SortedPieces!$E387)</f>
        <v/>
      </c>
      <c r="F391" s="4" t="str">
        <f>IF($B391="","",IF($C391&lt;=$O391,$C391,IF(AND($E391="Y",$D391&lt;=$O391),$D391,IF(AND($E391="Y",$D391&lt;=Inputs!$B$15,$C391&lt;=Inputs!$B$15),IF($C391&lt;$D391,$D391,$C391),IF(AND($E391="Y",$D391&lt;=Inputs!$B$15),$D391,$C391)))))</f>
        <v/>
      </c>
      <c r="G391" s="4" t="str">
        <f>IF($B391="","",IF($C391&lt;=$O391,$D391,IF(AND($E391="Y",$D391&lt;=$O391),$C391,IF(AND($E391="Y",$D391&lt;=Inputs!$B$15,$C391&lt;=Inputs!$B$15),IF($C391&lt;$D391,$C391,$D391),IF(AND($E391="Y",$D391&lt;=Inputs!$B$15),$C391,$D391)))))</f>
        <v/>
      </c>
      <c r="H391" s="3" t="str">
        <f t="shared" ref="H391:H406" si="54">IF($B391="","",IF(AND($E391="Y",$F391=$D391,$G391=$C391),"Y","N"))</f>
        <v/>
      </c>
      <c r="I391" s="4" t="str">
        <f t="shared" si="47"/>
        <v/>
      </c>
      <c r="J391" s="4" t="str">
        <f t="shared" si="48"/>
        <v/>
      </c>
      <c r="K391" s="4" t="str">
        <f t="shared" si="49"/>
        <v/>
      </c>
      <c r="L391" s="4" t="str">
        <f t="shared" si="50"/>
        <v/>
      </c>
      <c r="M391" s="4" t="str">
        <f t="shared" ref="M391:M406" si="55">IF($B391="","",$K391+$F391)</f>
        <v/>
      </c>
      <c r="N391" s="4" t="str">
        <f t="shared" si="51"/>
        <v/>
      </c>
      <c r="O391" s="4" t="str">
        <f>IF($B391="","",Inputs!$B$15-$M390)</f>
        <v/>
      </c>
      <c r="P391" s="3" t="str">
        <f t="shared" si="52"/>
        <v/>
      </c>
      <c r="Q391" s="3" t="str">
        <f t="shared" si="53"/>
        <v/>
      </c>
      <c r="R391" s="3" t="str">
        <f>IF($B391="","",IF($Q391,($L390+$N390+$G391)&gt;Inputs!$B$16,FALSE))</f>
        <v/>
      </c>
      <c r="S391" s="3" t="str">
        <f>IF($B391="","",IF(OR($F391&gt;Inputs!$B$15,$G391&gt;Inputs!$B$16),"TOO BIG",IF($R391,"NEW SHEET",IF($Q391,"NEW ROW","OK"))))</f>
        <v/>
      </c>
    </row>
    <row r="392" spans="1:19" x14ac:dyDescent="0.2">
      <c r="A392" s="4">
        <v>386</v>
      </c>
      <c r="B392" s="3" t="str">
        <f>IF(SortedPieces!$B388="","",SortedPieces!$B388)</f>
        <v/>
      </c>
      <c r="C392" s="4" t="str">
        <f>IF(SortedPieces!$C388="","",SortedPieces!$C388)</f>
        <v/>
      </c>
      <c r="D392" s="4" t="str">
        <f>IF(SortedPieces!$D388="","",SortedPieces!$D388)</f>
        <v/>
      </c>
      <c r="E392" s="3" t="str">
        <f>IF(SortedPieces!$E388="","",SortedPieces!$E388)</f>
        <v/>
      </c>
      <c r="F392" s="4" t="str">
        <f>IF($B392="","",IF($C392&lt;=$O392,$C392,IF(AND($E392="Y",$D392&lt;=$O392),$D392,IF(AND($E392="Y",$D392&lt;=Inputs!$B$15,$C392&lt;=Inputs!$B$15),IF($C392&lt;$D392,$D392,$C392),IF(AND($E392="Y",$D392&lt;=Inputs!$B$15),$D392,$C392)))))</f>
        <v/>
      </c>
      <c r="G392" s="4" t="str">
        <f>IF($B392="","",IF($C392&lt;=$O392,$D392,IF(AND($E392="Y",$D392&lt;=$O392),$C392,IF(AND($E392="Y",$D392&lt;=Inputs!$B$15,$C392&lt;=Inputs!$B$15),IF($C392&lt;$D392,$C392,$D392),IF(AND($E392="Y",$D392&lt;=Inputs!$B$15),$C392,$D392)))))</f>
        <v/>
      </c>
      <c r="H392" s="3" t="str">
        <f t="shared" si="54"/>
        <v/>
      </c>
      <c r="I392" s="4" t="str">
        <f t="shared" ref="I392:I406" si="56">IF($B392="","",IF($R392,$I391+1,$I391))</f>
        <v/>
      </c>
      <c r="J392" s="4" t="str">
        <f t="shared" ref="J392:J406" si="57">IF($B392="","",IF($R392,1,IF($Q392,$J391+1,$J391)))</f>
        <v/>
      </c>
      <c r="K392" s="4" t="str">
        <f t="shared" ref="K392:K406" si="58">IF($B392="","",IF($R392,0,IF($Q392,0,$M391)))</f>
        <v/>
      </c>
      <c r="L392" s="4" t="str">
        <f t="shared" ref="L392:L406" si="59">IF($B392="","",IF($R392,0,IF($Q392,$L391+$N391,$L391)))</f>
        <v/>
      </c>
      <c r="M392" s="4" t="str">
        <f t="shared" si="55"/>
        <v/>
      </c>
      <c r="N392" s="4" t="str">
        <f t="shared" ref="N392:N406" si="60">IF($B392="","",IF($R392,$G392,IF($Q392,$G392,MAX($N391,$G392))))</f>
        <v/>
      </c>
      <c r="O392" s="4" t="str">
        <f>IF($B392="","",Inputs!$B$15-$M391)</f>
        <v/>
      </c>
      <c r="P392" s="3" t="str">
        <f t="shared" ref="P392:P406" si="61">IF($B392="","",IF($F392&lt;=$O392,TRUE,FALSE))</f>
        <v/>
      </c>
      <c r="Q392" s="3" t="str">
        <f t="shared" ref="Q392:Q406" si="62">IF($B392="","",NOT($P392))</f>
        <v/>
      </c>
      <c r="R392" s="3" t="str">
        <f>IF($B392="","",IF($Q392,($L391+$N391+$G392)&gt;Inputs!$B$16,FALSE))</f>
        <v/>
      </c>
      <c r="S392" s="3" t="str">
        <f>IF($B392="","",IF(OR($F392&gt;Inputs!$B$15,$G392&gt;Inputs!$B$16),"TOO BIG",IF($R392,"NEW SHEET",IF($Q392,"NEW ROW","OK"))))</f>
        <v/>
      </c>
    </row>
    <row r="393" spans="1:19" x14ac:dyDescent="0.2">
      <c r="A393" s="4">
        <v>387</v>
      </c>
      <c r="B393" s="3" t="str">
        <f>IF(SortedPieces!$B389="","",SortedPieces!$B389)</f>
        <v/>
      </c>
      <c r="C393" s="4" t="str">
        <f>IF(SortedPieces!$C389="","",SortedPieces!$C389)</f>
        <v/>
      </c>
      <c r="D393" s="4" t="str">
        <f>IF(SortedPieces!$D389="","",SortedPieces!$D389)</f>
        <v/>
      </c>
      <c r="E393" s="3" t="str">
        <f>IF(SortedPieces!$E389="","",SortedPieces!$E389)</f>
        <v/>
      </c>
      <c r="F393" s="4" t="str">
        <f>IF($B393="","",IF($C393&lt;=$O393,$C393,IF(AND($E393="Y",$D393&lt;=$O393),$D393,IF(AND($E393="Y",$D393&lt;=Inputs!$B$15,$C393&lt;=Inputs!$B$15),IF($C393&lt;$D393,$D393,$C393),IF(AND($E393="Y",$D393&lt;=Inputs!$B$15),$D393,$C393)))))</f>
        <v/>
      </c>
      <c r="G393" s="4" t="str">
        <f>IF($B393="","",IF($C393&lt;=$O393,$D393,IF(AND($E393="Y",$D393&lt;=$O393),$C393,IF(AND($E393="Y",$D393&lt;=Inputs!$B$15,$C393&lt;=Inputs!$B$15),IF($C393&lt;$D393,$C393,$D393),IF(AND($E393="Y",$D393&lt;=Inputs!$B$15),$C393,$D393)))))</f>
        <v/>
      </c>
      <c r="H393" s="3" t="str">
        <f t="shared" si="54"/>
        <v/>
      </c>
      <c r="I393" s="4" t="str">
        <f t="shared" si="56"/>
        <v/>
      </c>
      <c r="J393" s="4" t="str">
        <f t="shared" si="57"/>
        <v/>
      </c>
      <c r="K393" s="4" t="str">
        <f t="shared" si="58"/>
        <v/>
      </c>
      <c r="L393" s="4" t="str">
        <f t="shared" si="59"/>
        <v/>
      </c>
      <c r="M393" s="4" t="str">
        <f t="shared" si="55"/>
        <v/>
      </c>
      <c r="N393" s="4" t="str">
        <f t="shared" si="60"/>
        <v/>
      </c>
      <c r="O393" s="4" t="str">
        <f>IF($B393="","",Inputs!$B$15-$M392)</f>
        <v/>
      </c>
      <c r="P393" s="3" t="str">
        <f t="shared" si="61"/>
        <v/>
      </c>
      <c r="Q393" s="3" t="str">
        <f t="shared" si="62"/>
        <v/>
      </c>
      <c r="R393" s="3" t="str">
        <f>IF($B393="","",IF($Q393,($L392+$N392+$G393)&gt;Inputs!$B$16,FALSE))</f>
        <v/>
      </c>
      <c r="S393" s="3" t="str">
        <f>IF($B393="","",IF(OR($F393&gt;Inputs!$B$15,$G393&gt;Inputs!$B$16),"TOO BIG",IF($R393,"NEW SHEET",IF($Q393,"NEW ROW","OK"))))</f>
        <v/>
      </c>
    </row>
    <row r="394" spans="1:19" x14ac:dyDescent="0.2">
      <c r="A394" s="4">
        <v>388</v>
      </c>
      <c r="B394" s="3" t="str">
        <f>IF(SortedPieces!$B390="","",SortedPieces!$B390)</f>
        <v/>
      </c>
      <c r="C394" s="4" t="str">
        <f>IF(SortedPieces!$C390="","",SortedPieces!$C390)</f>
        <v/>
      </c>
      <c r="D394" s="4" t="str">
        <f>IF(SortedPieces!$D390="","",SortedPieces!$D390)</f>
        <v/>
      </c>
      <c r="E394" s="3" t="str">
        <f>IF(SortedPieces!$E390="","",SortedPieces!$E390)</f>
        <v/>
      </c>
      <c r="F394" s="4" t="str">
        <f>IF($B394="","",IF($C394&lt;=$O394,$C394,IF(AND($E394="Y",$D394&lt;=$O394),$D394,IF(AND($E394="Y",$D394&lt;=Inputs!$B$15,$C394&lt;=Inputs!$B$15),IF($C394&lt;$D394,$D394,$C394),IF(AND($E394="Y",$D394&lt;=Inputs!$B$15),$D394,$C394)))))</f>
        <v/>
      </c>
      <c r="G394" s="4" t="str">
        <f>IF($B394="","",IF($C394&lt;=$O394,$D394,IF(AND($E394="Y",$D394&lt;=$O394),$C394,IF(AND($E394="Y",$D394&lt;=Inputs!$B$15,$C394&lt;=Inputs!$B$15),IF($C394&lt;$D394,$C394,$D394),IF(AND($E394="Y",$D394&lt;=Inputs!$B$15),$C394,$D394)))))</f>
        <v/>
      </c>
      <c r="H394" s="3" t="str">
        <f t="shared" si="54"/>
        <v/>
      </c>
      <c r="I394" s="4" t="str">
        <f t="shared" si="56"/>
        <v/>
      </c>
      <c r="J394" s="4" t="str">
        <f t="shared" si="57"/>
        <v/>
      </c>
      <c r="K394" s="4" t="str">
        <f t="shared" si="58"/>
        <v/>
      </c>
      <c r="L394" s="4" t="str">
        <f t="shared" si="59"/>
        <v/>
      </c>
      <c r="M394" s="4" t="str">
        <f t="shared" si="55"/>
        <v/>
      </c>
      <c r="N394" s="4" t="str">
        <f t="shared" si="60"/>
        <v/>
      </c>
      <c r="O394" s="4" t="str">
        <f>IF($B394="","",Inputs!$B$15-$M393)</f>
        <v/>
      </c>
      <c r="P394" s="3" t="str">
        <f t="shared" si="61"/>
        <v/>
      </c>
      <c r="Q394" s="3" t="str">
        <f t="shared" si="62"/>
        <v/>
      </c>
      <c r="R394" s="3" t="str">
        <f>IF($B394="","",IF($Q394,($L393+$N393+$G394)&gt;Inputs!$B$16,FALSE))</f>
        <v/>
      </c>
      <c r="S394" s="3" t="str">
        <f>IF($B394="","",IF(OR($F394&gt;Inputs!$B$15,$G394&gt;Inputs!$B$16),"TOO BIG",IF($R394,"NEW SHEET",IF($Q394,"NEW ROW","OK"))))</f>
        <v/>
      </c>
    </row>
    <row r="395" spans="1:19" x14ac:dyDescent="0.2">
      <c r="A395" s="4">
        <v>389</v>
      </c>
      <c r="B395" s="3" t="str">
        <f>IF(SortedPieces!$B391="","",SortedPieces!$B391)</f>
        <v/>
      </c>
      <c r="C395" s="4" t="str">
        <f>IF(SortedPieces!$C391="","",SortedPieces!$C391)</f>
        <v/>
      </c>
      <c r="D395" s="4" t="str">
        <f>IF(SortedPieces!$D391="","",SortedPieces!$D391)</f>
        <v/>
      </c>
      <c r="E395" s="3" t="str">
        <f>IF(SortedPieces!$E391="","",SortedPieces!$E391)</f>
        <v/>
      </c>
      <c r="F395" s="4" t="str">
        <f>IF($B395="","",IF($C395&lt;=$O395,$C395,IF(AND($E395="Y",$D395&lt;=$O395),$D395,IF(AND($E395="Y",$D395&lt;=Inputs!$B$15,$C395&lt;=Inputs!$B$15),IF($C395&lt;$D395,$D395,$C395),IF(AND($E395="Y",$D395&lt;=Inputs!$B$15),$D395,$C395)))))</f>
        <v/>
      </c>
      <c r="G395" s="4" t="str">
        <f>IF($B395="","",IF($C395&lt;=$O395,$D395,IF(AND($E395="Y",$D395&lt;=$O395),$C395,IF(AND($E395="Y",$D395&lt;=Inputs!$B$15,$C395&lt;=Inputs!$B$15),IF($C395&lt;$D395,$C395,$D395),IF(AND($E395="Y",$D395&lt;=Inputs!$B$15),$C395,$D395)))))</f>
        <v/>
      </c>
      <c r="H395" s="3" t="str">
        <f t="shared" si="54"/>
        <v/>
      </c>
      <c r="I395" s="4" t="str">
        <f t="shared" si="56"/>
        <v/>
      </c>
      <c r="J395" s="4" t="str">
        <f t="shared" si="57"/>
        <v/>
      </c>
      <c r="K395" s="4" t="str">
        <f t="shared" si="58"/>
        <v/>
      </c>
      <c r="L395" s="4" t="str">
        <f t="shared" si="59"/>
        <v/>
      </c>
      <c r="M395" s="4" t="str">
        <f t="shared" si="55"/>
        <v/>
      </c>
      <c r="N395" s="4" t="str">
        <f t="shared" si="60"/>
        <v/>
      </c>
      <c r="O395" s="4" t="str">
        <f>IF($B395="","",Inputs!$B$15-$M394)</f>
        <v/>
      </c>
      <c r="P395" s="3" t="str">
        <f t="shared" si="61"/>
        <v/>
      </c>
      <c r="Q395" s="3" t="str">
        <f t="shared" si="62"/>
        <v/>
      </c>
      <c r="R395" s="3" t="str">
        <f>IF($B395="","",IF($Q395,($L394+$N394+$G395)&gt;Inputs!$B$16,FALSE))</f>
        <v/>
      </c>
      <c r="S395" s="3" t="str">
        <f>IF($B395="","",IF(OR($F395&gt;Inputs!$B$15,$G395&gt;Inputs!$B$16),"TOO BIG",IF($R395,"NEW SHEET",IF($Q395,"NEW ROW","OK"))))</f>
        <v/>
      </c>
    </row>
    <row r="396" spans="1:19" x14ac:dyDescent="0.2">
      <c r="A396" s="4">
        <v>390</v>
      </c>
      <c r="B396" s="3" t="str">
        <f>IF(SortedPieces!$B392="","",SortedPieces!$B392)</f>
        <v/>
      </c>
      <c r="C396" s="4" t="str">
        <f>IF(SortedPieces!$C392="","",SortedPieces!$C392)</f>
        <v/>
      </c>
      <c r="D396" s="4" t="str">
        <f>IF(SortedPieces!$D392="","",SortedPieces!$D392)</f>
        <v/>
      </c>
      <c r="E396" s="3" t="str">
        <f>IF(SortedPieces!$E392="","",SortedPieces!$E392)</f>
        <v/>
      </c>
      <c r="F396" s="4" t="str">
        <f>IF($B396="","",IF($C396&lt;=$O396,$C396,IF(AND($E396="Y",$D396&lt;=$O396),$D396,IF(AND($E396="Y",$D396&lt;=Inputs!$B$15,$C396&lt;=Inputs!$B$15),IF($C396&lt;$D396,$D396,$C396),IF(AND($E396="Y",$D396&lt;=Inputs!$B$15),$D396,$C396)))))</f>
        <v/>
      </c>
      <c r="G396" s="4" t="str">
        <f>IF($B396="","",IF($C396&lt;=$O396,$D396,IF(AND($E396="Y",$D396&lt;=$O396),$C396,IF(AND($E396="Y",$D396&lt;=Inputs!$B$15,$C396&lt;=Inputs!$B$15),IF($C396&lt;$D396,$C396,$D396),IF(AND($E396="Y",$D396&lt;=Inputs!$B$15),$C396,$D396)))))</f>
        <v/>
      </c>
      <c r="H396" s="3" t="str">
        <f t="shared" si="54"/>
        <v/>
      </c>
      <c r="I396" s="4" t="str">
        <f t="shared" si="56"/>
        <v/>
      </c>
      <c r="J396" s="4" t="str">
        <f t="shared" si="57"/>
        <v/>
      </c>
      <c r="K396" s="4" t="str">
        <f t="shared" si="58"/>
        <v/>
      </c>
      <c r="L396" s="4" t="str">
        <f t="shared" si="59"/>
        <v/>
      </c>
      <c r="M396" s="4" t="str">
        <f t="shared" si="55"/>
        <v/>
      </c>
      <c r="N396" s="4" t="str">
        <f t="shared" si="60"/>
        <v/>
      </c>
      <c r="O396" s="4" t="str">
        <f>IF($B396="","",Inputs!$B$15-$M395)</f>
        <v/>
      </c>
      <c r="P396" s="3" t="str">
        <f t="shared" si="61"/>
        <v/>
      </c>
      <c r="Q396" s="3" t="str">
        <f t="shared" si="62"/>
        <v/>
      </c>
      <c r="R396" s="3" t="str">
        <f>IF($B396="","",IF($Q396,($L395+$N395+$G396)&gt;Inputs!$B$16,FALSE))</f>
        <v/>
      </c>
      <c r="S396" s="3" t="str">
        <f>IF($B396="","",IF(OR($F396&gt;Inputs!$B$15,$G396&gt;Inputs!$B$16),"TOO BIG",IF($R396,"NEW SHEET",IF($Q396,"NEW ROW","OK"))))</f>
        <v/>
      </c>
    </row>
    <row r="397" spans="1:19" x14ac:dyDescent="0.2">
      <c r="A397" s="4">
        <v>391</v>
      </c>
      <c r="B397" s="3" t="str">
        <f>IF(SortedPieces!$B393="","",SortedPieces!$B393)</f>
        <v/>
      </c>
      <c r="C397" s="4" t="str">
        <f>IF(SortedPieces!$C393="","",SortedPieces!$C393)</f>
        <v/>
      </c>
      <c r="D397" s="4" t="str">
        <f>IF(SortedPieces!$D393="","",SortedPieces!$D393)</f>
        <v/>
      </c>
      <c r="E397" s="3" t="str">
        <f>IF(SortedPieces!$E393="","",SortedPieces!$E393)</f>
        <v/>
      </c>
      <c r="F397" s="4" t="str">
        <f>IF($B397="","",IF($C397&lt;=$O397,$C397,IF(AND($E397="Y",$D397&lt;=$O397),$D397,IF(AND($E397="Y",$D397&lt;=Inputs!$B$15,$C397&lt;=Inputs!$B$15),IF($C397&lt;$D397,$D397,$C397),IF(AND($E397="Y",$D397&lt;=Inputs!$B$15),$D397,$C397)))))</f>
        <v/>
      </c>
      <c r="G397" s="4" t="str">
        <f>IF($B397="","",IF($C397&lt;=$O397,$D397,IF(AND($E397="Y",$D397&lt;=$O397),$C397,IF(AND($E397="Y",$D397&lt;=Inputs!$B$15,$C397&lt;=Inputs!$B$15),IF($C397&lt;$D397,$C397,$D397),IF(AND($E397="Y",$D397&lt;=Inputs!$B$15),$C397,$D397)))))</f>
        <v/>
      </c>
      <c r="H397" s="3" t="str">
        <f t="shared" si="54"/>
        <v/>
      </c>
      <c r="I397" s="4" t="str">
        <f t="shared" si="56"/>
        <v/>
      </c>
      <c r="J397" s="4" t="str">
        <f t="shared" si="57"/>
        <v/>
      </c>
      <c r="K397" s="4" t="str">
        <f t="shared" si="58"/>
        <v/>
      </c>
      <c r="L397" s="4" t="str">
        <f t="shared" si="59"/>
        <v/>
      </c>
      <c r="M397" s="4" t="str">
        <f t="shared" si="55"/>
        <v/>
      </c>
      <c r="N397" s="4" t="str">
        <f t="shared" si="60"/>
        <v/>
      </c>
      <c r="O397" s="4" t="str">
        <f>IF($B397="","",Inputs!$B$15-$M396)</f>
        <v/>
      </c>
      <c r="P397" s="3" t="str">
        <f t="shared" si="61"/>
        <v/>
      </c>
      <c r="Q397" s="3" t="str">
        <f t="shared" si="62"/>
        <v/>
      </c>
      <c r="R397" s="3" t="str">
        <f>IF($B397="","",IF($Q397,($L396+$N396+$G397)&gt;Inputs!$B$16,FALSE))</f>
        <v/>
      </c>
      <c r="S397" s="3" t="str">
        <f>IF($B397="","",IF(OR($F397&gt;Inputs!$B$15,$G397&gt;Inputs!$B$16),"TOO BIG",IF($R397,"NEW SHEET",IF($Q397,"NEW ROW","OK"))))</f>
        <v/>
      </c>
    </row>
    <row r="398" spans="1:19" x14ac:dyDescent="0.2">
      <c r="A398" s="4">
        <v>392</v>
      </c>
      <c r="B398" s="3" t="str">
        <f>IF(SortedPieces!$B394="","",SortedPieces!$B394)</f>
        <v/>
      </c>
      <c r="C398" s="4" t="str">
        <f>IF(SortedPieces!$C394="","",SortedPieces!$C394)</f>
        <v/>
      </c>
      <c r="D398" s="4" t="str">
        <f>IF(SortedPieces!$D394="","",SortedPieces!$D394)</f>
        <v/>
      </c>
      <c r="E398" s="3" t="str">
        <f>IF(SortedPieces!$E394="","",SortedPieces!$E394)</f>
        <v/>
      </c>
      <c r="F398" s="4" t="str">
        <f>IF($B398="","",IF($C398&lt;=$O398,$C398,IF(AND($E398="Y",$D398&lt;=$O398),$D398,IF(AND($E398="Y",$D398&lt;=Inputs!$B$15,$C398&lt;=Inputs!$B$15),IF($C398&lt;$D398,$D398,$C398),IF(AND($E398="Y",$D398&lt;=Inputs!$B$15),$D398,$C398)))))</f>
        <v/>
      </c>
      <c r="G398" s="4" t="str">
        <f>IF($B398="","",IF($C398&lt;=$O398,$D398,IF(AND($E398="Y",$D398&lt;=$O398),$C398,IF(AND($E398="Y",$D398&lt;=Inputs!$B$15,$C398&lt;=Inputs!$B$15),IF($C398&lt;$D398,$C398,$D398),IF(AND($E398="Y",$D398&lt;=Inputs!$B$15),$C398,$D398)))))</f>
        <v/>
      </c>
      <c r="H398" s="3" t="str">
        <f t="shared" si="54"/>
        <v/>
      </c>
      <c r="I398" s="4" t="str">
        <f t="shared" si="56"/>
        <v/>
      </c>
      <c r="J398" s="4" t="str">
        <f t="shared" si="57"/>
        <v/>
      </c>
      <c r="K398" s="4" t="str">
        <f t="shared" si="58"/>
        <v/>
      </c>
      <c r="L398" s="4" t="str">
        <f t="shared" si="59"/>
        <v/>
      </c>
      <c r="M398" s="4" t="str">
        <f t="shared" si="55"/>
        <v/>
      </c>
      <c r="N398" s="4" t="str">
        <f t="shared" si="60"/>
        <v/>
      </c>
      <c r="O398" s="4" t="str">
        <f>IF($B398="","",Inputs!$B$15-$M397)</f>
        <v/>
      </c>
      <c r="P398" s="3" t="str">
        <f t="shared" si="61"/>
        <v/>
      </c>
      <c r="Q398" s="3" t="str">
        <f t="shared" si="62"/>
        <v/>
      </c>
      <c r="R398" s="3" t="str">
        <f>IF($B398="","",IF($Q398,($L397+$N397+$G398)&gt;Inputs!$B$16,FALSE))</f>
        <v/>
      </c>
      <c r="S398" s="3" t="str">
        <f>IF($B398="","",IF(OR($F398&gt;Inputs!$B$15,$G398&gt;Inputs!$B$16),"TOO BIG",IF($R398,"NEW SHEET",IF($Q398,"NEW ROW","OK"))))</f>
        <v/>
      </c>
    </row>
    <row r="399" spans="1:19" x14ac:dyDescent="0.2">
      <c r="A399" s="4">
        <v>393</v>
      </c>
      <c r="B399" s="3" t="str">
        <f>IF(SortedPieces!$B395="","",SortedPieces!$B395)</f>
        <v/>
      </c>
      <c r="C399" s="4" t="str">
        <f>IF(SortedPieces!$C395="","",SortedPieces!$C395)</f>
        <v/>
      </c>
      <c r="D399" s="4" t="str">
        <f>IF(SortedPieces!$D395="","",SortedPieces!$D395)</f>
        <v/>
      </c>
      <c r="E399" s="3" t="str">
        <f>IF(SortedPieces!$E395="","",SortedPieces!$E395)</f>
        <v/>
      </c>
      <c r="F399" s="4" t="str">
        <f>IF($B399="","",IF($C399&lt;=$O399,$C399,IF(AND($E399="Y",$D399&lt;=$O399),$D399,IF(AND($E399="Y",$D399&lt;=Inputs!$B$15,$C399&lt;=Inputs!$B$15),IF($C399&lt;$D399,$D399,$C399),IF(AND($E399="Y",$D399&lt;=Inputs!$B$15),$D399,$C399)))))</f>
        <v/>
      </c>
      <c r="G399" s="4" t="str">
        <f>IF($B399="","",IF($C399&lt;=$O399,$D399,IF(AND($E399="Y",$D399&lt;=$O399),$C399,IF(AND($E399="Y",$D399&lt;=Inputs!$B$15,$C399&lt;=Inputs!$B$15),IF($C399&lt;$D399,$C399,$D399),IF(AND($E399="Y",$D399&lt;=Inputs!$B$15),$C399,$D399)))))</f>
        <v/>
      </c>
      <c r="H399" s="3" t="str">
        <f t="shared" si="54"/>
        <v/>
      </c>
      <c r="I399" s="4" t="str">
        <f t="shared" si="56"/>
        <v/>
      </c>
      <c r="J399" s="4" t="str">
        <f t="shared" si="57"/>
        <v/>
      </c>
      <c r="K399" s="4" t="str">
        <f t="shared" si="58"/>
        <v/>
      </c>
      <c r="L399" s="4" t="str">
        <f t="shared" si="59"/>
        <v/>
      </c>
      <c r="M399" s="4" t="str">
        <f t="shared" si="55"/>
        <v/>
      </c>
      <c r="N399" s="4" t="str">
        <f t="shared" si="60"/>
        <v/>
      </c>
      <c r="O399" s="4" t="str">
        <f>IF($B399="","",Inputs!$B$15-$M398)</f>
        <v/>
      </c>
      <c r="P399" s="3" t="str">
        <f t="shared" si="61"/>
        <v/>
      </c>
      <c r="Q399" s="3" t="str">
        <f t="shared" si="62"/>
        <v/>
      </c>
      <c r="R399" s="3" t="str">
        <f>IF($B399="","",IF($Q399,($L398+$N398+$G399)&gt;Inputs!$B$16,FALSE))</f>
        <v/>
      </c>
      <c r="S399" s="3" t="str">
        <f>IF($B399="","",IF(OR($F399&gt;Inputs!$B$15,$G399&gt;Inputs!$B$16),"TOO BIG",IF($R399,"NEW SHEET",IF($Q399,"NEW ROW","OK"))))</f>
        <v/>
      </c>
    </row>
    <row r="400" spans="1:19" x14ac:dyDescent="0.2">
      <c r="A400" s="4">
        <v>394</v>
      </c>
      <c r="B400" s="3" t="str">
        <f>IF(SortedPieces!$B396="","",SortedPieces!$B396)</f>
        <v/>
      </c>
      <c r="C400" s="4" t="str">
        <f>IF(SortedPieces!$C396="","",SortedPieces!$C396)</f>
        <v/>
      </c>
      <c r="D400" s="4" t="str">
        <f>IF(SortedPieces!$D396="","",SortedPieces!$D396)</f>
        <v/>
      </c>
      <c r="E400" s="3" t="str">
        <f>IF(SortedPieces!$E396="","",SortedPieces!$E396)</f>
        <v/>
      </c>
      <c r="F400" s="4" t="str">
        <f>IF($B400="","",IF($C400&lt;=$O400,$C400,IF(AND($E400="Y",$D400&lt;=$O400),$D400,IF(AND($E400="Y",$D400&lt;=Inputs!$B$15,$C400&lt;=Inputs!$B$15),IF($C400&lt;$D400,$D400,$C400),IF(AND($E400="Y",$D400&lt;=Inputs!$B$15),$D400,$C400)))))</f>
        <v/>
      </c>
      <c r="G400" s="4" t="str">
        <f>IF($B400="","",IF($C400&lt;=$O400,$D400,IF(AND($E400="Y",$D400&lt;=$O400),$C400,IF(AND($E400="Y",$D400&lt;=Inputs!$B$15,$C400&lt;=Inputs!$B$15),IF($C400&lt;$D400,$C400,$D400),IF(AND($E400="Y",$D400&lt;=Inputs!$B$15),$C400,$D400)))))</f>
        <v/>
      </c>
      <c r="H400" s="3" t="str">
        <f t="shared" si="54"/>
        <v/>
      </c>
      <c r="I400" s="4" t="str">
        <f t="shared" si="56"/>
        <v/>
      </c>
      <c r="J400" s="4" t="str">
        <f t="shared" si="57"/>
        <v/>
      </c>
      <c r="K400" s="4" t="str">
        <f t="shared" si="58"/>
        <v/>
      </c>
      <c r="L400" s="4" t="str">
        <f t="shared" si="59"/>
        <v/>
      </c>
      <c r="M400" s="4" t="str">
        <f t="shared" si="55"/>
        <v/>
      </c>
      <c r="N400" s="4" t="str">
        <f t="shared" si="60"/>
        <v/>
      </c>
      <c r="O400" s="4" t="str">
        <f>IF($B400="","",Inputs!$B$15-$M399)</f>
        <v/>
      </c>
      <c r="P400" s="3" t="str">
        <f t="shared" si="61"/>
        <v/>
      </c>
      <c r="Q400" s="3" t="str">
        <f t="shared" si="62"/>
        <v/>
      </c>
      <c r="R400" s="3" t="str">
        <f>IF($B400="","",IF($Q400,($L399+$N399+$G400)&gt;Inputs!$B$16,FALSE))</f>
        <v/>
      </c>
      <c r="S400" s="3" t="str">
        <f>IF($B400="","",IF(OR($F400&gt;Inputs!$B$15,$G400&gt;Inputs!$B$16),"TOO BIG",IF($R400,"NEW SHEET",IF($Q400,"NEW ROW","OK"))))</f>
        <v/>
      </c>
    </row>
    <row r="401" spans="1:19" x14ac:dyDescent="0.2">
      <c r="A401" s="4">
        <v>395</v>
      </c>
      <c r="B401" s="3" t="str">
        <f>IF(SortedPieces!$B397="","",SortedPieces!$B397)</f>
        <v/>
      </c>
      <c r="C401" s="4" t="str">
        <f>IF(SortedPieces!$C397="","",SortedPieces!$C397)</f>
        <v/>
      </c>
      <c r="D401" s="4" t="str">
        <f>IF(SortedPieces!$D397="","",SortedPieces!$D397)</f>
        <v/>
      </c>
      <c r="E401" s="3" t="str">
        <f>IF(SortedPieces!$E397="","",SortedPieces!$E397)</f>
        <v/>
      </c>
      <c r="F401" s="4" t="str">
        <f>IF($B401="","",IF($C401&lt;=$O401,$C401,IF(AND($E401="Y",$D401&lt;=$O401),$D401,IF(AND($E401="Y",$D401&lt;=Inputs!$B$15,$C401&lt;=Inputs!$B$15),IF($C401&lt;$D401,$D401,$C401),IF(AND($E401="Y",$D401&lt;=Inputs!$B$15),$D401,$C401)))))</f>
        <v/>
      </c>
      <c r="G401" s="4" t="str">
        <f>IF($B401="","",IF($C401&lt;=$O401,$D401,IF(AND($E401="Y",$D401&lt;=$O401),$C401,IF(AND($E401="Y",$D401&lt;=Inputs!$B$15,$C401&lt;=Inputs!$B$15),IF($C401&lt;$D401,$C401,$D401),IF(AND($E401="Y",$D401&lt;=Inputs!$B$15),$C401,$D401)))))</f>
        <v/>
      </c>
      <c r="H401" s="3" t="str">
        <f t="shared" si="54"/>
        <v/>
      </c>
      <c r="I401" s="4" t="str">
        <f t="shared" si="56"/>
        <v/>
      </c>
      <c r="J401" s="4" t="str">
        <f t="shared" si="57"/>
        <v/>
      </c>
      <c r="K401" s="4" t="str">
        <f t="shared" si="58"/>
        <v/>
      </c>
      <c r="L401" s="4" t="str">
        <f t="shared" si="59"/>
        <v/>
      </c>
      <c r="M401" s="4" t="str">
        <f t="shared" si="55"/>
        <v/>
      </c>
      <c r="N401" s="4" t="str">
        <f t="shared" si="60"/>
        <v/>
      </c>
      <c r="O401" s="4" t="str">
        <f>IF($B401="","",Inputs!$B$15-$M400)</f>
        <v/>
      </c>
      <c r="P401" s="3" t="str">
        <f t="shared" si="61"/>
        <v/>
      </c>
      <c r="Q401" s="3" t="str">
        <f t="shared" si="62"/>
        <v/>
      </c>
      <c r="R401" s="3" t="str">
        <f>IF($B401="","",IF($Q401,($L400+$N400+$G401)&gt;Inputs!$B$16,FALSE))</f>
        <v/>
      </c>
      <c r="S401" s="3" t="str">
        <f>IF($B401="","",IF(OR($F401&gt;Inputs!$B$15,$G401&gt;Inputs!$B$16),"TOO BIG",IF($R401,"NEW SHEET",IF($Q401,"NEW ROW","OK"))))</f>
        <v/>
      </c>
    </row>
    <row r="402" spans="1:19" x14ac:dyDescent="0.2">
      <c r="A402" s="4">
        <v>396</v>
      </c>
      <c r="B402" s="3" t="str">
        <f>IF(SortedPieces!$B398="","",SortedPieces!$B398)</f>
        <v/>
      </c>
      <c r="C402" s="4" t="str">
        <f>IF(SortedPieces!$C398="","",SortedPieces!$C398)</f>
        <v/>
      </c>
      <c r="D402" s="4" t="str">
        <f>IF(SortedPieces!$D398="","",SortedPieces!$D398)</f>
        <v/>
      </c>
      <c r="E402" s="3" t="str">
        <f>IF(SortedPieces!$E398="","",SortedPieces!$E398)</f>
        <v/>
      </c>
      <c r="F402" s="4" t="str">
        <f>IF($B402="","",IF($C402&lt;=$O402,$C402,IF(AND($E402="Y",$D402&lt;=$O402),$D402,IF(AND($E402="Y",$D402&lt;=Inputs!$B$15,$C402&lt;=Inputs!$B$15),IF($C402&lt;$D402,$D402,$C402),IF(AND($E402="Y",$D402&lt;=Inputs!$B$15),$D402,$C402)))))</f>
        <v/>
      </c>
      <c r="G402" s="4" t="str">
        <f>IF($B402="","",IF($C402&lt;=$O402,$D402,IF(AND($E402="Y",$D402&lt;=$O402),$C402,IF(AND($E402="Y",$D402&lt;=Inputs!$B$15,$C402&lt;=Inputs!$B$15),IF($C402&lt;$D402,$C402,$D402),IF(AND($E402="Y",$D402&lt;=Inputs!$B$15),$C402,$D402)))))</f>
        <v/>
      </c>
      <c r="H402" s="3" t="str">
        <f t="shared" si="54"/>
        <v/>
      </c>
      <c r="I402" s="4" t="str">
        <f t="shared" si="56"/>
        <v/>
      </c>
      <c r="J402" s="4" t="str">
        <f t="shared" si="57"/>
        <v/>
      </c>
      <c r="K402" s="4" t="str">
        <f t="shared" si="58"/>
        <v/>
      </c>
      <c r="L402" s="4" t="str">
        <f t="shared" si="59"/>
        <v/>
      </c>
      <c r="M402" s="4" t="str">
        <f t="shared" si="55"/>
        <v/>
      </c>
      <c r="N402" s="4" t="str">
        <f t="shared" si="60"/>
        <v/>
      </c>
      <c r="O402" s="4" t="str">
        <f>IF($B402="","",Inputs!$B$15-$M401)</f>
        <v/>
      </c>
      <c r="P402" s="3" t="str">
        <f t="shared" si="61"/>
        <v/>
      </c>
      <c r="Q402" s="3" t="str">
        <f t="shared" si="62"/>
        <v/>
      </c>
      <c r="R402" s="3" t="str">
        <f>IF($B402="","",IF($Q402,($L401+$N401+$G402)&gt;Inputs!$B$16,FALSE))</f>
        <v/>
      </c>
      <c r="S402" s="3" t="str">
        <f>IF($B402="","",IF(OR($F402&gt;Inputs!$B$15,$G402&gt;Inputs!$B$16),"TOO BIG",IF($R402,"NEW SHEET",IF($Q402,"NEW ROW","OK"))))</f>
        <v/>
      </c>
    </row>
    <row r="403" spans="1:19" x14ac:dyDescent="0.2">
      <c r="A403" s="4">
        <v>397</v>
      </c>
      <c r="B403" s="3" t="str">
        <f>IF(SortedPieces!$B399="","",SortedPieces!$B399)</f>
        <v/>
      </c>
      <c r="C403" s="4" t="str">
        <f>IF(SortedPieces!$C399="","",SortedPieces!$C399)</f>
        <v/>
      </c>
      <c r="D403" s="4" t="str">
        <f>IF(SortedPieces!$D399="","",SortedPieces!$D399)</f>
        <v/>
      </c>
      <c r="E403" s="3" t="str">
        <f>IF(SortedPieces!$E399="","",SortedPieces!$E399)</f>
        <v/>
      </c>
      <c r="F403" s="4" t="str">
        <f>IF($B403="","",IF($C403&lt;=$O403,$C403,IF(AND($E403="Y",$D403&lt;=$O403),$D403,IF(AND($E403="Y",$D403&lt;=Inputs!$B$15,$C403&lt;=Inputs!$B$15),IF($C403&lt;$D403,$D403,$C403),IF(AND($E403="Y",$D403&lt;=Inputs!$B$15),$D403,$C403)))))</f>
        <v/>
      </c>
      <c r="G403" s="4" t="str">
        <f>IF($B403="","",IF($C403&lt;=$O403,$D403,IF(AND($E403="Y",$D403&lt;=$O403),$C403,IF(AND($E403="Y",$D403&lt;=Inputs!$B$15,$C403&lt;=Inputs!$B$15),IF($C403&lt;$D403,$C403,$D403),IF(AND($E403="Y",$D403&lt;=Inputs!$B$15),$C403,$D403)))))</f>
        <v/>
      </c>
      <c r="H403" s="3" t="str">
        <f t="shared" si="54"/>
        <v/>
      </c>
      <c r="I403" s="4" t="str">
        <f t="shared" si="56"/>
        <v/>
      </c>
      <c r="J403" s="4" t="str">
        <f t="shared" si="57"/>
        <v/>
      </c>
      <c r="K403" s="4" t="str">
        <f t="shared" si="58"/>
        <v/>
      </c>
      <c r="L403" s="4" t="str">
        <f t="shared" si="59"/>
        <v/>
      </c>
      <c r="M403" s="4" t="str">
        <f t="shared" si="55"/>
        <v/>
      </c>
      <c r="N403" s="4" t="str">
        <f t="shared" si="60"/>
        <v/>
      </c>
      <c r="O403" s="4" t="str">
        <f>IF($B403="","",Inputs!$B$15-$M402)</f>
        <v/>
      </c>
      <c r="P403" s="3" t="str">
        <f t="shared" si="61"/>
        <v/>
      </c>
      <c r="Q403" s="3" t="str">
        <f t="shared" si="62"/>
        <v/>
      </c>
      <c r="R403" s="3" t="str">
        <f>IF($B403="","",IF($Q403,($L402+$N402+$G403)&gt;Inputs!$B$16,FALSE))</f>
        <v/>
      </c>
      <c r="S403" s="3" t="str">
        <f>IF($B403="","",IF(OR($F403&gt;Inputs!$B$15,$G403&gt;Inputs!$B$16),"TOO BIG",IF($R403,"NEW SHEET",IF($Q403,"NEW ROW","OK"))))</f>
        <v/>
      </c>
    </row>
    <row r="404" spans="1:19" x14ac:dyDescent="0.2">
      <c r="A404" s="4">
        <v>398</v>
      </c>
      <c r="B404" s="3" t="str">
        <f>IF(SortedPieces!$B400="","",SortedPieces!$B400)</f>
        <v/>
      </c>
      <c r="C404" s="4" t="str">
        <f>IF(SortedPieces!$C400="","",SortedPieces!$C400)</f>
        <v/>
      </c>
      <c r="D404" s="4" t="str">
        <f>IF(SortedPieces!$D400="","",SortedPieces!$D400)</f>
        <v/>
      </c>
      <c r="E404" s="3" t="str">
        <f>IF(SortedPieces!$E400="","",SortedPieces!$E400)</f>
        <v/>
      </c>
      <c r="F404" s="4" t="str">
        <f>IF($B404="","",IF($C404&lt;=$O404,$C404,IF(AND($E404="Y",$D404&lt;=$O404),$D404,IF(AND($E404="Y",$D404&lt;=Inputs!$B$15,$C404&lt;=Inputs!$B$15),IF($C404&lt;$D404,$D404,$C404),IF(AND($E404="Y",$D404&lt;=Inputs!$B$15),$D404,$C404)))))</f>
        <v/>
      </c>
      <c r="G404" s="4" t="str">
        <f>IF($B404="","",IF($C404&lt;=$O404,$D404,IF(AND($E404="Y",$D404&lt;=$O404),$C404,IF(AND($E404="Y",$D404&lt;=Inputs!$B$15,$C404&lt;=Inputs!$B$15),IF($C404&lt;$D404,$C404,$D404),IF(AND($E404="Y",$D404&lt;=Inputs!$B$15),$C404,$D404)))))</f>
        <v/>
      </c>
      <c r="H404" s="3" t="str">
        <f t="shared" si="54"/>
        <v/>
      </c>
      <c r="I404" s="4" t="str">
        <f t="shared" si="56"/>
        <v/>
      </c>
      <c r="J404" s="4" t="str">
        <f t="shared" si="57"/>
        <v/>
      </c>
      <c r="K404" s="4" t="str">
        <f t="shared" si="58"/>
        <v/>
      </c>
      <c r="L404" s="4" t="str">
        <f t="shared" si="59"/>
        <v/>
      </c>
      <c r="M404" s="4" t="str">
        <f t="shared" si="55"/>
        <v/>
      </c>
      <c r="N404" s="4" t="str">
        <f t="shared" si="60"/>
        <v/>
      </c>
      <c r="O404" s="4" t="str">
        <f>IF($B404="","",Inputs!$B$15-$M403)</f>
        <v/>
      </c>
      <c r="P404" s="3" t="str">
        <f t="shared" si="61"/>
        <v/>
      </c>
      <c r="Q404" s="3" t="str">
        <f t="shared" si="62"/>
        <v/>
      </c>
      <c r="R404" s="3" t="str">
        <f>IF($B404="","",IF($Q404,($L403+$N403+$G404)&gt;Inputs!$B$16,FALSE))</f>
        <v/>
      </c>
      <c r="S404" s="3" t="str">
        <f>IF($B404="","",IF(OR($F404&gt;Inputs!$B$15,$G404&gt;Inputs!$B$16),"TOO BIG",IF($R404,"NEW SHEET",IF($Q404,"NEW ROW","OK"))))</f>
        <v/>
      </c>
    </row>
    <row r="405" spans="1:19" x14ac:dyDescent="0.2">
      <c r="A405" s="4">
        <v>399</v>
      </c>
      <c r="B405" s="3" t="str">
        <f>IF(SortedPieces!$B401="","",SortedPieces!$B401)</f>
        <v/>
      </c>
      <c r="C405" s="4" t="str">
        <f>IF(SortedPieces!$C401="","",SortedPieces!$C401)</f>
        <v/>
      </c>
      <c r="D405" s="4" t="str">
        <f>IF(SortedPieces!$D401="","",SortedPieces!$D401)</f>
        <v/>
      </c>
      <c r="E405" s="3" t="str">
        <f>IF(SortedPieces!$E401="","",SortedPieces!$E401)</f>
        <v/>
      </c>
      <c r="F405" s="4" t="str">
        <f>IF($B405="","",IF($C405&lt;=$O405,$C405,IF(AND($E405="Y",$D405&lt;=$O405),$D405,IF(AND($E405="Y",$D405&lt;=Inputs!$B$15,$C405&lt;=Inputs!$B$15),IF($C405&lt;$D405,$D405,$C405),IF(AND($E405="Y",$D405&lt;=Inputs!$B$15),$D405,$C405)))))</f>
        <v/>
      </c>
      <c r="G405" s="4" t="str">
        <f>IF($B405="","",IF($C405&lt;=$O405,$D405,IF(AND($E405="Y",$D405&lt;=$O405),$C405,IF(AND($E405="Y",$D405&lt;=Inputs!$B$15,$C405&lt;=Inputs!$B$15),IF($C405&lt;$D405,$C405,$D405),IF(AND($E405="Y",$D405&lt;=Inputs!$B$15),$C405,$D405)))))</f>
        <v/>
      </c>
      <c r="H405" s="3" t="str">
        <f t="shared" si="54"/>
        <v/>
      </c>
      <c r="I405" s="4" t="str">
        <f t="shared" si="56"/>
        <v/>
      </c>
      <c r="J405" s="4" t="str">
        <f t="shared" si="57"/>
        <v/>
      </c>
      <c r="K405" s="4" t="str">
        <f t="shared" si="58"/>
        <v/>
      </c>
      <c r="L405" s="4" t="str">
        <f t="shared" si="59"/>
        <v/>
      </c>
      <c r="M405" s="4" t="str">
        <f t="shared" si="55"/>
        <v/>
      </c>
      <c r="N405" s="4" t="str">
        <f t="shared" si="60"/>
        <v/>
      </c>
      <c r="O405" s="4" t="str">
        <f>IF($B405="","",Inputs!$B$15-$M404)</f>
        <v/>
      </c>
      <c r="P405" s="3" t="str">
        <f t="shared" si="61"/>
        <v/>
      </c>
      <c r="Q405" s="3" t="str">
        <f t="shared" si="62"/>
        <v/>
      </c>
      <c r="R405" s="3" t="str">
        <f>IF($B405="","",IF($Q405,($L404+$N404+$G405)&gt;Inputs!$B$16,FALSE))</f>
        <v/>
      </c>
      <c r="S405" s="3" t="str">
        <f>IF($B405="","",IF(OR($F405&gt;Inputs!$B$15,$G405&gt;Inputs!$B$16),"TOO BIG",IF($R405,"NEW SHEET",IF($Q405,"NEW ROW","OK"))))</f>
        <v/>
      </c>
    </row>
    <row r="406" spans="1:19" ht="16" thickBot="1" x14ac:dyDescent="0.25">
      <c r="A406" s="16">
        <v>400</v>
      </c>
      <c r="B406" s="3" t="str">
        <f>IF(SortedPieces!$B402="","",SortedPieces!$B402)</f>
        <v/>
      </c>
      <c r="C406" s="4" t="str">
        <f>IF(SortedPieces!$C402="","",SortedPieces!$C402)</f>
        <v/>
      </c>
      <c r="D406" s="4" t="str">
        <f>IF(SortedPieces!$D402="","",SortedPieces!$D402)</f>
        <v/>
      </c>
      <c r="E406" s="3" t="str">
        <f>IF(SortedPieces!$E402="","",SortedPieces!$E402)</f>
        <v/>
      </c>
      <c r="F406" s="4" t="str">
        <f>IF($B406="","",IF($C406&lt;=$O406,$C406,IF(AND($E406="Y",$D406&lt;=$O406),$D406,IF(AND($E406="Y",$D406&lt;=Inputs!$B$15,$C406&lt;=Inputs!$B$15),IF($C406&lt;$D406,$D406,$C406),IF(AND($E406="Y",$D406&lt;=Inputs!$B$15),$D406,$C406)))))</f>
        <v/>
      </c>
      <c r="G406" s="4" t="str">
        <f>IF($B406="","",IF($C406&lt;=$O406,$D406,IF(AND($E406="Y",$D406&lt;=$O406),$C406,IF(AND($E406="Y",$D406&lt;=Inputs!$B$15,$C406&lt;=Inputs!$B$15),IF($C406&lt;$D406,$C406,$D406),IF(AND($E406="Y",$D406&lt;=Inputs!$B$15),$C406,$D406)))))</f>
        <v/>
      </c>
      <c r="H406" s="3" t="str">
        <f t="shared" si="54"/>
        <v/>
      </c>
      <c r="I406" s="4" t="str">
        <f t="shared" si="56"/>
        <v/>
      </c>
      <c r="J406" s="4" t="str">
        <f t="shared" si="57"/>
        <v/>
      </c>
      <c r="K406" s="4" t="str">
        <f t="shared" si="58"/>
        <v/>
      </c>
      <c r="L406" s="4" t="str">
        <f t="shared" si="59"/>
        <v/>
      </c>
      <c r="M406" s="4" t="str">
        <f t="shared" si="55"/>
        <v/>
      </c>
      <c r="N406" s="4" t="str">
        <f t="shared" si="60"/>
        <v/>
      </c>
      <c r="O406" s="4" t="str">
        <f>IF($B406="","",Inputs!$B$15-$M405)</f>
        <v/>
      </c>
      <c r="P406" s="3" t="str">
        <f t="shared" si="61"/>
        <v/>
      </c>
      <c r="Q406" s="3" t="str">
        <f t="shared" si="62"/>
        <v/>
      </c>
      <c r="R406" s="3" t="str">
        <f>IF($B406="","",IF($Q406,($L405+$N405+$G406)&gt;Inputs!$B$16,FALSE))</f>
        <v/>
      </c>
      <c r="S406" s="3" t="str">
        <f>IF($B406="","",IF(OR($F406&gt;Inputs!$B$15,$G406&gt;Inputs!$B$16),"TOO BIG",IF($R406,"NEW SHEET",IF($Q406,"NEW ROW","OK"))))</f>
        <v/>
      </c>
    </row>
    <row r="407" spans="1:19" ht="16" thickBot="1" x14ac:dyDescent="0.25">
      <c r="A407" s="17" t="str" cm="1">
        <f t="array" aca="1" ref="A407" ca="1">IF(INDIRECT("R[-1]C",0)="","",INDIRECT("R[-1]C",0) &amp; " NOS")</f>
        <v>400 NOS</v>
      </c>
    </row>
  </sheetData>
  <mergeCells count="8">
    <mergeCell ref="U7:W7"/>
    <mergeCell ref="A5:S5"/>
    <mergeCell ref="A1:F1"/>
    <mergeCell ref="A2:F2"/>
    <mergeCell ref="A3:F3"/>
    <mergeCell ref="G1:S1"/>
    <mergeCell ref="G2:S2"/>
    <mergeCell ref="G3:S3"/>
  </mergeCells>
  <conditionalFormatting sqref="S1:S1048576">
    <cfRule type="containsText" dxfId="0" priority="1" operator="containsText" text="TOO BIG">
      <formula>NOT(ISERROR(SEARCH("TOO BIG",S1)))</formula>
    </cfRule>
  </conditionalFormatting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DCB624-990A-6743-8C73-F4ECCDEB6627}">
          <x14:formula1>
            <xm:f>'GLASS SPECIFICATIONS'!$A$2:$A$665</xm:f>
          </x14:formula1>
          <xm:sqref>G3:S3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E536-7CD1-504D-9B5E-02C145D0EFFC}">
  <dimension ref="A1:D10"/>
  <sheetViews>
    <sheetView workbookViewId="0">
      <selection activeCell="C10" sqref="C10"/>
    </sheetView>
  </sheetViews>
  <sheetFormatPr baseColWidth="10" defaultRowHeight="15" x14ac:dyDescent="0.2"/>
  <cols>
    <col min="1" max="1" width="35.83203125" bestFit="1" customWidth="1"/>
  </cols>
  <sheetData>
    <row r="1" spans="1:4" ht="17" thickBot="1" x14ac:dyDescent="0.25">
      <c r="A1" s="20" t="s">
        <v>67</v>
      </c>
      <c r="B1" s="19"/>
      <c r="C1" s="19"/>
      <c r="D1" s="19"/>
    </row>
    <row r="2" spans="1:4" x14ac:dyDescent="0.2">
      <c r="A2" t="s">
        <v>68</v>
      </c>
    </row>
    <row r="3" spans="1:4" x14ac:dyDescent="0.2">
      <c r="A3" t="s">
        <v>69</v>
      </c>
    </row>
    <row r="4" spans="1:4" x14ac:dyDescent="0.2">
      <c r="A4" t="s">
        <v>70</v>
      </c>
    </row>
    <row r="5" spans="1:4" x14ac:dyDescent="0.2">
      <c r="A5" t="s">
        <v>71</v>
      </c>
    </row>
    <row r="6" spans="1:4" x14ac:dyDescent="0.2">
      <c r="A6" t="s">
        <v>72</v>
      </c>
    </row>
    <row r="7" spans="1:4" x14ac:dyDescent="0.2">
      <c r="A7" t="s">
        <v>73</v>
      </c>
    </row>
    <row r="8" spans="1:4" x14ac:dyDescent="0.2">
      <c r="A8" t="s">
        <v>74</v>
      </c>
    </row>
    <row r="9" spans="1:4" x14ac:dyDescent="0.2">
      <c r="A9" t="s">
        <v>75</v>
      </c>
    </row>
    <row r="10" spans="1:4" x14ac:dyDescent="0.2">
      <c r="A1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CuttingList</vt:lpstr>
      <vt:lpstr>Pieces</vt:lpstr>
      <vt:lpstr>SortedPieces</vt:lpstr>
      <vt:lpstr>Placement</vt:lpstr>
      <vt:lpstr>GLASS 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2026-02-27T11:27:54Z</dcterms:created>
  <dcterms:modified xsi:type="dcterms:W3CDTF">2026-03-01T08:17:20Z</dcterms:modified>
</cp:coreProperties>
</file>